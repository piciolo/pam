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2D39D305-DB50-4F4A-96F6-100D822144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ELLA" sheetId="2" r:id="rId1"/>
    <sheet name="GRA" sheetId="25" state="hidden" r:id="rId2"/>
    <sheet name="DOM" sheetId="3" r:id="rId3"/>
    <sheet name="LUN" sheetId="18" r:id="rId4"/>
    <sheet name="MAR" sheetId="19" r:id="rId5"/>
    <sheet name="MER" sheetId="20" r:id="rId6"/>
    <sheet name="GIO" sheetId="21" r:id="rId7"/>
    <sheet name="VEN" sheetId="22" r:id="rId8"/>
    <sheet name="SAB" sheetId="23" r:id="rId9"/>
    <sheet name="VL" sheetId="10" state="hidden" r:id="rId10"/>
    <sheet name="Incassi" sheetId="11" state="hidden" r:id="rId11"/>
  </sheets>
  <functionGroups builtInGroupCount="19"/>
  <definedNames>
    <definedName name="_xlnm._FilterDatabase" localSheetId="2" hidden="1">DOM!$F$5:$G$54</definedName>
    <definedName name="_xlnm._FilterDatabase" localSheetId="6" hidden="1">GIO!$F$5:$G$54</definedName>
    <definedName name="_xlnm._FilterDatabase" localSheetId="10" hidden="1">Incassi!$B$10:$B$135</definedName>
    <definedName name="_xlnm._FilterDatabase" localSheetId="3" hidden="1">LUN!$F$5:$G$54</definedName>
    <definedName name="_xlnm._FilterDatabase" localSheetId="4" hidden="1">MAR!$F$5:$G$54</definedName>
    <definedName name="_xlnm._FilterDatabase" localSheetId="5" hidden="1">MER!$F$5:$G$54</definedName>
    <definedName name="_xlnm._FilterDatabase" localSheetId="8" hidden="1">SAB!$F$5:$G$54</definedName>
    <definedName name="_xlnm._FilterDatabase" localSheetId="0" hidden="1">TABELLA!$B$9:$D$65</definedName>
    <definedName name="_xlnm._FilterDatabase" localSheetId="7" hidden="1">VEN!$F$5:$G$54</definedName>
    <definedName name="_xlnm.Print_Area" localSheetId="2">DOM!$E$1:$CE$66</definedName>
    <definedName name="_xlnm.Print_Area" localSheetId="6">GIO!$E$1:$CE$66</definedName>
    <definedName name="_xlnm.Print_Area" localSheetId="1">GRA!$A$1:$L$31</definedName>
    <definedName name="_xlnm.Print_Area" localSheetId="3">LUN!$E$1:$CE$66</definedName>
    <definedName name="_xlnm.Print_Area" localSheetId="4">MAR!$E$1:$CE$66</definedName>
    <definedName name="_xlnm.Print_Area" localSheetId="5">MER!$E$1:$CE$66</definedName>
    <definedName name="_xlnm.Print_Area" localSheetId="8">SAB!$E$1:$CE$66</definedName>
    <definedName name="_xlnm.Print_Area" localSheetId="0">TABELLA!$B$2:$AF$49</definedName>
    <definedName name="_xlnm.Print_Area" localSheetId="7">VEN!$E$1:$CE$66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2" l="1"/>
  <c r="C3" i="2"/>
  <c r="D3" i="2" s="1"/>
  <c r="H3" i="3"/>
  <c r="I3" i="3" s="1"/>
  <c r="J3" i="3" s="1"/>
  <c r="K3" i="3"/>
  <c r="F5" i="3"/>
  <c r="G5" i="3"/>
  <c r="A6" i="3"/>
  <c r="B6" i="3"/>
  <c r="C6" i="3"/>
  <c r="D6" i="3"/>
  <c r="F6" i="3"/>
  <c r="G6" i="3"/>
  <c r="A7" i="3"/>
  <c r="B7" i="3"/>
  <c r="C7" i="3"/>
  <c r="D7" i="3"/>
  <c r="F7" i="3"/>
  <c r="G7" i="3"/>
  <c r="A8" i="3"/>
  <c r="B8" i="3"/>
  <c r="C8" i="3"/>
  <c r="D8" i="3"/>
  <c r="F8" i="3"/>
  <c r="G8" i="3"/>
  <c r="A9" i="3"/>
  <c r="B9" i="3"/>
  <c r="C9" i="3"/>
  <c r="D9" i="3"/>
  <c r="F9" i="3"/>
  <c r="G9" i="3"/>
  <c r="A10" i="3"/>
  <c r="B10" i="3"/>
  <c r="C10" i="3"/>
  <c r="D10" i="3"/>
  <c r="F10" i="3"/>
  <c r="G10" i="3"/>
  <c r="A11" i="3"/>
  <c r="B11" i="3"/>
  <c r="C11" i="3"/>
  <c r="D11" i="3"/>
  <c r="F11" i="3"/>
  <c r="G11" i="3"/>
  <c r="A12" i="3"/>
  <c r="B12" i="3"/>
  <c r="C12" i="3"/>
  <c r="D12" i="3"/>
  <c r="F12" i="3"/>
  <c r="G12" i="3"/>
  <c r="A13" i="3"/>
  <c r="B13" i="3"/>
  <c r="C13" i="3"/>
  <c r="D13" i="3"/>
  <c r="F13" i="3"/>
  <c r="G13" i="3"/>
  <c r="A14" i="3"/>
  <c r="B14" i="3"/>
  <c r="C14" i="3"/>
  <c r="D14" i="3"/>
  <c r="F14" i="3"/>
  <c r="G14" i="3"/>
  <c r="A15" i="3"/>
  <c r="B15" i="3"/>
  <c r="C15" i="3"/>
  <c r="D15" i="3"/>
  <c r="F15" i="3"/>
  <c r="G15" i="3"/>
  <c r="A16" i="3"/>
  <c r="B16" i="3"/>
  <c r="C16" i="3"/>
  <c r="D16" i="3"/>
  <c r="F16" i="3"/>
  <c r="G16" i="3"/>
  <c r="A17" i="3"/>
  <c r="B17" i="3"/>
  <c r="C17" i="3"/>
  <c r="D17" i="3"/>
  <c r="F17" i="3"/>
  <c r="G17" i="3"/>
  <c r="A18" i="3"/>
  <c r="B18" i="3"/>
  <c r="C18" i="3"/>
  <c r="D18" i="3"/>
  <c r="F18" i="3"/>
  <c r="G18" i="3"/>
  <c r="A19" i="3"/>
  <c r="B19" i="3"/>
  <c r="C19" i="3"/>
  <c r="D19" i="3"/>
  <c r="F19" i="3"/>
  <c r="G19" i="3"/>
  <c r="A20" i="3"/>
  <c r="B20" i="3"/>
  <c r="C20" i="3"/>
  <c r="D20" i="3"/>
  <c r="F20" i="3"/>
  <c r="G20" i="3"/>
  <c r="A21" i="3"/>
  <c r="B21" i="3"/>
  <c r="C21" i="3"/>
  <c r="D21" i="3"/>
  <c r="F21" i="3"/>
  <c r="G21" i="3"/>
  <c r="A22" i="3"/>
  <c r="B22" i="3"/>
  <c r="C22" i="3"/>
  <c r="D22" i="3"/>
  <c r="F22" i="3"/>
  <c r="G22" i="3"/>
  <c r="A23" i="3"/>
  <c r="B23" i="3"/>
  <c r="C23" i="3"/>
  <c r="D23" i="3"/>
  <c r="F23" i="3"/>
  <c r="G23" i="3"/>
  <c r="A24" i="3"/>
  <c r="B24" i="3"/>
  <c r="C24" i="3"/>
  <c r="D24" i="3"/>
  <c r="F24" i="3"/>
  <c r="G24" i="3"/>
  <c r="A25" i="3"/>
  <c r="B25" i="3"/>
  <c r="C25" i="3"/>
  <c r="D25" i="3"/>
  <c r="F25" i="3"/>
  <c r="G25" i="3"/>
  <c r="A26" i="3"/>
  <c r="B26" i="3"/>
  <c r="C26" i="3"/>
  <c r="D26" i="3"/>
  <c r="F26" i="3"/>
  <c r="G26" i="3"/>
  <c r="A27" i="3"/>
  <c r="B27" i="3"/>
  <c r="C27" i="3"/>
  <c r="D27" i="3"/>
  <c r="F27" i="3"/>
  <c r="G27" i="3"/>
  <c r="A28" i="3"/>
  <c r="B28" i="3"/>
  <c r="C28" i="3"/>
  <c r="D28" i="3"/>
  <c r="F28" i="3"/>
  <c r="G28" i="3"/>
  <c r="A29" i="3"/>
  <c r="B29" i="3"/>
  <c r="C29" i="3"/>
  <c r="D29" i="3"/>
  <c r="F29" i="3"/>
  <c r="G29" i="3"/>
  <c r="A30" i="3"/>
  <c r="B30" i="3"/>
  <c r="C30" i="3"/>
  <c r="D30" i="3"/>
  <c r="F30" i="3"/>
  <c r="G30" i="3"/>
  <c r="A31" i="3"/>
  <c r="B31" i="3"/>
  <c r="C31" i="3"/>
  <c r="D31" i="3"/>
  <c r="F31" i="3"/>
  <c r="G31" i="3"/>
  <c r="A32" i="3"/>
  <c r="B32" i="3"/>
  <c r="C32" i="3"/>
  <c r="D32" i="3"/>
  <c r="F32" i="3"/>
  <c r="G32" i="3"/>
  <c r="A33" i="3"/>
  <c r="B33" i="3"/>
  <c r="C33" i="3"/>
  <c r="D33" i="3"/>
  <c r="F33" i="3"/>
  <c r="G33" i="3"/>
  <c r="A34" i="3"/>
  <c r="B34" i="3"/>
  <c r="C34" i="3"/>
  <c r="D34" i="3"/>
  <c r="F34" i="3"/>
  <c r="G34" i="3"/>
  <c r="A35" i="3"/>
  <c r="B35" i="3"/>
  <c r="C35" i="3"/>
  <c r="D35" i="3"/>
  <c r="F35" i="3"/>
  <c r="G35" i="3"/>
  <c r="A36" i="3"/>
  <c r="B36" i="3"/>
  <c r="C36" i="3"/>
  <c r="D36" i="3"/>
  <c r="F36" i="3"/>
  <c r="G36" i="3"/>
  <c r="A37" i="3"/>
  <c r="B37" i="3"/>
  <c r="C37" i="3"/>
  <c r="D37" i="3"/>
  <c r="F37" i="3"/>
  <c r="G37" i="3"/>
  <c r="A38" i="3"/>
  <c r="B38" i="3"/>
  <c r="C38" i="3"/>
  <c r="D38" i="3"/>
  <c r="F38" i="3"/>
  <c r="G38" i="3"/>
  <c r="A39" i="3"/>
  <c r="B39" i="3"/>
  <c r="C39" i="3"/>
  <c r="D39" i="3"/>
  <c r="F39" i="3"/>
  <c r="G39" i="3"/>
  <c r="A40" i="3"/>
  <c r="B40" i="3"/>
  <c r="C40" i="3"/>
  <c r="D40" i="3"/>
  <c r="F40" i="3"/>
  <c r="G40" i="3"/>
  <c r="A41" i="3"/>
  <c r="B41" i="3"/>
  <c r="C41" i="3"/>
  <c r="D41" i="3"/>
  <c r="F41" i="3"/>
  <c r="G41" i="3"/>
  <c r="A42" i="3"/>
  <c r="B42" i="3"/>
  <c r="C42" i="3"/>
  <c r="D42" i="3"/>
  <c r="F42" i="3"/>
  <c r="G42" i="3"/>
  <c r="A43" i="3"/>
  <c r="B43" i="3"/>
  <c r="C43" i="3"/>
  <c r="D43" i="3"/>
  <c r="F43" i="3"/>
  <c r="G43" i="3"/>
  <c r="A44" i="3"/>
  <c r="B44" i="3"/>
  <c r="C44" i="3"/>
  <c r="D44" i="3"/>
  <c r="F44" i="3"/>
  <c r="G44" i="3"/>
  <c r="A45" i="3"/>
  <c r="B45" i="3"/>
  <c r="C45" i="3"/>
  <c r="D45" i="3"/>
  <c r="F45" i="3"/>
  <c r="G45" i="3"/>
  <c r="H3" i="21"/>
  <c r="K3" i="21"/>
  <c r="F5" i="21"/>
  <c r="G5" i="21"/>
  <c r="A6" i="21"/>
  <c r="B6" i="21"/>
  <c r="C6" i="21"/>
  <c r="D6" i="21"/>
  <c r="F6" i="21"/>
  <c r="G6" i="21"/>
  <c r="A7" i="21"/>
  <c r="B7" i="21"/>
  <c r="C7" i="21"/>
  <c r="D7" i="21"/>
  <c r="F7" i="21"/>
  <c r="G7" i="21"/>
  <c r="A8" i="21"/>
  <c r="B8" i="21"/>
  <c r="C8" i="21"/>
  <c r="D8" i="21"/>
  <c r="F8" i="21"/>
  <c r="G8" i="21"/>
  <c r="A9" i="21"/>
  <c r="B9" i="21"/>
  <c r="C9" i="21"/>
  <c r="D9" i="21"/>
  <c r="F9" i="21"/>
  <c r="G9" i="21"/>
  <c r="A10" i="21"/>
  <c r="B10" i="21"/>
  <c r="C10" i="21"/>
  <c r="D10" i="21"/>
  <c r="F10" i="21"/>
  <c r="G10" i="21"/>
  <c r="A11" i="21"/>
  <c r="B11" i="21"/>
  <c r="C11" i="21"/>
  <c r="D11" i="21"/>
  <c r="F11" i="21"/>
  <c r="G11" i="21"/>
  <c r="A12" i="21"/>
  <c r="B12" i="21"/>
  <c r="C12" i="21"/>
  <c r="D12" i="21"/>
  <c r="F12" i="21"/>
  <c r="G12" i="21"/>
  <c r="A13" i="21"/>
  <c r="B13" i="21"/>
  <c r="C13" i="21"/>
  <c r="D13" i="21"/>
  <c r="F13" i="21"/>
  <c r="G13" i="21"/>
  <c r="A14" i="21"/>
  <c r="B14" i="21"/>
  <c r="C14" i="21"/>
  <c r="D14" i="21"/>
  <c r="F14" i="21"/>
  <c r="G14" i="21"/>
  <c r="A15" i="21"/>
  <c r="B15" i="21"/>
  <c r="C15" i="21"/>
  <c r="D15" i="21"/>
  <c r="F15" i="21"/>
  <c r="G15" i="21"/>
  <c r="A16" i="21"/>
  <c r="B16" i="21"/>
  <c r="C16" i="21"/>
  <c r="D16" i="21"/>
  <c r="F16" i="21"/>
  <c r="G16" i="21"/>
  <c r="A17" i="21"/>
  <c r="B17" i="21"/>
  <c r="C17" i="21"/>
  <c r="D17" i="21"/>
  <c r="F17" i="21"/>
  <c r="G17" i="21"/>
  <c r="A18" i="21"/>
  <c r="B18" i="21"/>
  <c r="C18" i="21"/>
  <c r="D18" i="21"/>
  <c r="F18" i="21"/>
  <c r="G18" i="21"/>
  <c r="A19" i="21"/>
  <c r="B19" i="21"/>
  <c r="C19" i="21"/>
  <c r="D19" i="21"/>
  <c r="F19" i="21"/>
  <c r="G19" i="21"/>
  <c r="A20" i="21"/>
  <c r="B20" i="21"/>
  <c r="C20" i="21"/>
  <c r="D20" i="21"/>
  <c r="F20" i="21"/>
  <c r="G20" i="21"/>
  <c r="A21" i="21"/>
  <c r="B21" i="21"/>
  <c r="C21" i="21"/>
  <c r="D21" i="21"/>
  <c r="F21" i="21"/>
  <c r="G21" i="21"/>
  <c r="A22" i="21"/>
  <c r="B22" i="21"/>
  <c r="C22" i="21"/>
  <c r="D22" i="21"/>
  <c r="F22" i="21"/>
  <c r="G22" i="21"/>
  <c r="A23" i="21"/>
  <c r="B23" i="21"/>
  <c r="C23" i="21"/>
  <c r="D23" i="21"/>
  <c r="F23" i="21"/>
  <c r="G23" i="21"/>
  <c r="A24" i="21"/>
  <c r="B24" i="21"/>
  <c r="C24" i="21"/>
  <c r="D24" i="21"/>
  <c r="F24" i="21"/>
  <c r="G24" i="21"/>
  <c r="A25" i="21"/>
  <c r="B25" i="21"/>
  <c r="C25" i="21"/>
  <c r="D25" i="21"/>
  <c r="F25" i="21"/>
  <c r="G25" i="21"/>
  <c r="A26" i="21"/>
  <c r="B26" i="21"/>
  <c r="C26" i="21"/>
  <c r="D26" i="21"/>
  <c r="F26" i="21"/>
  <c r="G26" i="21"/>
  <c r="A27" i="21"/>
  <c r="B27" i="21"/>
  <c r="C27" i="21"/>
  <c r="D27" i="21"/>
  <c r="F27" i="21"/>
  <c r="G27" i="21"/>
  <c r="A28" i="21"/>
  <c r="B28" i="21"/>
  <c r="C28" i="21"/>
  <c r="D28" i="21"/>
  <c r="F28" i="21"/>
  <c r="G28" i="21"/>
  <c r="A29" i="21"/>
  <c r="B29" i="21"/>
  <c r="C29" i="21"/>
  <c r="D29" i="21"/>
  <c r="F29" i="21"/>
  <c r="G29" i="21"/>
  <c r="A30" i="21"/>
  <c r="B30" i="21"/>
  <c r="C30" i="21"/>
  <c r="D30" i="21"/>
  <c r="F30" i="21"/>
  <c r="G30" i="21"/>
  <c r="A31" i="21"/>
  <c r="B31" i="21"/>
  <c r="C31" i="21"/>
  <c r="D31" i="21"/>
  <c r="F31" i="21"/>
  <c r="G31" i="21"/>
  <c r="A32" i="21"/>
  <c r="B32" i="21"/>
  <c r="C32" i="21"/>
  <c r="D32" i="21"/>
  <c r="F32" i="21"/>
  <c r="G32" i="21"/>
  <c r="A33" i="21"/>
  <c r="B33" i="21"/>
  <c r="C33" i="21"/>
  <c r="D33" i="21"/>
  <c r="F33" i="21"/>
  <c r="G33" i="21"/>
  <c r="A34" i="21"/>
  <c r="B34" i="21"/>
  <c r="C34" i="21"/>
  <c r="D34" i="21"/>
  <c r="F34" i="21"/>
  <c r="G34" i="21"/>
  <c r="A35" i="21"/>
  <c r="B35" i="21"/>
  <c r="C35" i="21"/>
  <c r="D35" i="21"/>
  <c r="F35" i="21"/>
  <c r="G35" i="21"/>
  <c r="A36" i="21"/>
  <c r="B36" i="21"/>
  <c r="C36" i="21"/>
  <c r="D36" i="21"/>
  <c r="F36" i="21"/>
  <c r="G36" i="21"/>
  <c r="A37" i="21"/>
  <c r="B37" i="21"/>
  <c r="C37" i="21"/>
  <c r="D37" i="21"/>
  <c r="F37" i="21"/>
  <c r="G37" i="21"/>
  <c r="A38" i="21"/>
  <c r="B38" i="21"/>
  <c r="C38" i="21"/>
  <c r="D38" i="21"/>
  <c r="F38" i="21"/>
  <c r="G38" i="21"/>
  <c r="A39" i="21"/>
  <c r="B39" i="21"/>
  <c r="C39" i="21"/>
  <c r="D39" i="21"/>
  <c r="F39" i="21"/>
  <c r="G39" i="21"/>
  <c r="A40" i="21"/>
  <c r="B40" i="21"/>
  <c r="C40" i="21"/>
  <c r="D40" i="21"/>
  <c r="F40" i="21"/>
  <c r="G40" i="21"/>
  <c r="A41" i="21"/>
  <c r="B41" i="21"/>
  <c r="C41" i="21"/>
  <c r="D41" i="21"/>
  <c r="F41" i="21"/>
  <c r="G41" i="21"/>
  <c r="A42" i="21"/>
  <c r="B42" i="21"/>
  <c r="C42" i="21"/>
  <c r="D42" i="21"/>
  <c r="F42" i="21"/>
  <c r="G42" i="21"/>
  <c r="A43" i="21"/>
  <c r="B43" i="21"/>
  <c r="C43" i="21"/>
  <c r="D43" i="21"/>
  <c r="F43" i="21"/>
  <c r="G43" i="21"/>
  <c r="A44" i="21"/>
  <c r="B44" i="21"/>
  <c r="C44" i="21"/>
  <c r="D44" i="21"/>
  <c r="F44" i="21"/>
  <c r="G44" i="21"/>
  <c r="A45" i="21"/>
  <c r="B45" i="21"/>
  <c r="C45" i="21"/>
  <c r="D45" i="21"/>
  <c r="F45" i="21"/>
  <c r="G45" i="21"/>
  <c r="K2" i="25"/>
  <c r="K5" i="25"/>
  <c r="U54" i="10"/>
  <c r="H3" i="18"/>
  <c r="I3" i="18" s="1"/>
  <c r="J3" i="18" s="1"/>
  <c r="K3" i="18"/>
  <c r="L3" i="18" s="1"/>
  <c r="M3" i="18" s="1"/>
  <c r="F5" i="18"/>
  <c r="G5" i="18"/>
  <c r="A6" i="18"/>
  <c r="B6" i="18"/>
  <c r="C6" i="18"/>
  <c r="D6" i="18"/>
  <c r="F6" i="18"/>
  <c r="G6" i="18"/>
  <c r="A7" i="18"/>
  <c r="B7" i="18"/>
  <c r="C7" i="18"/>
  <c r="D7" i="18"/>
  <c r="F7" i="18"/>
  <c r="G7" i="18"/>
  <c r="A8" i="18"/>
  <c r="B8" i="18"/>
  <c r="C8" i="18"/>
  <c r="D8" i="18"/>
  <c r="F8" i="18"/>
  <c r="G8" i="18"/>
  <c r="A9" i="18"/>
  <c r="B9" i="18"/>
  <c r="C9" i="18"/>
  <c r="D9" i="18"/>
  <c r="F9" i="18"/>
  <c r="G9" i="18"/>
  <c r="A10" i="18"/>
  <c r="B10" i="18"/>
  <c r="C10" i="18"/>
  <c r="D10" i="18"/>
  <c r="F10" i="18"/>
  <c r="G10" i="18"/>
  <c r="A11" i="18"/>
  <c r="B11" i="18"/>
  <c r="C11" i="18"/>
  <c r="D11" i="18"/>
  <c r="F11" i="18"/>
  <c r="G11" i="18"/>
  <c r="A12" i="18"/>
  <c r="B12" i="18"/>
  <c r="C12" i="18"/>
  <c r="D12" i="18"/>
  <c r="F12" i="18"/>
  <c r="G12" i="18"/>
  <c r="A13" i="18"/>
  <c r="B13" i="18"/>
  <c r="C13" i="18"/>
  <c r="D13" i="18"/>
  <c r="F13" i="18"/>
  <c r="G13" i="18"/>
  <c r="A14" i="18"/>
  <c r="B14" i="18"/>
  <c r="C14" i="18"/>
  <c r="D14" i="18"/>
  <c r="F14" i="18"/>
  <c r="G14" i="18"/>
  <c r="A15" i="18"/>
  <c r="B15" i="18"/>
  <c r="C15" i="18"/>
  <c r="D15" i="18"/>
  <c r="F15" i="18"/>
  <c r="G15" i="18"/>
  <c r="A16" i="18"/>
  <c r="B16" i="18"/>
  <c r="C16" i="18"/>
  <c r="D16" i="18"/>
  <c r="F16" i="18"/>
  <c r="G16" i="18"/>
  <c r="A17" i="18"/>
  <c r="B17" i="18"/>
  <c r="C17" i="18"/>
  <c r="D17" i="18"/>
  <c r="F17" i="18"/>
  <c r="G17" i="18"/>
  <c r="A18" i="18"/>
  <c r="B18" i="18"/>
  <c r="C18" i="18"/>
  <c r="D18" i="18"/>
  <c r="F18" i="18"/>
  <c r="G18" i="18"/>
  <c r="A19" i="18"/>
  <c r="B19" i="18"/>
  <c r="C19" i="18"/>
  <c r="D19" i="18"/>
  <c r="F19" i="18"/>
  <c r="G19" i="18"/>
  <c r="A20" i="18"/>
  <c r="B20" i="18"/>
  <c r="C20" i="18"/>
  <c r="D20" i="18"/>
  <c r="F20" i="18"/>
  <c r="G20" i="18"/>
  <c r="A21" i="18"/>
  <c r="B21" i="18"/>
  <c r="C21" i="18"/>
  <c r="D21" i="18"/>
  <c r="F21" i="18"/>
  <c r="G21" i="18"/>
  <c r="A22" i="18"/>
  <c r="B22" i="18"/>
  <c r="C22" i="18"/>
  <c r="D22" i="18"/>
  <c r="F22" i="18"/>
  <c r="G22" i="18"/>
  <c r="A23" i="18"/>
  <c r="B23" i="18"/>
  <c r="C23" i="18"/>
  <c r="D23" i="18"/>
  <c r="F23" i="18"/>
  <c r="G23" i="18"/>
  <c r="A24" i="18"/>
  <c r="B24" i="18"/>
  <c r="C24" i="18"/>
  <c r="D24" i="18"/>
  <c r="F24" i="18"/>
  <c r="G24" i="18"/>
  <c r="A25" i="18"/>
  <c r="B25" i="18"/>
  <c r="C25" i="18"/>
  <c r="D25" i="18"/>
  <c r="F25" i="18"/>
  <c r="G25" i="18"/>
  <c r="A26" i="18"/>
  <c r="B26" i="18"/>
  <c r="C26" i="18"/>
  <c r="D26" i="18"/>
  <c r="F26" i="18"/>
  <c r="G26" i="18"/>
  <c r="A27" i="18"/>
  <c r="B27" i="18"/>
  <c r="C27" i="18"/>
  <c r="D27" i="18"/>
  <c r="F27" i="18"/>
  <c r="G27" i="18"/>
  <c r="A28" i="18"/>
  <c r="B28" i="18"/>
  <c r="C28" i="18"/>
  <c r="D28" i="18"/>
  <c r="F28" i="18"/>
  <c r="G28" i="18"/>
  <c r="A29" i="18"/>
  <c r="B29" i="18"/>
  <c r="C29" i="18"/>
  <c r="D29" i="18"/>
  <c r="F29" i="18"/>
  <c r="G29" i="18"/>
  <c r="A30" i="18"/>
  <c r="B30" i="18"/>
  <c r="C30" i="18"/>
  <c r="D30" i="18"/>
  <c r="F30" i="18"/>
  <c r="G30" i="18"/>
  <c r="A31" i="18"/>
  <c r="B31" i="18"/>
  <c r="C31" i="18"/>
  <c r="D31" i="18"/>
  <c r="F31" i="18"/>
  <c r="G31" i="18"/>
  <c r="A32" i="18"/>
  <c r="B32" i="18"/>
  <c r="C32" i="18"/>
  <c r="D32" i="18"/>
  <c r="F32" i="18"/>
  <c r="G32" i="18"/>
  <c r="A33" i="18"/>
  <c r="B33" i="18"/>
  <c r="C33" i="18"/>
  <c r="D33" i="18"/>
  <c r="F33" i="18"/>
  <c r="G33" i="18"/>
  <c r="A34" i="18"/>
  <c r="B34" i="18"/>
  <c r="C34" i="18"/>
  <c r="D34" i="18"/>
  <c r="F34" i="18"/>
  <c r="G34" i="18"/>
  <c r="A35" i="18"/>
  <c r="B35" i="18"/>
  <c r="C35" i="18"/>
  <c r="D35" i="18"/>
  <c r="F35" i="18"/>
  <c r="G35" i="18"/>
  <c r="A36" i="18"/>
  <c r="B36" i="18"/>
  <c r="C36" i="18"/>
  <c r="D36" i="18"/>
  <c r="F36" i="18"/>
  <c r="G36" i="18"/>
  <c r="A37" i="18"/>
  <c r="B37" i="18"/>
  <c r="C37" i="18"/>
  <c r="D37" i="18"/>
  <c r="F37" i="18"/>
  <c r="G37" i="18"/>
  <c r="A38" i="18"/>
  <c r="B38" i="18"/>
  <c r="C38" i="18"/>
  <c r="D38" i="18"/>
  <c r="F38" i="18"/>
  <c r="G38" i="18"/>
  <c r="A39" i="18"/>
  <c r="B39" i="18"/>
  <c r="C39" i="18"/>
  <c r="D39" i="18"/>
  <c r="F39" i="18"/>
  <c r="G39" i="18"/>
  <c r="A40" i="18"/>
  <c r="B40" i="18"/>
  <c r="C40" i="18"/>
  <c r="D40" i="18"/>
  <c r="F40" i="18"/>
  <c r="G40" i="18"/>
  <c r="A41" i="18"/>
  <c r="B41" i="18"/>
  <c r="C41" i="18"/>
  <c r="D41" i="18"/>
  <c r="F41" i="18"/>
  <c r="G41" i="18"/>
  <c r="A42" i="18"/>
  <c r="B42" i="18"/>
  <c r="C42" i="18"/>
  <c r="D42" i="18"/>
  <c r="F42" i="18"/>
  <c r="G42" i="18"/>
  <c r="A43" i="18"/>
  <c r="B43" i="18"/>
  <c r="C43" i="18"/>
  <c r="D43" i="18"/>
  <c r="F43" i="18"/>
  <c r="G43" i="18"/>
  <c r="A44" i="18"/>
  <c r="B44" i="18"/>
  <c r="C44" i="18"/>
  <c r="D44" i="18"/>
  <c r="F44" i="18"/>
  <c r="G44" i="18"/>
  <c r="A45" i="18"/>
  <c r="B45" i="18"/>
  <c r="C45" i="18"/>
  <c r="D45" i="18"/>
  <c r="F45" i="18"/>
  <c r="G45" i="18"/>
  <c r="H3" i="19"/>
  <c r="K3" i="19"/>
  <c r="O3" i="19" s="1"/>
  <c r="P3" i="19" s="1"/>
  <c r="Q3" i="19" s="1"/>
  <c r="F5" i="19"/>
  <c r="G5" i="19"/>
  <c r="A6" i="19"/>
  <c r="B6" i="19"/>
  <c r="C6" i="19"/>
  <c r="D6" i="19"/>
  <c r="F6" i="19"/>
  <c r="G6" i="19"/>
  <c r="A7" i="19"/>
  <c r="B7" i="19"/>
  <c r="C7" i="19"/>
  <c r="D7" i="19"/>
  <c r="F7" i="19"/>
  <c r="G7" i="19"/>
  <c r="A8" i="19"/>
  <c r="B8" i="19"/>
  <c r="C8" i="19"/>
  <c r="D8" i="19"/>
  <c r="F8" i="19"/>
  <c r="G8" i="19"/>
  <c r="A9" i="19"/>
  <c r="B9" i="19"/>
  <c r="C9" i="19"/>
  <c r="D9" i="19"/>
  <c r="F9" i="19"/>
  <c r="G9" i="19"/>
  <c r="A10" i="19"/>
  <c r="B10" i="19"/>
  <c r="C10" i="19"/>
  <c r="D10" i="19"/>
  <c r="F10" i="19"/>
  <c r="G10" i="19"/>
  <c r="A11" i="19"/>
  <c r="B11" i="19"/>
  <c r="C11" i="19"/>
  <c r="D11" i="19"/>
  <c r="F11" i="19"/>
  <c r="G11" i="19"/>
  <c r="A12" i="19"/>
  <c r="B12" i="19"/>
  <c r="C12" i="19"/>
  <c r="D12" i="19"/>
  <c r="F12" i="19"/>
  <c r="G12" i="19"/>
  <c r="A13" i="19"/>
  <c r="B13" i="19"/>
  <c r="C13" i="19"/>
  <c r="D13" i="19"/>
  <c r="F13" i="19"/>
  <c r="G13" i="19"/>
  <c r="A14" i="19"/>
  <c r="B14" i="19"/>
  <c r="C14" i="19"/>
  <c r="D14" i="19"/>
  <c r="F14" i="19"/>
  <c r="G14" i="19"/>
  <c r="A15" i="19"/>
  <c r="B15" i="19"/>
  <c r="C15" i="19"/>
  <c r="D15" i="19"/>
  <c r="F15" i="19"/>
  <c r="G15" i="19"/>
  <c r="A16" i="19"/>
  <c r="B16" i="19"/>
  <c r="C16" i="19"/>
  <c r="D16" i="19"/>
  <c r="F16" i="19"/>
  <c r="G16" i="19"/>
  <c r="A17" i="19"/>
  <c r="B17" i="19"/>
  <c r="C17" i="19"/>
  <c r="D17" i="19"/>
  <c r="F17" i="19"/>
  <c r="G17" i="19"/>
  <c r="A18" i="19"/>
  <c r="B18" i="19"/>
  <c r="C18" i="19"/>
  <c r="D18" i="19"/>
  <c r="F18" i="19"/>
  <c r="G18" i="19"/>
  <c r="A19" i="19"/>
  <c r="B19" i="19"/>
  <c r="C19" i="19"/>
  <c r="D19" i="19"/>
  <c r="F19" i="19"/>
  <c r="G19" i="19"/>
  <c r="A20" i="19"/>
  <c r="B20" i="19"/>
  <c r="C20" i="19"/>
  <c r="D20" i="19"/>
  <c r="F20" i="19"/>
  <c r="G20" i="19"/>
  <c r="A21" i="19"/>
  <c r="B21" i="19"/>
  <c r="C21" i="19"/>
  <c r="D21" i="19"/>
  <c r="F21" i="19"/>
  <c r="G21" i="19"/>
  <c r="A22" i="19"/>
  <c r="B22" i="19"/>
  <c r="C22" i="19"/>
  <c r="D22" i="19"/>
  <c r="F22" i="19"/>
  <c r="G22" i="19"/>
  <c r="A23" i="19"/>
  <c r="B23" i="19"/>
  <c r="C23" i="19"/>
  <c r="D23" i="19"/>
  <c r="F23" i="19"/>
  <c r="G23" i="19"/>
  <c r="A24" i="19"/>
  <c r="B24" i="19"/>
  <c r="C24" i="19"/>
  <c r="D24" i="19"/>
  <c r="F24" i="19"/>
  <c r="G24" i="19"/>
  <c r="A25" i="19"/>
  <c r="B25" i="19"/>
  <c r="C25" i="19"/>
  <c r="D25" i="19"/>
  <c r="F25" i="19"/>
  <c r="G25" i="19"/>
  <c r="A26" i="19"/>
  <c r="B26" i="19"/>
  <c r="C26" i="19"/>
  <c r="D26" i="19"/>
  <c r="F26" i="19"/>
  <c r="G26" i="19"/>
  <c r="A27" i="19"/>
  <c r="B27" i="19"/>
  <c r="C27" i="19"/>
  <c r="D27" i="19"/>
  <c r="F27" i="19"/>
  <c r="G27" i="19"/>
  <c r="A28" i="19"/>
  <c r="B28" i="19"/>
  <c r="C28" i="19"/>
  <c r="D28" i="19"/>
  <c r="F28" i="19"/>
  <c r="G28" i="19"/>
  <c r="A29" i="19"/>
  <c r="B29" i="19"/>
  <c r="C29" i="19"/>
  <c r="D29" i="19"/>
  <c r="F29" i="19"/>
  <c r="G29" i="19"/>
  <c r="A30" i="19"/>
  <c r="B30" i="19"/>
  <c r="C30" i="19"/>
  <c r="D30" i="19"/>
  <c r="F30" i="19"/>
  <c r="G30" i="19"/>
  <c r="A31" i="19"/>
  <c r="B31" i="19"/>
  <c r="C31" i="19"/>
  <c r="D31" i="19"/>
  <c r="F31" i="19"/>
  <c r="G31" i="19"/>
  <c r="A32" i="19"/>
  <c r="B32" i="19"/>
  <c r="C32" i="19"/>
  <c r="D32" i="19"/>
  <c r="F32" i="19"/>
  <c r="G32" i="19"/>
  <c r="A33" i="19"/>
  <c r="B33" i="19"/>
  <c r="C33" i="19"/>
  <c r="D33" i="19"/>
  <c r="F33" i="19"/>
  <c r="G33" i="19"/>
  <c r="A34" i="19"/>
  <c r="B34" i="19"/>
  <c r="C34" i="19"/>
  <c r="D34" i="19"/>
  <c r="F34" i="19"/>
  <c r="G34" i="19"/>
  <c r="A35" i="19"/>
  <c r="B35" i="19"/>
  <c r="C35" i="19"/>
  <c r="D35" i="19"/>
  <c r="F35" i="19"/>
  <c r="G35" i="19"/>
  <c r="A36" i="19"/>
  <c r="B36" i="19"/>
  <c r="C36" i="19"/>
  <c r="D36" i="19"/>
  <c r="F36" i="19"/>
  <c r="G36" i="19"/>
  <c r="A37" i="19"/>
  <c r="B37" i="19"/>
  <c r="C37" i="19"/>
  <c r="D37" i="19"/>
  <c r="F37" i="19"/>
  <c r="G37" i="19"/>
  <c r="A38" i="19"/>
  <c r="B38" i="19"/>
  <c r="C38" i="19"/>
  <c r="D38" i="19"/>
  <c r="F38" i="19"/>
  <c r="G38" i="19"/>
  <c r="A39" i="19"/>
  <c r="B39" i="19"/>
  <c r="C39" i="19"/>
  <c r="D39" i="19"/>
  <c r="F39" i="19"/>
  <c r="G39" i="19"/>
  <c r="A40" i="19"/>
  <c r="B40" i="19"/>
  <c r="C40" i="19"/>
  <c r="D40" i="19"/>
  <c r="F40" i="19"/>
  <c r="G40" i="19"/>
  <c r="A41" i="19"/>
  <c r="B41" i="19"/>
  <c r="C41" i="19"/>
  <c r="D41" i="19"/>
  <c r="F41" i="19"/>
  <c r="G41" i="19"/>
  <c r="A42" i="19"/>
  <c r="B42" i="19"/>
  <c r="C42" i="19"/>
  <c r="D42" i="19"/>
  <c r="F42" i="19"/>
  <c r="G42" i="19"/>
  <c r="A43" i="19"/>
  <c r="B43" i="19"/>
  <c r="C43" i="19"/>
  <c r="D43" i="19"/>
  <c r="F43" i="19"/>
  <c r="G43" i="19"/>
  <c r="A44" i="19"/>
  <c r="B44" i="19"/>
  <c r="C44" i="19"/>
  <c r="D44" i="19"/>
  <c r="F44" i="19"/>
  <c r="G44" i="19"/>
  <c r="A45" i="19"/>
  <c r="B45" i="19"/>
  <c r="C45" i="19"/>
  <c r="D45" i="19"/>
  <c r="F45" i="19"/>
  <c r="G45" i="19"/>
  <c r="H3" i="20"/>
  <c r="I3" i="20" s="1"/>
  <c r="K3" i="20"/>
  <c r="F5" i="20"/>
  <c r="G5" i="20"/>
  <c r="A6" i="20"/>
  <c r="B6" i="20"/>
  <c r="C6" i="20"/>
  <c r="D6" i="20"/>
  <c r="F6" i="20"/>
  <c r="G6" i="20"/>
  <c r="A7" i="20"/>
  <c r="B7" i="20"/>
  <c r="C7" i="20"/>
  <c r="D7" i="20"/>
  <c r="F7" i="20"/>
  <c r="G7" i="20"/>
  <c r="A8" i="20"/>
  <c r="B8" i="20"/>
  <c r="C8" i="20"/>
  <c r="D8" i="20"/>
  <c r="F8" i="20"/>
  <c r="G8" i="20"/>
  <c r="A9" i="20"/>
  <c r="B9" i="20"/>
  <c r="C9" i="20"/>
  <c r="D9" i="20"/>
  <c r="F9" i="20"/>
  <c r="G9" i="20"/>
  <c r="A10" i="20"/>
  <c r="B10" i="20"/>
  <c r="C10" i="20"/>
  <c r="D10" i="20"/>
  <c r="F10" i="20"/>
  <c r="G10" i="20"/>
  <c r="A11" i="20"/>
  <c r="B11" i="20"/>
  <c r="C11" i="20"/>
  <c r="D11" i="20"/>
  <c r="F11" i="20"/>
  <c r="G11" i="20"/>
  <c r="A12" i="20"/>
  <c r="B12" i="20"/>
  <c r="C12" i="20"/>
  <c r="D12" i="20"/>
  <c r="F12" i="20"/>
  <c r="G12" i="20"/>
  <c r="A13" i="20"/>
  <c r="B13" i="20"/>
  <c r="C13" i="20"/>
  <c r="D13" i="20"/>
  <c r="F13" i="20"/>
  <c r="G13" i="20"/>
  <c r="A14" i="20"/>
  <c r="B14" i="20"/>
  <c r="C14" i="20"/>
  <c r="D14" i="20"/>
  <c r="F14" i="20"/>
  <c r="G14" i="20"/>
  <c r="A15" i="20"/>
  <c r="B15" i="20"/>
  <c r="C15" i="20"/>
  <c r="D15" i="20"/>
  <c r="F15" i="20"/>
  <c r="G15" i="20"/>
  <c r="A16" i="20"/>
  <c r="B16" i="20"/>
  <c r="C16" i="20"/>
  <c r="D16" i="20"/>
  <c r="F16" i="20"/>
  <c r="G16" i="20"/>
  <c r="A17" i="20"/>
  <c r="B17" i="20"/>
  <c r="C17" i="20"/>
  <c r="D17" i="20"/>
  <c r="F17" i="20"/>
  <c r="G17" i="20"/>
  <c r="A18" i="20"/>
  <c r="B18" i="20"/>
  <c r="C18" i="20"/>
  <c r="D18" i="20"/>
  <c r="F18" i="20"/>
  <c r="G18" i="20"/>
  <c r="A19" i="20"/>
  <c r="B19" i="20"/>
  <c r="C19" i="20"/>
  <c r="D19" i="20"/>
  <c r="F19" i="20"/>
  <c r="G19" i="20"/>
  <c r="A20" i="20"/>
  <c r="B20" i="20"/>
  <c r="C20" i="20"/>
  <c r="D20" i="20"/>
  <c r="F20" i="20"/>
  <c r="G20" i="20"/>
  <c r="A21" i="20"/>
  <c r="B21" i="20"/>
  <c r="C21" i="20"/>
  <c r="D21" i="20"/>
  <c r="F21" i="20"/>
  <c r="G21" i="20"/>
  <c r="A22" i="20"/>
  <c r="B22" i="20"/>
  <c r="C22" i="20"/>
  <c r="D22" i="20"/>
  <c r="F22" i="20"/>
  <c r="G22" i="20"/>
  <c r="A23" i="20"/>
  <c r="B23" i="20"/>
  <c r="C23" i="20"/>
  <c r="D23" i="20"/>
  <c r="F23" i="20"/>
  <c r="G23" i="20"/>
  <c r="A24" i="20"/>
  <c r="B24" i="20"/>
  <c r="C24" i="20"/>
  <c r="D24" i="20"/>
  <c r="F24" i="20"/>
  <c r="G24" i="20"/>
  <c r="A25" i="20"/>
  <c r="B25" i="20"/>
  <c r="C25" i="20"/>
  <c r="D25" i="20"/>
  <c r="F25" i="20"/>
  <c r="G25" i="20"/>
  <c r="A26" i="20"/>
  <c r="B26" i="20"/>
  <c r="C26" i="20"/>
  <c r="D26" i="20"/>
  <c r="F26" i="20"/>
  <c r="G26" i="20"/>
  <c r="A27" i="20"/>
  <c r="B27" i="20"/>
  <c r="C27" i="20"/>
  <c r="D27" i="20"/>
  <c r="F27" i="20"/>
  <c r="G27" i="20"/>
  <c r="A28" i="20"/>
  <c r="B28" i="20"/>
  <c r="C28" i="20"/>
  <c r="D28" i="20"/>
  <c r="F28" i="20"/>
  <c r="G28" i="20"/>
  <c r="A29" i="20"/>
  <c r="B29" i="20"/>
  <c r="C29" i="20"/>
  <c r="D29" i="20"/>
  <c r="F29" i="20"/>
  <c r="G29" i="20"/>
  <c r="A30" i="20"/>
  <c r="B30" i="20"/>
  <c r="C30" i="20"/>
  <c r="D30" i="20"/>
  <c r="F30" i="20"/>
  <c r="G30" i="20"/>
  <c r="A31" i="20"/>
  <c r="B31" i="20"/>
  <c r="C31" i="20"/>
  <c r="D31" i="20"/>
  <c r="F31" i="20"/>
  <c r="G31" i="20"/>
  <c r="A32" i="20"/>
  <c r="B32" i="20"/>
  <c r="C32" i="20"/>
  <c r="D32" i="20"/>
  <c r="F32" i="20"/>
  <c r="G32" i="20"/>
  <c r="A33" i="20"/>
  <c r="B33" i="20"/>
  <c r="C33" i="20"/>
  <c r="D33" i="20"/>
  <c r="F33" i="20"/>
  <c r="G33" i="20"/>
  <c r="A34" i="20"/>
  <c r="B34" i="20"/>
  <c r="C34" i="20"/>
  <c r="D34" i="20"/>
  <c r="F34" i="20"/>
  <c r="G34" i="20"/>
  <c r="A35" i="20"/>
  <c r="B35" i="20"/>
  <c r="C35" i="20"/>
  <c r="D35" i="20"/>
  <c r="F35" i="20"/>
  <c r="G35" i="20"/>
  <c r="A36" i="20"/>
  <c r="B36" i="20"/>
  <c r="C36" i="20"/>
  <c r="D36" i="20"/>
  <c r="F36" i="20"/>
  <c r="G36" i="20"/>
  <c r="A37" i="20"/>
  <c r="B37" i="20"/>
  <c r="C37" i="20"/>
  <c r="D37" i="20"/>
  <c r="F37" i="20"/>
  <c r="G37" i="20"/>
  <c r="A38" i="20"/>
  <c r="B38" i="20"/>
  <c r="C38" i="20"/>
  <c r="D38" i="20"/>
  <c r="F38" i="20"/>
  <c r="G38" i="20"/>
  <c r="A39" i="20"/>
  <c r="B39" i="20"/>
  <c r="C39" i="20"/>
  <c r="D39" i="20"/>
  <c r="F39" i="20"/>
  <c r="G39" i="20"/>
  <c r="A40" i="20"/>
  <c r="B40" i="20"/>
  <c r="C40" i="20"/>
  <c r="D40" i="20"/>
  <c r="F40" i="20"/>
  <c r="G40" i="20"/>
  <c r="A41" i="20"/>
  <c r="B41" i="20"/>
  <c r="C41" i="20"/>
  <c r="D41" i="20"/>
  <c r="F41" i="20"/>
  <c r="G41" i="20"/>
  <c r="A42" i="20"/>
  <c r="B42" i="20"/>
  <c r="C42" i="20"/>
  <c r="D42" i="20"/>
  <c r="F42" i="20"/>
  <c r="G42" i="20"/>
  <c r="A43" i="20"/>
  <c r="B43" i="20"/>
  <c r="C43" i="20"/>
  <c r="D43" i="20"/>
  <c r="F43" i="20"/>
  <c r="G43" i="20"/>
  <c r="A44" i="20"/>
  <c r="B44" i="20"/>
  <c r="C44" i="20"/>
  <c r="D44" i="20"/>
  <c r="F44" i="20"/>
  <c r="G44" i="20"/>
  <c r="A45" i="20"/>
  <c r="B45" i="20"/>
  <c r="C45" i="20"/>
  <c r="D45" i="20"/>
  <c r="F45" i="20"/>
  <c r="G45" i="20"/>
  <c r="H3" i="23"/>
  <c r="I3" i="23" s="1"/>
  <c r="K3" i="23"/>
  <c r="F5" i="23"/>
  <c r="G5" i="23"/>
  <c r="A6" i="23"/>
  <c r="B6" i="23"/>
  <c r="C6" i="23"/>
  <c r="D6" i="23"/>
  <c r="F6" i="23"/>
  <c r="G6" i="23"/>
  <c r="A7" i="23"/>
  <c r="B7" i="23"/>
  <c r="C7" i="23"/>
  <c r="D7" i="23"/>
  <c r="F7" i="23"/>
  <c r="G7" i="23"/>
  <c r="A8" i="23"/>
  <c r="B8" i="23"/>
  <c r="C8" i="23"/>
  <c r="D8" i="23"/>
  <c r="F8" i="23"/>
  <c r="G8" i="23"/>
  <c r="A9" i="23"/>
  <c r="B9" i="23"/>
  <c r="C9" i="23"/>
  <c r="D9" i="23"/>
  <c r="F9" i="23"/>
  <c r="G9" i="23"/>
  <c r="A10" i="23"/>
  <c r="B10" i="23"/>
  <c r="C10" i="23"/>
  <c r="D10" i="23"/>
  <c r="F10" i="23"/>
  <c r="G10" i="23"/>
  <c r="A11" i="23"/>
  <c r="B11" i="23"/>
  <c r="C11" i="23"/>
  <c r="D11" i="23"/>
  <c r="F11" i="23"/>
  <c r="G11" i="23"/>
  <c r="A12" i="23"/>
  <c r="B12" i="23"/>
  <c r="C12" i="23"/>
  <c r="D12" i="23"/>
  <c r="F12" i="23"/>
  <c r="G12" i="23"/>
  <c r="A13" i="23"/>
  <c r="B13" i="23"/>
  <c r="C13" i="23"/>
  <c r="D13" i="23"/>
  <c r="F13" i="23"/>
  <c r="G13" i="23"/>
  <c r="A14" i="23"/>
  <c r="B14" i="23"/>
  <c r="C14" i="23"/>
  <c r="D14" i="23"/>
  <c r="F14" i="23"/>
  <c r="G14" i="23"/>
  <c r="A15" i="23"/>
  <c r="B15" i="23"/>
  <c r="C15" i="23"/>
  <c r="D15" i="23"/>
  <c r="F15" i="23"/>
  <c r="G15" i="23"/>
  <c r="A16" i="23"/>
  <c r="B16" i="23"/>
  <c r="C16" i="23"/>
  <c r="D16" i="23"/>
  <c r="F16" i="23"/>
  <c r="G16" i="23"/>
  <c r="A17" i="23"/>
  <c r="B17" i="23"/>
  <c r="C17" i="23"/>
  <c r="D17" i="23"/>
  <c r="F17" i="23"/>
  <c r="G17" i="23"/>
  <c r="A18" i="23"/>
  <c r="B18" i="23"/>
  <c r="C18" i="23"/>
  <c r="D18" i="23"/>
  <c r="F18" i="23"/>
  <c r="G18" i="23"/>
  <c r="A19" i="23"/>
  <c r="B19" i="23"/>
  <c r="C19" i="23"/>
  <c r="D19" i="23"/>
  <c r="F19" i="23"/>
  <c r="G19" i="23"/>
  <c r="A20" i="23"/>
  <c r="B20" i="23"/>
  <c r="C20" i="23"/>
  <c r="D20" i="23"/>
  <c r="F20" i="23"/>
  <c r="G20" i="23"/>
  <c r="A21" i="23"/>
  <c r="B21" i="23"/>
  <c r="C21" i="23"/>
  <c r="D21" i="23"/>
  <c r="F21" i="23"/>
  <c r="G21" i="23"/>
  <c r="A22" i="23"/>
  <c r="B22" i="23"/>
  <c r="C22" i="23"/>
  <c r="D22" i="23"/>
  <c r="F22" i="23"/>
  <c r="G22" i="23"/>
  <c r="A23" i="23"/>
  <c r="B23" i="23"/>
  <c r="C23" i="23"/>
  <c r="D23" i="23"/>
  <c r="F23" i="23"/>
  <c r="G23" i="23"/>
  <c r="A24" i="23"/>
  <c r="B24" i="23"/>
  <c r="C24" i="23"/>
  <c r="D24" i="23"/>
  <c r="F24" i="23"/>
  <c r="G24" i="23"/>
  <c r="A25" i="23"/>
  <c r="B25" i="23"/>
  <c r="C25" i="23"/>
  <c r="D25" i="23"/>
  <c r="F25" i="23"/>
  <c r="G25" i="23"/>
  <c r="A26" i="23"/>
  <c r="B26" i="23"/>
  <c r="C26" i="23"/>
  <c r="D26" i="23"/>
  <c r="F26" i="23"/>
  <c r="G26" i="23"/>
  <c r="A27" i="23"/>
  <c r="B27" i="23"/>
  <c r="C27" i="23"/>
  <c r="D27" i="23"/>
  <c r="F27" i="23"/>
  <c r="G27" i="23"/>
  <c r="A28" i="23"/>
  <c r="B28" i="23"/>
  <c r="C28" i="23"/>
  <c r="D28" i="23"/>
  <c r="F28" i="23"/>
  <c r="G28" i="23"/>
  <c r="A29" i="23"/>
  <c r="B29" i="23"/>
  <c r="C29" i="23"/>
  <c r="D29" i="23"/>
  <c r="F29" i="23"/>
  <c r="G29" i="23"/>
  <c r="A30" i="23"/>
  <c r="B30" i="23"/>
  <c r="C30" i="23"/>
  <c r="D30" i="23"/>
  <c r="F30" i="23"/>
  <c r="G30" i="23"/>
  <c r="A31" i="23"/>
  <c r="B31" i="23"/>
  <c r="C31" i="23"/>
  <c r="D31" i="23"/>
  <c r="F31" i="23"/>
  <c r="G31" i="23"/>
  <c r="A32" i="23"/>
  <c r="B32" i="23"/>
  <c r="C32" i="23"/>
  <c r="D32" i="23"/>
  <c r="F32" i="23"/>
  <c r="G32" i="23"/>
  <c r="A33" i="23"/>
  <c r="B33" i="23"/>
  <c r="C33" i="23"/>
  <c r="D33" i="23"/>
  <c r="F33" i="23"/>
  <c r="G33" i="23"/>
  <c r="A34" i="23"/>
  <c r="B34" i="23"/>
  <c r="C34" i="23"/>
  <c r="D34" i="23"/>
  <c r="F34" i="23"/>
  <c r="G34" i="23"/>
  <c r="A35" i="23"/>
  <c r="B35" i="23"/>
  <c r="C35" i="23"/>
  <c r="D35" i="23"/>
  <c r="F35" i="23"/>
  <c r="G35" i="23"/>
  <c r="A36" i="23"/>
  <c r="B36" i="23"/>
  <c r="C36" i="23"/>
  <c r="D36" i="23"/>
  <c r="F36" i="23"/>
  <c r="G36" i="23"/>
  <c r="A37" i="23"/>
  <c r="B37" i="23"/>
  <c r="C37" i="23"/>
  <c r="D37" i="23"/>
  <c r="F37" i="23"/>
  <c r="G37" i="23"/>
  <c r="A38" i="23"/>
  <c r="B38" i="23"/>
  <c r="C38" i="23"/>
  <c r="D38" i="23"/>
  <c r="F38" i="23"/>
  <c r="G38" i="23"/>
  <c r="A39" i="23"/>
  <c r="B39" i="23"/>
  <c r="C39" i="23"/>
  <c r="D39" i="23"/>
  <c r="F39" i="23"/>
  <c r="G39" i="23"/>
  <c r="A40" i="23"/>
  <c r="B40" i="23"/>
  <c r="C40" i="23"/>
  <c r="D40" i="23"/>
  <c r="F40" i="23"/>
  <c r="G40" i="23"/>
  <c r="A41" i="23"/>
  <c r="B41" i="23"/>
  <c r="C41" i="23"/>
  <c r="D41" i="23"/>
  <c r="F41" i="23"/>
  <c r="G41" i="23"/>
  <c r="A42" i="23"/>
  <c r="B42" i="23"/>
  <c r="C42" i="23"/>
  <c r="D42" i="23"/>
  <c r="F42" i="23"/>
  <c r="G42" i="23"/>
  <c r="A43" i="23"/>
  <c r="B43" i="23"/>
  <c r="C43" i="23"/>
  <c r="D43" i="23"/>
  <c r="F43" i="23"/>
  <c r="G43" i="23"/>
  <c r="A44" i="23"/>
  <c r="B44" i="23"/>
  <c r="C44" i="23"/>
  <c r="D44" i="23"/>
  <c r="F44" i="23"/>
  <c r="G44" i="23"/>
  <c r="A45" i="23"/>
  <c r="B45" i="23"/>
  <c r="C45" i="23"/>
  <c r="D45" i="23"/>
  <c r="F45" i="23"/>
  <c r="G45" i="23"/>
  <c r="E7" i="2"/>
  <c r="I7" i="2" s="1"/>
  <c r="A8" i="2"/>
  <c r="D51" i="2"/>
  <c r="D52" i="2"/>
  <c r="D53" i="2"/>
  <c r="D54" i="2"/>
  <c r="D55" i="2"/>
  <c r="D56" i="2"/>
  <c r="D57" i="2"/>
  <c r="D58" i="2"/>
  <c r="D59" i="2"/>
  <c r="AG59" i="2"/>
  <c r="AH59" i="2"/>
  <c r="AI59" i="2"/>
  <c r="AJ59" i="2"/>
  <c r="AK59" i="2"/>
  <c r="AL59" i="2"/>
  <c r="AM59" i="2"/>
  <c r="B60" i="2"/>
  <c r="C76" i="2"/>
  <c r="D76" i="2" s="1"/>
  <c r="C77" i="2" s="1"/>
  <c r="B99" i="2"/>
  <c r="H3" i="22"/>
  <c r="I3" i="22" s="1"/>
  <c r="K3" i="22"/>
  <c r="L3" i="22" s="1"/>
  <c r="F5" i="22"/>
  <c r="G5" i="22"/>
  <c r="A6" i="22"/>
  <c r="B6" i="22"/>
  <c r="C6" i="22"/>
  <c r="D6" i="22"/>
  <c r="F6" i="22"/>
  <c r="G6" i="22"/>
  <c r="A7" i="22"/>
  <c r="B7" i="22"/>
  <c r="C7" i="22"/>
  <c r="D7" i="22"/>
  <c r="F7" i="22"/>
  <c r="G7" i="22"/>
  <c r="A8" i="22"/>
  <c r="B8" i="22"/>
  <c r="C8" i="22"/>
  <c r="D8" i="22"/>
  <c r="F8" i="22"/>
  <c r="G8" i="22"/>
  <c r="A9" i="22"/>
  <c r="B9" i="22"/>
  <c r="C9" i="22"/>
  <c r="D9" i="22"/>
  <c r="F9" i="22"/>
  <c r="G9" i="22"/>
  <c r="A10" i="22"/>
  <c r="B10" i="22"/>
  <c r="C10" i="22"/>
  <c r="D10" i="22"/>
  <c r="F10" i="22"/>
  <c r="G10" i="22"/>
  <c r="A11" i="22"/>
  <c r="B11" i="22"/>
  <c r="C11" i="22"/>
  <c r="D11" i="22"/>
  <c r="F11" i="22"/>
  <c r="G11" i="22"/>
  <c r="A12" i="22"/>
  <c r="B12" i="22"/>
  <c r="C12" i="22"/>
  <c r="D12" i="22"/>
  <c r="F12" i="22"/>
  <c r="G12" i="22"/>
  <c r="A13" i="22"/>
  <c r="B13" i="22"/>
  <c r="C13" i="22"/>
  <c r="D13" i="22"/>
  <c r="F13" i="22"/>
  <c r="G13" i="22"/>
  <c r="A14" i="22"/>
  <c r="B14" i="22"/>
  <c r="C14" i="22"/>
  <c r="D14" i="22"/>
  <c r="F14" i="22"/>
  <c r="G14" i="22"/>
  <c r="A15" i="22"/>
  <c r="B15" i="22"/>
  <c r="C15" i="22"/>
  <c r="D15" i="22"/>
  <c r="F15" i="22"/>
  <c r="G15" i="22"/>
  <c r="A16" i="22"/>
  <c r="B16" i="22"/>
  <c r="C16" i="22"/>
  <c r="D16" i="22"/>
  <c r="F16" i="22"/>
  <c r="G16" i="22"/>
  <c r="A17" i="22"/>
  <c r="B17" i="22"/>
  <c r="C17" i="22"/>
  <c r="D17" i="22"/>
  <c r="F17" i="22"/>
  <c r="G17" i="22"/>
  <c r="A18" i="22"/>
  <c r="B18" i="22"/>
  <c r="C18" i="22"/>
  <c r="D18" i="22"/>
  <c r="F18" i="22"/>
  <c r="G18" i="22"/>
  <c r="A19" i="22"/>
  <c r="B19" i="22"/>
  <c r="C19" i="22"/>
  <c r="D19" i="22"/>
  <c r="F19" i="22"/>
  <c r="G19" i="22"/>
  <c r="A20" i="22"/>
  <c r="B20" i="22"/>
  <c r="C20" i="22"/>
  <c r="D20" i="22"/>
  <c r="F20" i="22"/>
  <c r="G20" i="22"/>
  <c r="A21" i="22"/>
  <c r="B21" i="22"/>
  <c r="C21" i="22"/>
  <c r="D21" i="22"/>
  <c r="F21" i="22"/>
  <c r="G21" i="22"/>
  <c r="A22" i="22"/>
  <c r="B22" i="22"/>
  <c r="C22" i="22"/>
  <c r="D22" i="22"/>
  <c r="F22" i="22"/>
  <c r="G22" i="22"/>
  <c r="A23" i="22"/>
  <c r="B23" i="22"/>
  <c r="C23" i="22"/>
  <c r="D23" i="22"/>
  <c r="F23" i="22"/>
  <c r="G23" i="22"/>
  <c r="A24" i="22"/>
  <c r="B24" i="22"/>
  <c r="C24" i="22"/>
  <c r="D24" i="22"/>
  <c r="F24" i="22"/>
  <c r="G24" i="22"/>
  <c r="A25" i="22"/>
  <c r="B25" i="22"/>
  <c r="C25" i="22"/>
  <c r="D25" i="22"/>
  <c r="F25" i="22"/>
  <c r="G25" i="22"/>
  <c r="A26" i="22"/>
  <c r="B26" i="22"/>
  <c r="C26" i="22"/>
  <c r="D26" i="22"/>
  <c r="F26" i="22"/>
  <c r="G26" i="22"/>
  <c r="A27" i="22"/>
  <c r="B27" i="22"/>
  <c r="C27" i="22"/>
  <c r="D27" i="22"/>
  <c r="F27" i="22"/>
  <c r="G27" i="22"/>
  <c r="A28" i="22"/>
  <c r="B28" i="22"/>
  <c r="C28" i="22"/>
  <c r="D28" i="22"/>
  <c r="F28" i="22"/>
  <c r="G28" i="22"/>
  <c r="A29" i="22"/>
  <c r="B29" i="22"/>
  <c r="C29" i="22"/>
  <c r="D29" i="22"/>
  <c r="F29" i="22"/>
  <c r="G29" i="22"/>
  <c r="A30" i="22"/>
  <c r="B30" i="22"/>
  <c r="C30" i="22"/>
  <c r="D30" i="22"/>
  <c r="F30" i="22"/>
  <c r="G30" i="22"/>
  <c r="A31" i="22"/>
  <c r="B31" i="22"/>
  <c r="C31" i="22"/>
  <c r="D31" i="22"/>
  <c r="F31" i="22"/>
  <c r="G31" i="22"/>
  <c r="A32" i="22"/>
  <c r="B32" i="22"/>
  <c r="C32" i="22"/>
  <c r="D32" i="22"/>
  <c r="F32" i="22"/>
  <c r="G32" i="22"/>
  <c r="A33" i="22"/>
  <c r="B33" i="22"/>
  <c r="C33" i="22"/>
  <c r="D33" i="22"/>
  <c r="F33" i="22"/>
  <c r="G33" i="22"/>
  <c r="A34" i="22"/>
  <c r="B34" i="22"/>
  <c r="C34" i="22"/>
  <c r="D34" i="22"/>
  <c r="F34" i="22"/>
  <c r="G34" i="22"/>
  <c r="A35" i="22"/>
  <c r="B35" i="22"/>
  <c r="C35" i="22"/>
  <c r="D35" i="22"/>
  <c r="F35" i="22"/>
  <c r="G35" i="22"/>
  <c r="A36" i="22"/>
  <c r="B36" i="22"/>
  <c r="C36" i="22"/>
  <c r="D36" i="22"/>
  <c r="F36" i="22"/>
  <c r="G36" i="22"/>
  <c r="A37" i="22"/>
  <c r="B37" i="22"/>
  <c r="C37" i="22"/>
  <c r="D37" i="22"/>
  <c r="F37" i="22"/>
  <c r="G37" i="22"/>
  <c r="A38" i="22"/>
  <c r="B38" i="22"/>
  <c r="C38" i="22"/>
  <c r="D38" i="22"/>
  <c r="F38" i="22"/>
  <c r="G38" i="22"/>
  <c r="A39" i="22"/>
  <c r="B39" i="22"/>
  <c r="C39" i="22"/>
  <c r="D39" i="22"/>
  <c r="F39" i="22"/>
  <c r="G39" i="22"/>
  <c r="A40" i="22"/>
  <c r="B40" i="22"/>
  <c r="C40" i="22"/>
  <c r="D40" i="22"/>
  <c r="F40" i="22"/>
  <c r="G40" i="22"/>
  <c r="A41" i="22"/>
  <c r="B41" i="22"/>
  <c r="C41" i="22"/>
  <c r="D41" i="22"/>
  <c r="F41" i="22"/>
  <c r="G41" i="22"/>
  <c r="A42" i="22"/>
  <c r="B42" i="22"/>
  <c r="C42" i="22"/>
  <c r="D42" i="22"/>
  <c r="F42" i="22"/>
  <c r="G42" i="22"/>
  <c r="A43" i="22"/>
  <c r="B43" i="22"/>
  <c r="C43" i="22"/>
  <c r="D43" i="22"/>
  <c r="F43" i="22"/>
  <c r="G43" i="22"/>
  <c r="A44" i="22"/>
  <c r="B44" i="22"/>
  <c r="C44" i="22"/>
  <c r="D44" i="22"/>
  <c r="F44" i="22"/>
  <c r="G44" i="22"/>
  <c r="A45" i="22"/>
  <c r="B45" i="22"/>
  <c r="C45" i="22"/>
  <c r="D45" i="22"/>
  <c r="F45" i="22"/>
  <c r="G45" i="22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U28" i="10"/>
  <c r="U33" i="10"/>
  <c r="F2" i="20"/>
  <c r="I3" i="21"/>
  <c r="J3" i="21" s="1"/>
  <c r="U60" i="10"/>
  <c r="U47" i="10"/>
  <c r="U6" i="10"/>
  <c r="U39" i="10"/>
  <c r="U14" i="10"/>
  <c r="U52" i="10"/>
  <c r="U50" i="10"/>
  <c r="U22" i="10"/>
  <c r="U64" i="10"/>
  <c r="U34" i="10"/>
  <c r="U5" i="10"/>
  <c r="U55" i="10"/>
  <c r="U25" i="10"/>
  <c r="U12" i="10"/>
  <c r="U51" i="10"/>
  <c r="U65" i="10"/>
  <c r="U30" i="10"/>
  <c r="U40" i="10"/>
  <c r="U37" i="10"/>
  <c r="U16" i="10"/>
  <c r="U44" i="10"/>
  <c r="U63" i="10"/>
  <c r="U9" i="10"/>
  <c r="U8" i="10"/>
  <c r="U10" i="10"/>
  <c r="U23" i="10"/>
  <c r="U36" i="10"/>
  <c r="U61" i="10"/>
  <c r="U21" i="10"/>
  <c r="U57" i="10"/>
  <c r="U48" i="10"/>
  <c r="U32" i="10"/>
  <c r="U19" i="10"/>
  <c r="U7" i="10"/>
  <c r="U62" i="10"/>
  <c r="U58" i="10"/>
  <c r="U26" i="10"/>
  <c r="U17" i="10"/>
  <c r="U38" i="10"/>
  <c r="U49" i="10"/>
  <c r="U13" i="10"/>
  <c r="U35" i="10"/>
  <c r="U11" i="10"/>
  <c r="U43" i="10"/>
  <c r="V54" i="10"/>
  <c r="W22" i="10"/>
  <c r="T35" i="10"/>
  <c r="Z21" i="10"/>
  <c r="Z43" i="10"/>
  <c r="X26" i="10"/>
  <c r="X11" i="10"/>
  <c r="Z37" i="10"/>
  <c r="W49" i="10"/>
  <c r="Y53" i="10"/>
  <c r="V9" i="10"/>
  <c r="Z5" i="10"/>
  <c r="X57" i="10"/>
  <c r="X64" i="10"/>
  <c r="W60" i="10"/>
  <c r="W14" i="10"/>
  <c r="Y44" i="10"/>
  <c r="Z13" i="10"/>
  <c r="W65" i="10"/>
  <c r="X44" i="10"/>
  <c r="Z42" i="10"/>
  <c r="V43" i="10"/>
  <c r="V20" i="10"/>
  <c r="V53" i="10"/>
  <c r="V57" i="10"/>
  <c r="V23" i="10"/>
  <c r="V24" i="10"/>
  <c r="V34" i="10"/>
  <c r="V38" i="10"/>
  <c r="V47" i="10"/>
  <c r="V16" i="10"/>
  <c r="V6" i="10"/>
  <c r="V29" i="10"/>
  <c r="V58" i="10"/>
  <c r="V62" i="10"/>
  <c r="V49" i="10"/>
  <c r="V55" i="10"/>
  <c r="V8" i="10"/>
  <c r="V63" i="10"/>
  <c r="V60" i="10"/>
  <c r="V25" i="10"/>
  <c r="V32" i="10"/>
  <c r="V48" i="10"/>
  <c r="W9" i="10"/>
  <c r="V27" i="10"/>
  <c r="V19" i="10"/>
  <c r="V42" i="10"/>
  <c r="V21" i="10"/>
  <c r="V64" i="10"/>
  <c r="V14" i="10"/>
  <c r="V39" i="10"/>
  <c r="V46" i="10"/>
  <c r="X51" i="10"/>
  <c r="T63" i="10"/>
  <c r="T53" i="10"/>
  <c r="T46" i="10"/>
  <c r="X10" i="10"/>
  <c r="W29" i="10"/>
  <c r="Y31" i="10"/>
  <c r="T25" i="10"/>
  <c r="W47" i="10"/>
  <c r="T56" i="10"/>
  <c r="X49" i="10"/>
  <c r="X24" i="10"/>
  <c r="Y39" i="10"/>
  <c r="W57" i="10"/>
  <c r="Y33" i="10"/>
  <c r="Y7" i="10"/>
  <c r="X6" i="10"/>
  <c r="T39" i="10"/>
  <c r="Y37" i="10"/>
  <c r="W51" i="10"/>
  <c r="Y8" i="10"/>
  <c r="W11" i="10"/>
  <c r="T65" i="10"/>
  <c r="Z36" i="10"/>
  <c r="T12" i="10"/>
  <c r="W61" i="10"/>
  <c r="W62" i="10"/>
  <c r="X54" i="10"/>
  <c r="X7" i="10"/>
  <c r="Z16" i="10"/>
  <c r="Y21" i="10"/>
  <c r="T22" i="10"/>
  <c r="T58" i="10"/>
  <c r="X16" i="10"/>
  <c r="T5" i="10"/>
  <c r="Y14" i="10"/>
  <c r="X5" i="10"/>
  <c r="W63" i="10"/>
  <c r="Z60" i="10"/>
  <c r="T54" i="10"/>
  <c r="W41" i="10"/>
  <c r="W53" i="10"/>
  <c r="X19" i="10"/>
  <c r="Z46" i="10"/>
  <c r="T52" i="10"/>
  <c r="Y26" i="10"/>
  <c r="T43" i="10"/>
  <c r="Y12" i="10"/>
  <c r="T32" i="10"/>
  <c r="X52" i="10"/>
  <c r="W18" i="10"/>
  <c r="X48" i="10"/>
  <c r="Y64" i="10"/>
  <c r="W26" i="10"/>
  <c r="Z58" i="10"/>
  <c r="Z10" i="10"/>
  <c r="W21" i="10"/>
  <c r="Y56" i="10"/>
  <c r="Z63" i="10"/>
  <c r="X63" i="10"/>
  <c r="Z62" i="10"/>
  <c r="W42" i="10"/>
  <c r="W20" i="10"/>
  <c r="T15" i="10"/>
  <c r="X38" i="10"/>
  <c r="Y45" i="10"/>
  <c r="T37" i="10"/>
  <c r="X61" i="10"/>
  <c r="Z25" i="10"/>
  <c r="W17" i="10"/>
  <c r="T28" i="10"/>
  <c r="T59" i="10"/>
  <c r="Y42" i="10"/>
  <c r="T61" i="10"/>
  <c r="W37" i="10"/>
  <c r="V36" i="10"/>
  <c r="V65" i="10"/>
  <c r="V35" i="10"/>
  <c r="V17" i="10"/>
  <c r="V18" i="10"/>
  <c r="V59" i="10"/>
  <c r="V56" i="10"/>
  <c r="V52" i="10"/>
  <c r="V31" i="10"/>
  <c r="W10" i="10"/>
  <c r="Y24" i="10"/>
  <c r="T49" i="10"/>
  <c r="T47" i="10"/>
  <c r="X35" i="10"/>
  <c r="Y52" i="10"/>
  <c r="T60" i="10"/>
  <c r="Y34" i="10"/>
  <c r="X56" i="10"/>
  <c r="Z22" i="10"/>
  <c r="T11" i="10"/>
  <c r="X50" i="10"/>
  <c r="W35" i="10"/>
  <c r="W5" i="10"/>
  <c r="W58" i="10"/>
  <c r="Y16" i="10"/>
  <c r="Y22" i="10"/>
  <c r="W46" i="10"/>
  <c r="X33" i="10"/>
  <c r="T57" i="10"/>
  <c r="T31" i="10"/>
  <c r="Y36" i="10"/>
  <c r="X36" i="10"/>
  <c r="Z38" i="10"/>
  <c r="Y18" i="10"/>
  <c r="Z29" i="10"/>
  <c r="W55" i="10"/>
  <c r="X8" i="10"/>
  <c r="Y28" i="10"/>
  <c r="T17" i="10"/>
  <c r="Y63" i="10"/>
  <c r="X23" i="10"/>
  <c r="X31" i="10"/>
  <c r="W64" i="10"/>
  <c r="Y65" i="10"/>
  <c r="W32" i="10"/>
  <c r="X14" i="10"/>
  <c r="X15" i="10"/>
  <c r="W54" i="10"/>
  <c r="Z48" i="10"/>
  <c r="T19" i="10"/>
  <c r="W30" i="10"/>
  <c r="Y13" i="10"/>
  <c r="Z44" i="10"/>
  <c r="Z35" i="10"/>
  <c r="Z59" i="10"/>
  <c r="Z31" i="10"/>
  <c r="T9" i="10"/>
  <c r="T40" i="10"/>
  <c r="Z28" i="10"/>
  <c r="X45" i="10"/>
  <c r="Z34" i="10"/>
  <c r="Z57" i="10"/>
  <c r="X22" i="10"/>
  <c r="X40" i="10"/>
  <c r="Y43" i="10"/>
  <c r="Y51" i="10"/>
  <c r="Z54" i="10"/>
  <c r="W43" i="10"/>
  <c r="T45" i="10"/>
  <c r="Y10" i="10"/>
  <c r="Z27" i="10"/>
  <c r="W27" i="10"/>
  <c r="W52" i="10"/>
  <c r="X20" i="10"/>
  <c r="T36" i="10"/>
  <c r="T64" i="10"/>
  <c r="Z30" i="10"/>
  <c r="Z33" i="10"/>
  <c r="Z15" i="10"/>
  <c r="X13" i="10"/>
  <c r="W19" i="10"/>
  <c r="W34" i="10"/>
  <c r="V22" i="10"/>
  <c r="V10" i="10"/>
  <c r="V7" i="10"/>
  <c r="V33" i="10"/>
  <c r="V15" i="10"/>
  <c r="V12" i="10"/>
  <c r="Z40" i="10"/>
  <c r="X46" i="10"/>
  <c r="Z23" i="10"/>
  <c r="T38" i="10"/>
  <c r="Y30" i="10"/>
  <c r="Y58" i="10"/>
  <c r="Y54" i="10"/>
  <c r="X42" i="10"/>
  <c r="Y25" i="10"/>
  <c r="Z14" i="10"/>
  <c r="W6" i="10"/>
  <c r="X53" i="10"/>
  <c r="X47" i="10"/>
  <c r="W7" i="10"/>
  <c r="X59" i="10"/>
  <c r="W13" i="10"/>
  <c r="X18" i="10"/>
  <c r="Y15" i="10"/>
  <c r="Y17" i="10"/>
  <c r="Z20" i="10"/>
  <c r="Z47" i="10"/>
  <c r="Z64" i="10"/>
  <c r="Y49" i="10"/>
  <c r="T14" i="10"/>
  <c r="T29" i="10"/>
  <c r="X65" i="10"/>
  <c r="T51" i="10"/>
  <c r="W45" i="10"/>
  <c r="T18" i="10"/>
  <c r="Y59" i="10"/>
  <c r="T48" i="10"/>
  <c r="W44" i="10"/>
  <c r="W8" i="10"/>
  <c r="W23" i="10"/>
  <c r="X9" i="10"/>
  <c r="Y38" i="10"/>
  <c r="W15" i="10"/>
  <c r="X60" i="10"/>
  <c r="V11" i="10"/>
  <c r="V13" i="10"/>
  <c r="V28" i="10"/>
  <c r="V61" i="10"/>
  <c r="W36" i="10"/>
  <c r="W50" i="10"/>
  <c r="T23" i="10"/>
  <c r="Y35" i="10"/>
  <c r="Z39" i="10"/>
  <c r="T21" i="10"/>
  <c r="X27" i="10"/>
  <c r="Y60" i="10"/>
  <c r="T55" i="10"/>
  <c r="W28" i="10"/>
  <c r="T30" i="10"/>
  <c r="T16" i="10"/>
  <c r="Y11" i="10"/>
  <c r="Y32" i="10"/>
  <c r="Y40" i="10"/>
  <c r="Y19" i="10"/>
  <c r="T6" i="10"/>
  <c r="T44" i="10"/>
  <c r="X62" i="10"/>
  <c r="Z45" i="10"/>
  <c r="W56" i="10"/>
  <c r="Y27" i="10"/>
  <c r="X34" i="10"/>
  <c r="X28" i="10"/>
  <c r="X25" i="10"/>
  <c r="T26" i="10"/>
  <c r="T24" i="10"/>
  <c r="W33" i="10"/>
  <c r="X17" i="10"/>
  <c r="X55" i="10"/>
  <c r="T10" i="10"/>
  <c r="Y50" i="10"/>
  <c r="Z17" i="10"/>
  <c r="T7" i="10"/>
  <c r="T41" i="10"/>
  <c r="Y61" i="10"/>
  <c r="X37" i="10"/>
  <c r="W12" i="10"/>
  <c r="W59" i="10"/>
  <c r="T27" i="10"/>
  <c r="Z8" i="10"/>
  <c r="X30" i="10"/>
  <c r="Z12" i="10"/>
  <c r="Z41" i="10"/>
  <c r="Z6" i="10"/>
  <c r="Z18" i="10"/>
  <c r="Z65" i="10"/>
  <c r="X39" i="10"/>
  <c r="T62" i="10"/>
  <c r="T34" i="10"/>
  <c r="Y20" i="10"/>
  <c r="Z9" i="10"/>
  <c r="W25" i="10"/>
  <c r="W39" i="10"/>
  <c r="Y46" i="10"/>
  <c r="V40" i="10"/>
  <c r="V37" i="10"/>
  <c r="V44" i="10"/>
  <c r="O3" i="21"/>
  <c r="P3" i="21" s="1"/>
  <c r="Q3" i="21" s="1"/>
  <c r="L3" i="21"/>
  <c r="M3" i="21" s="1"/>
  <c r="N3" i="21" s="1"/>
  <c r="O3" i="3"/>
  <c r="P3" i="3" s="1"/>
  <c r="L3" i="3"/>
  <c r="M3" i="3" s="1"/>
  <c r="N3" i="3" s="1"/>
  <c r="W31" i="10"/>
  <c r="Y41" i="10"/>
  <c r="T20" i="10"/>
  <c r="Z7" i="10"/>
  <c r="I3" i="19"/>
  <c r="J3" i="19" s="1"/>
  <c r="T13" i="10"/>
  <c r="Z32" i="10"/>
  <c r="Y62" i="10"/>
  <c r="X29" i="10"/>
  <c r="Y9" i="10"/>
  <c r="Z26" i="10"/>
  <c r="T50" i="10"/>
  <c r="X58" i="10"/>
  <c r="X43" i="10"/>
  <c r="X41" i="10"/>
  <c r="X32" i="10"/>
  <c r="W16" i="10"/>
  <c r="Z19" i="10"/>
  <c r="Y23" i="10"/>
  <c r="T42" i="10"/>
  <c r="X12" i="10"/>
  <c r="Z61" i="10"/>
  <c r="V51" i="10"/>
  <c r="V50" i="10"/>
  <c r="V45" i="10"/>
  <c r="V26" i="10"/>
  <c r="U53" i="10"/>
  <c r="U15" i="10"/>
  <c r="U45" i="10"/>
  <c r="U46" i="10"/>
  <c r="U29" i="10"/>
  <c r="U18" i="10"/>
  <c r="F2" i="23"/>
  <c r="F2" i="21"/>
  <c r="F2" i="3"/>
  <c r="F2" i="22"/>
  <c r="U59" i="10"/>
  <c r="U27" i="10"/>
  <c r="U24" i="10"/>
  <c r="U56" i="10"/>
  <c r="U31" i="10"/>
  <c r="U42" i="10"/>
  <c r="U41" i="10"/>
  <c r="U20" i="10"/>
  <c r="L3" i="23"/>
  <c r="M3" i="23" s="1"/>
  <c r="N3" i="23" s="1"/>
  <c r="L3" i="20"/>
  <c r="M3" i="20" s="1"/>
  <c r="N3" i="20" s="1"/>
  <c r="O3" i="20"/>
  <c r="P3" i="20" s="1"/>
  <c r="Q3" i="20" s="1"/>
  <c r="X21" i="10"/>
  <c r="Z51" i="10"/>
  <c r="Y48" i="10"/>
  <c r="Z49" i="10"/>
  <c r="Z50" i="10"/>
  <c r="W48" i="10"/>
  <c r="V41" i="10"/>
  <c r="Y57" i="10"/>
  <c r="Y5" i="10"/>
  <c r="Y6" i="10"/>
  <c r="V30" i="10"/>
  <c r="Y47" i="10"/>
  <c r="Z52" i="10"/>
  <c r="Z24" i="10"/>
  <c r="T33" i="10"/>
  <c r="Y55" i="10"/>
  <c r="Y29" i="10"/>
  <c r="W40" i="10"/>
  <c r="Z11" i="10"/>
  <c r="W24" i="10"/>
  <c r="T8" i="10"/>
  <c r="Z56" i="10"/>
  <c r="Z53" i="10"/>
  <c r="W38" i="10"/>
  <c r="V5" i="10"/>
  <c r="Z55" i="10"/>
  <c r="F2" i="19"/>
  <c r="F2" i="18"/>
  <c r="O3" i="23"/>
  <c r="L3" i="19" l="1"/>
  <c r="M3" i="19" s="1"/>
  <c r="N3" i="19" s="1"/>
  <c r="O3" i="18"/>
  <c r="P3" i="18" s="1"/>
  <c r="Q3" i="18" s="1"/>
  <c r="R3" i="18" s="1"/>
  <c r="E15" i="10"/>
  <c r="S3" i="21"/>
  <c r="W3" i="21" s="1"/>
  <c r="S3" i="20"/>
  <c r="T3" i="20" s="1"/>
  <c r="U45" i="20" s="1"/>
  <c r="P19" i="23"/>
  <c r="J19" i="23"/>
  <c r="P3" i="23"/>
  <c r="Q3" i="23" s="1"/>
  <c r="R17" i="23" s="1"/>
  <c r="S3" i="3"/>
  <c r="W3" i="3" s="1"/>
  <c r="X3" i="3" s="1"/>
  <c r="S3" i="23"/>
  <c r="W3" i="23" s="1"/>
  <c r="J3" i="23"/>
  <c r="K45" i="23" s="1"/>
  <c r="AA3" i="23"/>
  <c r="AB21" i="23" s="1"/>
  <c r="X3" i="23"/>
  <c r="Y3" i="23" s="1"/>
  <c r="Z3" i="23" s="1"/>
  <c r="AA19" i="23" s="1"/>
  <c r="X19" i="23"/>
  <c r="N19" i="23"/>
  <c r="T3" i="23"/>
  <c r="U19" i="23" s="1"/>
  <c r="I19" i="23"/>
  <c r="S3" i="19"/>
  <c r="T3" i="19" s="1"/>
  <c r="U3" i="19" s="1"/>
  <c r="V3" i="19" s="1"/>
  <c r="W21" i="19" s="1"/>
  <c r="O3" i="22"/>
  <c r="P19" i="22" s="1"/>
  <c r="H19" i="23"/>
  <c r="M16" i="3"/>
  <c r="S3" i="18"/>
  <c r="T13" i="18" s="1"/>
  <c r="T3" i="21"/>
  <c r="U3" i="21" s="1"/>
  <c r="V19" i="21" s="1"/>
  <c r="H23" i="10"/>
  <c r="Q54" i="3"/>
  <c r="AR54" i="3"/>
  <c r="T21" i="21"/>
  <c r="K20" i="3"/>
  <c r="I16" i="3"/>
  <c r="BB54" i="3"/>
  <c r="O12" i="3"/>
  <c r="P8" i="3"/>
  <c r="BD54" i="3"/>
  <c r="BI54" i="3"/>
  <c r="BE54" i="3"/>
  <c r="CB54" i="3"/>
  <c r="AY54" i="3"/>
  <c r="AN54" i="3"/>
  <c r="AH54" i="3"/>
  <c r="M54" i="3"/>
  <c r="BW54" i="3"/>
  <c r="AW54" i="3"/>
  <c r="BU54" i="19"/>
  <c r="U54" i="3"/>
  <c r="BG54" i="3"/>
  <c r="M20" i="3"/>
  <c r="O16" i="3"/>
  <c r="N17" i="20"/>
  <c r="O20" i="3"/>
  <c r="Q16" i="3"/>
  <c r="H12" i="3"/>
  <c r="O54" i="21"/>
  <c r="S21" i="18"/>
  <c r="Y19" i="23"/>
  <c r="K21" i="18"/>
  <c r="I17" i="18"/>
  <c r="X16" i="3"/>
  <c r="I12" i="3"/>
  <c r="J20" i="3"/>
  <c r="J16" i="3"/>
  <c r="Z19" i="23"/>
  <c r="K12" i="3"/>
  <c r="AS54" i="21"/>
  <c r="O19" i="23"/>
  <c r="R45" i="20"/>
  <c r="J12" i="3"/>
  <c r="T18" i="21"/>
  <c r="P16" i="21"/>
  <c r="L12" i="3"/>
  <c r="J8" i="3"/>
  <c r="T16" i="3"/>
  <c r="I8" i="3"/>
  <c r="T19" i="23"/>
  <c r="K16" i="3"/>
  <c r="T12" i="3"/>
  <c r="M8" i="3"/>
  <c r="K54" i="21"/>
  <c r="M12" i="3"/>
  <c r="T20" i="3"/>
  <c r="N20" i="3"/>
  <c r="N16" i="3"/>
  <c r="L20" i="3"/>
  <c r="H16" i="3"/>
  <c r="BC54" i="20"/>
  <c r="I16" i="18"/>
  <c r="N12" i="3"/>
  <c r="L16" i="3"/>
  <c r="P16" i="20"/>
  <c r="P19" i="19"/>
  <c r="AP54" i="18"/>
  <c r="H20" i="3"/>
  <c r="K8" i="3"/>
  <c r="I9" i="10"/>
  <c r="H14" i="10"/>
  <c r="G18" i="10"/>
  <c r="E9" i="10"/>
  <c r="H65" i="10"/>
  <c r="D9" i="10"/>
  <c r="D16" i="10"/>
  <c r="I14" i="10"/>
  <c r="H27" i="10"/>
  <c r="AH54" i="20"/>
  <c r="BY54" i="3"/>
  <c r="BL54" i="3"/>
  <c r="CD54" i="3"/>
  <c r="CE54" i="3"/>
  <c r="X54" i="3"/>
  <c r="Z54" i="3"/>
  <c r="AG54" i="3"/>
  <c r="AZ54" i="3"/>
  <c r="S54" i="3"/>
  <c r="L54" i="3"/>
  <c r="T54" i="3"/>
  <c r="AP54" i="3"/>
  <c r="AM54" i="3"/>
  <c r="AA54" i="3"/>
  <c r="V54" i="3"/>
  <c r="BJ54" i="3"/>
  <c r="AQ54" i="3"/>
  <c r="AC54" i="3"/>
  <c r="BN54" i="3"/>
  <c r="AT54" i="3"/>
  <c r="R54" i="3"/>
  <c r="BR54" i="3"/>
  <c r="BF54" i="3"/>
  <c r="AK54" i="3"/>
  <c r="AV54" i="3"/>
  <c r="AF54" i="3"/>
  <c r="BQ54" i="3"/>
  <c r="AI54" i="3"/>
  <c r="AU54" i="3"/>
  <c r="AD54" i="20"/>
  <c r="H54" i="3"/>
  <c r="BU54" i="3"/>
  <c r="J54" i="3"/>
  <c r="Y54" i="3"/>
  <c r="BK54" i="3"/>
  <c r="N54" i="3"/>
  <c r="R54" i="20"/>
  <c r="AB54" i="3"/>
  <c r="BH54" i="3"/>
  <c r="CC54" i="3"/>
  <c r="BM54" i="3"/>
  <c r="AS54" i="3"/>
  <c r="H54" i="20"/>
  <c r="BT54" i="3"/>
  <c r="BA54" i="3"/>
  <c r="P54" i="3"/>
  <c r="AJ54" i="3"/>
  <c r="AX54" i="20"/>
  <c r="AX54" i="3"/>
  <c r="O54" i="3"/>
  <c r="BS54" i="3"/>
  <c r="BV54" i="3"/>
  <c r="BQ54" i="20"/>
  <c r="BP54" i="3"/>
  <c r="BC54" i="3"/>
  <c r="I54" i="3"/>
  <c r="AL54" i="3"/>
  <c r="CA54" i="3"/>
  <c r="K54" i="3"/>
  <c r="W54" i="3"/>
  <c r="AE54" i="3"/>
  <c r="AO54" i="3"/>
  <c r="BX54" i="3"/>
  <c r="H13" i="10"/>
  <c r="G25" i="10"/>
  <c r="I11" i="10"/>
  <c r="G13" i="10"/>
  <c r="D17" i="10"/>
  <c r="F15" i="10"/>
  <c r="G17" i="10"/>
  <c r="C46" i="10"/>
  <c r="G9" i="10"/>
  <c r="D43" i="10"/>
  <c r="C9" i="10"/>
  <c r="H10" i="10"/>
  <c r="F16" i="10"/>
  <c r="C15" i="10"/>
  <c r="C10" i="10"/>
  <c r="C11" i="10"/>
  <c r="C17" i="10"/>
  <c r="C14" i="10"/>
  <c r="G15" i="10"/>
  <c r="H12" i="10"/>
  <c r="H63" i="10"/>
  <c r="F26" i="10"/>
  <c r="F9" i="10"/>
  <c r="E16" i="10"/>
  <c r="C12" i="10"/>
  <c r="I12" i="10"/>
  <c r="I18" i="10"/>
  <c r="I16" i="10"/>
  <c r="F10" i="10"/>
  <c r="H17" i="10"/>
  <c r="F17" i="10"/>
  <c r="E12" i="10"/>
  <c r="F11" i="10"/>
  <c r="D18" i="10"/>
  <c r="I10" i="10"/>
  <c r="F41" i="10"/>
  <c r="E11" i="10"/>
  <c r="D51" i="10"/>
  <c r="H15" i="10"/>
  <c r="E10" i="10"/>
  <c r="G11" i="10"/>
  <c r="G14" i="10"/>
  <c r="F12" i="10"/>
  <c r="C28" i="10"/>
  <c r="E17" i="10"/>
  <c r="G10" i="10"/>
  <c r="D11" i="10"/>
  <c r="F30" i="10"/>
  <c r="H33" i="10"/>
  <c r="I13" i="10"/>
  <c r="F14" i="10"/>
  <c r="C16" i="10"/>
  <c r="E14" i="10"/>
  <c r="H11" i="10"/>
  <c r="D64" i="10"/>
  <c r="C18" i="10"/>
  <c r="G16" i="10"/>
  <c r="F5" i="10"/>
  <c r="P16" i="18"/>
  <c r="H16" i="20"/>
  <c r="N16" i="20"/>
  <c r="O19" i="19"/>
  <c r="H21" i="22"/>
  <c r="M16" i="21"/>
  <c r="Q21" i="20"/>
  <c r="AS54" i="18"/>
  <c r="R3" i="21"/>
  <c r="S37" i="21" s="1"/>
  <c r="R37" i="21"/>
  <c r="H9" i="10"/>
  <c r="Y67" i="10"/>
  <c r="R19" i="19"/>
  <c r="R3" i="19"/>
  <c r="S19" i="19" s="1"/>
  <c r="N3" i="18"/>
  <c r="O17" i="18" s="1"/>
  <c r="N17" i="18"/>
  <c r="E19" i="10"/>
  <c r="H64" i="10"/>
  <c r="X3" i="21"/>
  <c r="Y41" i="21" s="1"/>
  <c r="X45" i="21"/>
  <c r="AA3" i="21"/>
  <c r="AB42" i="21" s="1"/>
  <c r="R3" i="23"/>
  <c r="S19" i="23" s="1"/>
  <c r="Q3" i="3"/>
  <c r="R40" i="3" s="1"/>
  <c r="Q8" i="3"/>
  <c r="Q12" i="3"/>
  <c r="Q39" i="3"/>
  <c r="I60" i="10"/>
  <c r="I24" i="10"/>
  <c r="Y3" i="3"/>
  <c r="Y8" i="3"/>
  <c r="Y12" i="3"/>
  <c r="Y20" i="3"/>
  <c r="E31" i="10"/>
  <c r="M3" i="22"/>
  <c r="N45" i="22" s="1"/>
  <c r="M21" i="22"/>
  <c r="J3" i="20"/>
  <c r="K17" i="20" s="1"/>
  <c r="J21" i="20"/>
  <c r="U67" i="10"/>
  <c r="D10" i="10"/>
  <c r="G32" i="10"/>
  <c r="D32" i="10"/>
  <c r="G41" i="10"/>
  <c r="H29" i="10"/>
  <c r="E26" i="10"/>
  <c r="C48" i="10"/>
  <c r="C31" i="10"/>
  <c r="D19" i="10"/>
  <c r="I32" i="10"/>
  <c r="G57" i="10"/>
  <c r="D24" i="10"/>
  <c r="I28" i="10"/>
  <c r="G24" i="10"/>
  <c r="I33" i="10"/>
  <c r="C26" i="10"/>
  <c r="C33" i="10"/>
  <c r="I20" i="10"/>
  <c r="D58" i="10"/>
  <c r="H43" i="10"/>
  <c r="F62" i="10"/>
  <c r="F34" i="10"/>
  <c r="C25" i="10"/>
  <c r="G35" i="10"/>
  <c r="E48" i="10"/>
  <c r="D23" i="10"/>
  <c r="C35" i="10"/>
  <c r="D49" i="10"/>
  <c r="F56" i="10"/>
  <c r="D46" i="10"/>
  <c r="I37" i="10"/>
  <c r="C40" i="10"/>
  <c r="D31" i="10"/>
  <c r="H39" i="10"/>
  <c r="I39" i="10"/>
  <c r="E44" i="10"/>
  <c r="E47" i="10"/>
  <c r="I46" i="10"/>
  <c r="I5" i="10"/>
  <c r="D21" i="10"/>
  <c r="G8" i="10"/>
  <c r="D44" i="10"/>
  <c r="E30" i="10"/>
  <c r="C55" i="10"/>
  <c r="C54" i="10"/>
  <c r="G19" i="10"/>
  <c r="G47" i="10"/>
  <c r="I38" i="10"/>
  <c r="F23" i="10"/>
  <c r="I45" i="10"/>
  <c r="F49" i="10"/>
  <c r="F54" i="10"/>
  <c r="H44" i="10"/>
  <c r="G7" i="10"/>
  <c r="F19" i="10"/>
  <c r="I6" i="10"/>
  <c r="E29" i="10"/>
  <c r="D62" i="10"/>
  <c r="I29" i="10"/>
  <c r="C24" i="10"/>
  <c r="G45" i="10"/>
  <c r="I19" i="10"/>
  <c r="C22" i="10"/>
  <c r="F21" i="10"/>
  <c r="C38" i="10"/>
  <c r="H55" i="10"/>
  <c r="G27" i="10"/>
  <c r="H60" i="10"/>
  <c r="H58" i="10"/>
  <c r="F27" i="10"/>
  <c r="C53" i="10"/>
  <c r="I22" i="10"/>
  <c r="E25" i="10"/>
  <c r="D56" i="10"/>
  <c r="C8" i="10"/>
  <c r="D30" i="10"/>
  <c r="H42" i="10"/>
  <c r="C42" i="10"/>
  <c r="G34" i="10"/>
  <c r="G22" i="10"/>
  <c r="D28" i="10"/>
  <c r="F40" i="10"/>
  <c r="C49" i="10"/>
  <c r="H32" i="10"/>
  <c r="H51" i="10"/>
  <c r="C6" i="10"/>
  <c r="C23" i="10"/>
  <c r="G39" i="10"/>
  <c r="E41" i="10"/>
  <c r="I30" i="10"/>
  <c r="F50" i="10"/>
  <c r="G43" i="10"/>
  <c r="F60" i="10"/>
  <c r="G31" i="10"/>
  <c r="H31" i="10"/>
  <c r="H24" i="10"/>
  <c r="G21" i="10"/>
  <c r="F52" i="10"/>
  <c r="G65" i="10"/>
  <c r="D37" i="10"/>
  <c r="F7" i="10"/>
  <c r="F45" i="10"/>
  <c r="F8" i="10"/>
  <c r="E6" i="10"/>
  <c r="G30" i="10"/>
  <c r="H30" i="10"/>
  <c r="G20" i="10"/>
  <c r="H34" i="10"/>
  <c r="H5" i="10"/>
  <c r="I44" i="10"/>
  <c r="E46" i="10"/>
  <c r="G61" i="10"/>
  <c r="D55" i="10"/>
  <c r="D27" i="10"/>
  <c r="I31" i="10"/>
  <c r="F35" i="10"/>
  <c r="C59" i="10"/>
  <c r="F48" i="10"/>
  <c r="H21" i="10"/>
  <c r="H36" i="10"/>
  <c r="F37" i="10"/>
  <c r="E37" i="10"/>
  <c r="E33" i="10"/>
  <c r="F43" i="10"/>
  <c r="I58" i="10"/>
  <c r="F44" i="10"/>
  <c r="E50" i="10"/>
  <c r="H26" i="10"/>
  <c r="F58" i="10"/>
  <c r="G54" i="10"/>
  <c r="H19" i="10"/>
  <c r="F32" i="10"/>
  <c r="C34" i="10"/>
  <c r="G52" i="10"/>
  <c r="I36" i="10"/>
  <c r="G51" i="10"/>
  <c r="E56" i="10"/>
  <c r="I52" i="10"/>
  <c r="I27" i="10"/>
  <c r="F42" i="10"/>
  <c r="F64" i="10"/>
  <c r="E65" i="10"/>
  <c r="F61" i="10"/>
  <c r="I62" i="10"/>
  <c r="F39" i="10"/>
  <c r="H22" i="10"/>
  <c r="G37" i="10"/>
  <c r="G58" i="10"/>
  <c r="D20" i="10"/>
  <c r="F6" i="10"/>
  <c r="D25" i="10"/>
  <c r="H49" i="10"/>
  <c r="I35" i="10"/>
  <c r="G46" i="10"/>
  <c r="D48" i="10"/>
  <c r="D59" i="10"/>
  <c r="G49" i="10"/>
  <c r="E60" i="10"/>
  <c r="H45" i="10"/>
  <c r="I23" i="10"/>
  <c r="F38" i="10"/>
  <c r="C56" i="10"/>
  <c r="D35" i="10"/>
  <c r="H50" i="10"/>
  <c r="C36" i="10"/>
  <c r="H59" i="10"/>
  <c r="E8" i="10"/>
  <c r="E32" i="10"/>
  <c r="C45" i="10"/>
  <c r="E53" i="10"/>
  <c r="E49" i="10"/>
  <c r="C52" i="10"/>
  <c r="F20" i="10"/>
  <c r="E22" i="10"/>
  <c r="G59" i="10"/>
  <c r="E27" i="10"/>
  <c r="H54" i="10"/>
  <c r="I49" i="10"/>
  <c r="D33" i="10"/>
  <c r="F28" i="10"/>
  <c r="H56" i="10"/>
  <c r="E34" i="10"/>
  <c r="H8" i="10"/>
  <c r="G60" i="10"/>
  <c r="E43" i="10"/>
  <c r="E40" i="10"/>
  <c r="G44" i="10"/>
  <c r="D34" i="10"/>
  <c r="E55" i="10"/>
  <c r="H47" i="10"/>
  <c r="F29" i="10"/>
  <c r="I43" i="10"/>
  <c r="G38" i="10"/>
  <c r="E23" i="10"/>
  <c r="C20" i="10"/>
  <c r="D57" i="10"/>
  <c r="F51" i="10"/>
  <c r="E57" i="10"/>
  <c r="Q54" i="22"/>
  <c r="C57" i="10"/>
  <c r="E52" i="10"/>
  <c r="U3" i="20"/>
  <c r="V18" i="20" s="1"/>
  <c r="E64" i="10"/>
  <c r="J3" i="22"/>
  <c r="K17" i="22" s="1"/>
  <c r="J21" i="22"/>
  <c r="R3" i="20"/>
  <c r="S17" i="20" s="1"/>
  <c r="T3" i="3"/>
  <c r="U6" i="3" s="1"/>
  <c r="G33" i="10"/>
  <c r="K54" i="18"/>
  <c r="G29" i="10"/>
  <c r="F31" i="10"/>
  <c r="F53" i="10"/>
  <c r="F47" i="10"/>
  <c r="C13" i="10"/>
  <c r="H37" i="10"/>
  <c r="C5" i="10"/>
  <c r="I61" i="10"/>
  <c r="I50" i="10"/>
  <c r="E38" i="10"/>
  <c r="F63" i="10"/>
  <c r="H7" i="10"/>
  <c r="D7" i="10"/>
  <c r="D38" i="10"/>
  <c r="M21" i="20"/>
  <c r="I56" i="10"/>
  <c r="T8" i="3"/>
  <c r="D50" i="10"/>
  <c r="AA54" i="18"/>
  <c r="F25" i="10"/>
  <c r="F18" i="10"/>
  <c r="H62" i="10"/>
  <c r="E13" i="10"/>
  <c r="C39" i="10"/>
  <c r="E59" i="10"/>
  <c r="E58" i="10"/>
  <c r="E28" i="10"/>
  <c r="D65" i="10"/>
  <c r="D6" i="10"/>
  <c r="E63" i="10"/>
  <c r="D42" i="10"/>
  <c r="O21" i="20"/>
  <c r="I54" i="10"/>
  <c r="E54" i="10"/>
  <c r="M54" i="18"/>
  <c r="H46" i="10"/>
  <c r="F57" i="10"/>
  <c r="H25" i="10"/>
  <c r="M16" i="22"/>
  <c r="AB41" i="23"/>
  <c r="N38" i="3"/>
  <c r="Z67" i="10"/>
  <c r="X12" i="3"/>
  <c r="D60" i="10"/>
  <c r="P20" i="3"/>
  <c r="AR54" i="18"/>
  <c r="G40" i="10"/>
  <c r="H6" i="10"/>
  <c r="D47" i="10"/>
  <c r="H41" i="10"/>
  <c r="C21" i="10"/>
  <c r="H20" i="10"/>
  <c r="I26" i="10"/>
  <c r="G23" i="10"/>
  <c r="I41" i="10"/>
  <c r="E62" i="10"/>
  <c r="C62" i="10"/>
  <c r="F24" i="10"/>
  <c r="D13" i="10"/>
  <c r="G63" i="10"/>
  <c r="C65" i="10"/>
  <c r="I53" i="10"/>
  <c r="I42" i="10"/>
  <c r="C58" i="10"/>
  <c r="C43" i="10"/>
  <c r="D8" i="10"/>
  <c r="I59" i="10"/>
  <c r="H52" i="10"/>
  <c r="AA3" i="3"/>
  <c r="AB30" i="3" s="1"/>
  <c r="X20" i="3"/>
  <c r="P16" i="3"/>
  <c r="AU54" i="18"/>
  <c r="C64" i="10"/>
  <c r="D29" i="10"/>
  <c r="H35" i="10"/>
  <c r="E5" i="10"/>
  <c r="G12" i="10"/>
  <c r="H18" i="10"/>
  <c r="I17" i="10"/>
  <c r="G50" i="10"/>
  <c r="F22" i="10"/>
  <c r="F55" i="10"/>
  <c r="G26" i="10"/>
  <c r="I47" i="10"/>
  <c r="C50" i="10"/>
  <c r="F46" i="10"/>
  <c r="E61" i="10"/>
  <c r="D61" i="10"/>
  <c r="D53" i="10"/>
  <c r="D14" i="10"/>
  <c r="I8" i="10"/>
  <c r="I55" i="10"/>
  <c r="X8" i="3"/>
  <c r="I65" i="10"/>
  <c r="E18" i="10"/>
  <c r="H40" i="10"/>
  <c r="F36" i="10"/>
  <c r="F59" i="10"/>
  <c r="E20" i="10"/>
  <c r="G56" i="10"/>
  <c r="D39" i="10"/>
  <c r="C7" i="10"/>
  <c r="D12" i="10"/>
  <c r="O19" i="20"/>
  <c r="Q16" i="19"/>
  <c r="W67" i="10"/>
  <c r="D54" i="10"/>
  <c r="E24" i="10"/>
  <c r="I48" i="10"/>
  <c r="C19" i="10"/>
  <c r="H38" i="10"/>
  <c r="C32" i="10"/>
  <c r="G48" i="10"/>
  <c r="F33" i="10"/>
  <c r="C60" i="10"/>
  <c r="H28" i="10"/>
  <c r="E39" i="10"/>
  <c r="G5" i="10"/>
  <c r="H16" i="10"/>
  <c r="D52" i="10"/>
  <c r="I64" i="10"/>
  <c r="G64" i="10"/>
  <c r="Q19" i="19"/>
  <c r="W3" i="20"/>
  <c r="X28" i="20" s="1"/>
  <c r="I57" i="10"/>
  <c r="I16" i="20"/>
  <c r="I51" i="10"/>
  <c r="E21" i="10"/>
  <c r="C29" i="10"/>
  <c r="G62" i="10"/>
  <c r="H57" i="10"/>
  <c r="E36" i="10"/>
  <c r="I25" i="10"/>
  <c r="F13" i="10"/>
  <c r="C47" i="10"/>
  <c r="G55" i="10"/>
  <c r="F65" i="10"/>
  <c r="E7" i="10"/>
  <c r="C63" i="10"/>
  <c r="I7" i="10"/>
  <c r="D15" i="10"/>
  <c r="T21" i="20"/>
  <c r="C37" i="10"/>
  <c r="D45" i="10"/>
  <c r="D22" i="10"/>
  <c r="C30" i="10"/>
  <c r="C41" i="10"/>
  <c r="E51" i="10"/>
  <c r="I63" i="10"/>
  <c r="D63" i="10"/>
  <c r="D26" i="10"/>
  <c r="D36" i="10"/>
  <c r="T16" i="23"/>
  <c r="J21" i="19"/>
  <c r="E45" i="10"/>
  <c r="G36" i="10"/>
  <c r="G42" i="10"/>
  <c r="D41" i="10"/>
  <c r="I40" i="10"/>
  <c r="I21" i="10"/>
  <c r="G28" i="10"/>
  <c r="C27" i="10"/>
  <c r="G6" i="10"/>
  <c r="C51" i="10"/>
  <c r="H53" i="10"/>
  <c r="H61" i="10"/>
  <c r="I34" i="10"/>
  <c r="C44" i="10"/>
  <c r="E35" i="10"/>
  <c r="H48" i="10"/>
  <c r="C61" i="10"/>
  <c r="G53" i="10"/>
  <c r="E42" i="10"/>
  <c r="D40" i="10"/>
  <c r="D5" i="10"/>
  <c r="L17" i="23"/>
  <c r="M17" i="20"/>
  <c r="Y16" i="23"/>
  <c r="O16" i="23"/>
  <c r="Q21" i="23"/>
  <c r="X9" i="3"/>
  <c r="Q19" i="20"/>
  <c r="J45" i="19"/>
  <c r="K17" i="3"/>
  <c r="O16" i="21"/>
  <c r="T19" i="21"/>
  <c r="N21" i="3"/>
  <c r="P19" i="21"/>
  <c r="J16" i="21"/>
  <c r="X21" i="23"/>
  <c r="Y18" i="3"/>
  <c r="X19" i="21"/>
  <c r="N18" i="3"/>
  <c r="M19" i="18"/>
  <c r="T21" i="23"/>
  <c r="M18" i="3"/>
  <c r="L19" i="18"/>
  <c r="Z40" i="3"/>
  <c r="P45" i="23"/>
  <c r="X6" i="3"/>
  <c r="P18" i="3"/>
  <c r="I24" i="3"/>
  <c r="O24" i="3"/>
  <c r="L24" i="3"/>
  <c r="Z24" i="3"/>
  <c r="AB24" i="3"/>
  <c r="X24" i="3"/>
  <c r="M24" i="3"/>
  <c r="M17" i="3"/>
  <c r="Y17" i="3"/>
  <c r="J17" i="3"/>
  <c r="I17" i="3"/>
  <c r="Z17" i="3"/>
  <c r="Q18" i="21"/>
  <c r="P18" i="18"/>
  <c r="R45" i="18"/>
  <c r="Z11" i="3"/>
  <c r="X67" i="10"/>
  <c r="V67" i="10"/>
  <c r="I15" i="10"/>
  <c r="J35" i="3"/>
  <c r="P27" i="19"/>
  <c r="S23" i="18"/>
  <c r="Q35" i="3"/>
  <c r="M28" i="3"/>
  <c r="N34" i="23"/>
  <c r="R27" i="19"/>
  <c r="I26" i="21"/>
  <c r="P29" i="20"/>
  <c r="N27" i="19"/>
  <c r="L37" i="21"/>
  <c r="H8" i="18"/>
  <c r="Q36" i="3"/>
  <c r="Y45" i="3"/>
  <c r="Z28" i="3"/>
  <c r="Y40" i="3"/>
  <c r="N36" i="3"/>
  <c r="T40" i="3"/>
  <c r="H28" i="3"/>
  <c r="Y39" i="3"/>
  <c r="N28" i="3"/>
  <c r="P39" i="3"/>
  <c r="Z34" i="23"/>
  <c r="Q37" i="21"/>
  <c r="M37" i="22"/>
  <c r="AA45" i="23"/>
  <c r="X41" i="23"/>
  <c r="U31" i="23"/>
  <c r="J45" i="20"/>
  <c r="Q45" i="20"/>
  <c r="P45" i="20"/>
  <c r="O45" i="20"/>
  <c r="V45" i="20"/>
  <c r="T45" i="20"/>
  <c r="R41" i="20"/>
  <c r="O41" i="20"/>
  <c r="O37" i="20"/>
  <c r="O29" i="20"/>
  <c r="P45" i="19"/>
  <c r="K34" i="19"/>
  <c r="Q27" i="19"/>
  <c r="U27" i="19"/>
  <c r="O27" i="19"/>
  <c r="M27" i="19"/>
  <c r="P45" i="18"/>
  <c r="S45" i="18"/>
  <c r="K45" i="18"/>
  <c r="T45" i="18"/>
  <c r="J41" i="18"/>
  <c r="R41" i="18"/>
  <c r="S41" i="18"/>
  <c r="K41" i="18"/>
  <c r="Q41" i="18"/>
  <c r="Q37" i="18"/>
  <c r="P25" i="18"/>
  <c r="L41" i="21"/>
  <c r="R34" i="21"/>
  <c r="K34" i="21"/>
  <c r="T34" i="21"/>
  <c r="T26" i="21"/>
  <c r="Q43" i="3"/>
  <c r="N11" i="3"/>
  <c r="Z43" i="3"/>
  <c r="M35" i="19"/>
  <c r="M20" i="22"/>
  <c r="T17" i="21"/>
  <c r="S29" i="20"/>
  <c r="M25" i="20"/>
  <c r="P17" i="20"/>
  <c r="J15" i="19"/>
  <c r="Q29" i="18"/>
  <c r="Q34" i="21"/>
  <c r="M11" i="3"/>
  <c r="L11" i="3"/>
  <c r="S17" i="19"/>
  <c r="V17" i="19"/>
  <c r="I20" i="22"/>
  <c r="H20" i="22"/>
  <c r="J20" i="22"/>
  <c r="AA17" i="23"/>
  <c r="N17" i="23"/>
  <c r="M17" i="23"/>
  <c r="Q17" i="21"/>
  <c r="J17" i="21"/>
  <c r="N17" i="21"/>
  <c r="V17" i="20"/>
  <c r="R17" i="20"/>
  <c r="Q17" i="20"/>
  <c r="I17" i="20"/>
  <c r="U17" i="20"/>
  <c r="J17" i="20"/>
  <c r="T17" i="20"/>
  <c r="M17" i="19"/>
  <c r="R17" i="18"/>
  <c r="J17" i="18"/>
  <c r="S17" i="18"/>
  <c r="Q17" i="18"/>
  <c r="H18" i="21"/>
  <c r="Q43" i="23"/>
  <c r="P44" i="20"/>
  <c r="M11" i="20"/>
  <c r="R11" i="21"/>
  <c r="Z10" i="3"/>
  <c r="X11" i="21"/>
  <c r="U15" i="23"/>
  <c r="AB6" i="3"/>
  <c r="Q14" i="3"/>
  <c r="I9" i="3"/>
  <c r="K10" i="3"/>
  <c r="M11" i="21"/>
  <c r="Q15" i="18"/>
  <c r="N6" i="3"/>
  <c r="M13" i="3"/>
  <c r="X11" i="23"/>
  <c r="I11" i="23"/>
  <c r="O20" i="23"/>
  <c r="Q20" i="23"/>
  <c r="O20" i="21"/>
  <c r="K20" i="21"/>
  <c r="R20" i="20"/>
  <c r="M38" i="19"/>
  <c r="Q18" i="19"/>
  <c r="J11" i="19"/>
  <c r="R11" i="19"/>
  <c r="I10" i="3"/>
  <c r="X15" i="23"/>
  <c r="X27" i="23"/>
  <c r="Q26" i="21"/>
  <c r="R26" i="21"/>
  <c r="H43" i="19"/>
  <c r="U28" i="23"/>
  <c r="X28" i="23"/>
  <c r="Y20" i="23"/>
  <c r="M20" i="23"/>
  <c r="P20" i="23"/>
  <c r="I20" i="23"/>
  <c r="U20" i="23"/>
  <c r="R20" i="23"/>
  <c r="X20" i="23"/>
  <c r="T20" i="23"/>
  <c r="N20" i="23"/>
  <c r="U16" i="23"/>
  <c r="Q16" i="23"/>
  <c r="X16" i="23"/>
  <c r="Z16" i="23"/>
  <c r="R16" i="23"/>
  <c r="M30" i="20"/>
  <c r="V30" i="20"/>
  <c r="S18" i="20"/>
  <c r="H16" i="19"/>
  <c r="J16" i="19"/>
  <c r="N16" i="19"/>
  <c r="R16" i="19"/>
  <c r="L16" i="19"/>
  <c r="M16" i="19"/>
  <c r="K16" i="19"/>
  <c r="O16" i="19"/>
  <c r="P26" i="18"/>
  <c r="R26" i="18"/>
  <c r="R18" i="18"/>
  <c r="S18" i="18"/>
  <c r="T18" i="18"/>
  <c r="M19" i="21"/>
  <c r="J19" i="21"/>
  <c r="R19" i="21"/>
  <c r="H19" i="21"/>
  <c r="N19" i="21"/>
  <c r="K19" i="21"/>
  <c r="Y19" i="21"/>
  <c r="P11" i="21"/>
  <c r="Y11" i="21"/>
  <c r="T11" i="21"/>
  <c r="X45" i="3"/>
  <c r="AB45" i="3"/>
  <c r="T41" i="3"/>
  <c r="Y29" i="3"/>
  <c r="Q21" i="3"/>
  <c r="Y21" i="3"/>
  <c r="J21" i="3"/>
  <c r="L21" i="3"/>
  <c r="X21" i="3"/>
  <c r="H21" i="3"/>
  <c r="K21" i="3"/>
  <c r="O21" i="3"/>
  <c r="T17" i="3"/>
  <c r="AB17" i="3"/>
  <c r="H17" i="3"/>
  <c r="N17" i="3"/>
  <c r="X17" i="3"/>
  <c r="P17" i="3"/>
  <c r="L17" i="3"/>
  <c r="O17" i="3"/>
  <c r="X13" i="3"/>
  <c r="J13" i="3"/>
  <c r="O13" i="3"/>
  <c r="Q13" i="3"/>
  <c r="T13" i="3"/>
  <c r="Y13" i="3"/>
  <c r="R13" i="3"/>
  <c r="P13" i="3"/>
  <c r="N13" i="3"/>
  <c r="K13" i="3"/>
  <c r="Z13" i="3"/>
  <c r="N9" i="3"/>
  <c r="J9" i="3"/>
  <c r="K9" i="3"/>
  <c r="Q9" i="3"/>
  <c r="Y9" i="3"/>
  <c r="Z9" i="3"/>
  <c r="M9" i="3"/>
  <c r="P9" i="3"/>
  <c r="O9" i="3"/>
  <c r="P45" i="22"/>
  <c r="M45" i="22"/>
  <c r="M29" i="22"/>
  <c r="K21" i="22"/>
  <c r="J17" i="22"/>
  <c r="N17" i="22"/>
  <c r="I17" i="22"/>
  <c r="M17" i="22"/>
  <c r="L20" i="23"/>
  <c r="Z45" i="23"/>
  <c r="T45" i="23"/>
  <c r="R45" i="23"/>
  <c r="Y45" i="23"/>
  <c r="I45" i="23"/>
  <c r="N45" i="23"/>
  <c r="Q45" i="23"/>
  <c r="X45" i="23"/>
  <c r="O45" i="23"/>
  <c r="AA42" i="23"/>
  <c r="Y41" i="23"/>
  <c r="P34" i="23"/>
  <c r="Q34" i="23"/>
  <c r="X34" i="23"/>
  <c r="O34" i="23"/>
  <c r="M34" i="23"/>
  <c r="M26" i="23"/>
  <c r="Q26" i="23"/>
  <c r="O21" i="23"/>
  <c r="U21" i="23"/>
  <c r="J21" i="23"/>
  <c r="I21" i="23"/>
  <c r="R21" i="23"/>
  <c r="Y21" i="23"/>
  <c r="M21" i="23"/>
  <c r="N21" i="23"/>
  <c r="P21" i="23"/>
  <c r="Z21" i="23"/>
  <c r="U18" i="23"/>
  <c r="J18" i="23"/>
  <c r="H18" i="23"/>
  <c r="X17" i="23"/>
  <c r="Q17" i="23"/>
  <c r="O17" i="23"/>
  <c r="Y17" i="23"/>
  <c r="U17" i="23"/>
  <c r="T17" i="23"/>
  <c r="Z17" i="23"/>
  <c r="P17" i="23"/>
  <c r="V43" i="20"/>
  <c r="O43" i="20"/>
  <c r="P32" i="20"/>
  <c r="J28" i="20"/>
  <c r="P20" i="20"/>
  <c r="P19" i="20"/>
  <c r="U19" i="20"/>
  <c r="V19" i="20"/>
  <c r="I19" i="20"/>
  <c r="N19" i="20"/>
  <c r="J19" i="20"/>
  <c r="M19" i="20"/>
  <c r="R19" i="20"/>
  <c r="S19" i="20"/>
  <c r="M16" i="20"/>
  <c r="T16" i="20"/>
  <c r="R16" i="20"/>
  <c r="O16" i="20"/>
  <c r="S16" i="20"/>
  <c r="Q16" i="20"/>
  <c r="J16" i="20"/>
  <c r="V16" i="20"/>
  <c r="O45" i="19"/>
  <c r="R45" i="19"/>
  <c r="Q45" i="19"/>
  <c r="W45" i="19"/>
  <c r="I45" i="19"/>
  <c r="N45" i="19"/>
  <c r="M45" i="19"/>
  <c r="K45" i="19"/>
  <c r="S45" i="19"/>
  <c r="P34" i="19"/>
  <c r="W34" i="19"/>
  <c r="R34" i="19"/>
  <c r="N34" i="19"/>
  <c r="O34" i="19"/>
  <c r="I34" i="19"/>
  <c r="M21" i="19"/>
  <c r="T21" i="19"/>
  <c r="R21" i="19"/>
  <c r="K21" i="19"/>
  <c r="S21" i="19"/>
  <c r="N21" i="19"/>
  <c r="U21" i="19"/>
  <c r="O21" i="19"/>
  <c r="L21" i="19"/>
  <c r="P21" i="19"/>
  <c r="I21" i="19"/>
  <c r="Q21" i="19"/>
  <c r="K17" i="19"/>
  <c r="Q17" i="19"/>
  <c r="N17" i="19"/>
  <c r="O17" i="19"/>
  <c r="R17" i="19"/>
  <c r="P17" i="19"/>
  <c r="Q20" i="18"/>
  <c r="J20" i="18"/>
  <c r="J19" i="18"/>
  <c r="I19" i="18"/>
  <c r="R19" i="18"/>
  <c r="P19" i="18"/>
  <c r="Q19" i="18"/>
  <c r="S19" i="18"/>
  <c r="K19" i="18"/>
  <c r="N19" i="18"/>
  <c r="Q16" i="18"/>
  <c r="H16" i="18"/>
  <c r="L16" i="18"/>
  <c r="K16" i="18"/>
  <c r="J16" i="18"/>
  <c r="N16" i="18"/>
  <c r="R16" i="18"/>
  <c r="S16" i="18"/>
  <c r="P11" i="18"/>
  <c r="J45" i="21"/>
  <c r="Y45" i="21"/>
  <c r="R45" i="21"/>
  <c r="L45" i="21"/>
  <c r="M45" i="21"/>
  <c r="T45" i="21"/>
  <c r="O45" i="21"/>
  <c r="K45" i="21"/>
  <c r="I45" i="21"/>
  <c r="O41" i="21"/>
  <c r="T41" i="21"/>
  <c r="Q41" i="21"/>
  <c r="K33" i="21"/>
  <c r="L33" i="21"/>
  <c r="I25" i="21"/>
  <c r="Q21" i="21"/>
  <c r="K21" i="21"/>
  <c r="O21" i="21"/>
  <c r="N21" i="21"/>
  <c r="M21" i="21"/>
  <c r="L21" i="21"/>
  <c r="I21" i="21"/>
  <c r="I20" i="21"/>
  <c r="T20" i="21"/>
  <c r="Y20" i="21"/>
  <c r="P20" i="21"/>
  <c r="X20" i="21"/>
  <c r="M20" i="21"/>
  <c r="L20" i="21"/>
  <c r="Q20" i="21"/>
  <c r="H20" i="21"/>
  <c r="N20" i="21"/>
  <c r="R20" i="21"/>
  <c r="X17" i="21"/>
  <c r="H17" i="21"/>
  <c r="I17" i="21"/>
  <c r="R17" i="21"/>
  <c r="M17" i="21"/>
  <c r="Y17" i="21"/>
  <c r="P17" i="21"/>
  <c r="O17" i="21"/>
  <c r="L16" i="21"/>
  <c r="H16" i="21"/>
  <c r="R16" i="21"/>
  <c r="N16" i="21"/>
  <c r="Q16" i="21"/>
  <c r="T16" i="21"/>
  <c r="K16" i="21"/>
  <c r="Y16" i="21"/>
  <c r="X16" i="21"/>
  <c r="J43" i="3"/>
  <c r="T43" i="3"/>
  <c r="Y43" i="3"/>
  <c r="N43" i="3"/>
  <c r="K43" i="3"/>
  <c r="O43" i="3"/>
  <c r="X43" i="3"/>
  <c r="L39" i="3"/>
  <c r="J39" i="3"/>
  <c r="P38" i="3"/>
  <c r="N35" i="3"/>
  <c r="Y35" i="3"/>
  <c r="L35" i="3"/>
  <c r="P35" i="3"/>
  <c r="Z35" i="3"/>
  <c r="Z31" i="3"/>
  <c r="M23" i="3"/>
  <c r="P19" i="3"/>
  <c r="T19" i="3"/>
  <c r="M19" i="3"/>
  <c r="L19" i="3"/>
  <c r="X19" i="3"/>
  <c r="Q19" i="3"/>
  <c r="H19" i="3"/>
  <c r="O19" i="3"/>
  <c r="Z19" i="3"/>
  <c r="Y19" i="3"/>
  <c r="I19" i="3"/>
  <c r="R18" i="3"/>
  <c r="AB18" i="3"/>
  <c r="Q18" i="3"/>
  <c r="Z18" i="3"/>
  <c r="T18" i="3"/>
  <c r="X18" i="3"/>
  <c r="O18" i="3"/>
  <c r="J18" i="3"/>
  <c r="L18" i="3"/>
  <c r="I18" i="3"/>
  <c r="H18" i="3"/>
  <c r="K18" i="3"/>
  <c r="P11" i="3"/>
  <c r="Q11" i="3"/>
  <c r="X11" i="3"/>
  <c r="K11" i="3"/>
  <c r="AB11" i="3"/>
  <c r="T11" i="3"/>
  <c r="N10" i="3"/>
  <c r="O10" i="3"/>
  <c r="AB10" i="3"/>
  <c r="X10" i="3"/>
  <c r="H10" i="3"/>
  <c r="Q10" i="3"/>
  <c r="T10" i="3"/>
  <c r="Y10" i="3"/>
  <c r="L10" i="3"/>
  <c r="M10" i="3"/>
  <c r="P10" i="3"/>
  <c r="J10" i="3"/>
  <c r="K6" i="3"/>
  <c r="Q6" i="3"/>
  <c r="I6" i="3"/>
  <c r="L6" i="3"/>
  <c r="M6" i="3"/>
  <c r="P6" i="3"/>
  <c r="O6" i="3"/>
  <c r="Z6" i="3"/>
  <c r="T6" i="3"/>
  <c r="J6" i="3"/>
  <c r="Y6" i="3"/>
  <c r="AA29" i="23"/>
  <c r="N14" i="3"/>
  <c r="N19" i="22"/>
  <c r="I18" i="22"/>
  <c r="M11" i="22"/>
  <c r="J20" i="23"/>
  <c r="J16" i="22"/>
  <c r="M19" i="23"/>
  <c r="Q19" i="23"/>
  <c r="J11" i="23"/>
  <c r="P11" i="23"/>
  <c r="I21" i="20"/>
  <c r="K21" i="20"/>
  <c r="P21" i="20"/>
  <c r="N21" i="20"/>
  <c r="R21" i="20"/>
  <c r="O17" i="20"/>
  <c r="M45" i="18"/>
  <c r="Q45" i="18"/>
  <c r="K17" i="18"/>
  <c r="P17" i="18"/>
  <c r="I20" i="3"/>
  <c r="Q20" i="3"/>
  <c r="R20" i="3"/>
  <c r="Y16" i="3"/>
  <c r="H8" i="3"/>
  <c r="O8" i="3"/>
  <c r="N8" i="3"/>
  <c r="Z8" i="3"/>
  <c r="N19" i="19"/>
  <c r="T21" i="18"/>
  <c r="P12" i="3"/>
  <c r="P24" i="3"/>
  <c r="T34" i="23"/>
  <c r="Y34" i="23"/>
  <c r="N45" i="21"/>
  <c r="P21" i="21"/>
  <c r="X21" i="21"/>
  <c r="J21" i="21"/>
  <c r="R21" i="21"/>
  <c r="L17" i="21"/>
  <c r="K17" i="21"/>
  <c r="M39" i="3"/>
  <c r="Z39" i="3"/>
  <c r="T35" i="3"/>
  <c r="X35" i="3"/>
  <c r="I31" i="3"/>
  <c r="N19" i="3"/>
  <c r="J19" i="3"/>
  <c r="K19" i="3"/>
  <c r="I11" i="3"/>
  <c r="J11" i="3"/>
  <c r="O11" i="3"/>
  <c r="Y11" i="3"/>
  <c r="R26" i="23"/>
  <c r="U34" i="19"/>
  <c r="M33" i="21"/>
  <c r="L42" i="23"/>
  <c r="L20" i="18"/>
  <c r="L21" i="22"/>
  <c r="P16" i="19"/>
  <c r="S16" i="19"/>
  <c r="Q19" i="21"/>
  <c r="O19" i="21"/>
  <c r="I21" i="3"/>
  <c r="M21" i="3"/>
  <c r="P21" i="3"/>
  <c r="T21" i="3"/>
  <c r="Z21" i="3"/>
  <c r="Q17" i="3"/>
  <c r="H9" i="3"/>
  <c r="L9" i="3"/>
  <c r="T9" i="3"/>
  <c r="N16" i="23"/>
  <c r="Q34" i="20"/>
  <c r="S34" i="18"/>
  <c r="O42" i="23"/>
  <c r="T42" i="23"/>
  <c r="AA38" i="23"/>
  <c r="P14" i="3"/>
  <c r="I11" i="18"/>
  <c r="BZ54" i="3"/>
  <c r="BO54" i="3"/>
  <c r="P54" i="19"/>
  <c r="J54" i="19"/>
  <c r="AE54" i="20"/>
  <c r="Z54" i="18"/>
  <c r="CB54" i="18"/>
  <c r="T54" i="18"/>
  <c r="BT54" i="18"/>
  <c r="BR54" i="18"/>
  <c r="CA54" i="20"/>
  <c r="Y54" i="20"/>
  <c r="AQ54" i="20"/>
  <c r="AI54" i="20"/>
  <c r="BS54" i="20"/>
  <c r="CC54" i="20"/>
  <c r="BR54" i="20"/>
  <c r="AM54" i="20"/>
  <c r="V54" i="18"/>
  <c r="BI54" i="18"/>
  <c r="CA54" i="18"/>
  <c r="S54" i="18"/>
  <c r="BV54" i="18"/>
  <c r="BG54" i="20"/>
  <c r="BI54" i="20"/>
  <c r="BA54" i="20"/>
  <c r="BZ54" i="20"/>
  <c r="BU54" i="20"/>
  <c r="AJ54" i="20"/>
  <c r="BY54" i="20"/>
  <c r="BV54" i="20"/>
  <c r="BM54" i="20"/>
  <c r="U54" i="20"/>
  <c r="P54" i="18"/>
  <c r="BQ54" i="18"/>
  <c r="BX54" i="18"/>
  <c r="W54" i="18"/>
  <c r="Z54" i="20"/>
  <c r="AP54" i="20"/>
  <c r="BK54" i="20"/>
  <c r="I54" i="20"/>
  <c r="BD54" i="20"/>
  <c r="BE54" i="20"/>
  <c r="K54" i="20"/>
  <c r="N54" i="20"/>
  <c r="BB54" i="20"/>
  <c r="AH54" i="18"/>
  <c r="BG54" i="18"/>
  <c r="BC54" i="18"/>
  <c r="AB54" i="18"/>
  <c r="AC54" i="18"/>
  <c r="AY54" i="18"/>
  <c r="AC54" i="20"/>
  <c r="S54" i="20"/>
  <c r="L54" i="20"/>
  <c r="AT54" i="20"/>
  <c r="BP54" i="20"/>
  <c r="BO54" i="20"/>
  <c r="AW54" i="20"/>
  <c r="AK54" i="18"/>
  <c r="BE54" i="18"/>
  <c r="AN54" i="20"/>
  <c r="CB54" i="20"/>
  <c r="AB54" i="20"/>
  <c r="AS54" i="20"/>
  <c r="O54" i="20"/>
  <c r="AK54" i="20"/>
  <c r="W54" i="20"/>
  <c r="J54" i="20"/>
  <c r="T54" i="20"/>
  <c r="AR54" i="20"/>
  <c r="X54" i="20"/>
  <c r="AA54" i="20"/>
  <c r="BN54" i="20"/>
  <c r="BL54" i="20"/>
  <c r="BF54" i="20"/>
  <c r="V54" i="20"/>
  <c r="AF54" i="20"/>
  <c r="AV54" i="20"/>
  <c r="BX54" i="20"/>
  <c r="CD54" i="20"/>
  <c r="AO54" i="20"/>
  <c r="AG54" i="20"/>
  <c r="AO54" i="18"/>
  <c r="R54" i="18"/>
  <c r="AZ54" i="18"/>
  <c r="BM54" i="18"/>
  <c r="BP54" i="18"/>
  <c r="Y54" i="18"/>
  <c r="BH54" i="18"/>
  <c r="AY54" i="20"/>
  <c r="CE54" i="20"/>
  <c r="M54" i="20"/>
  <c r="BJ54" i="20"/>
  <c r="P54" i="20"/>
  <c r="BW54" i="20"/>
  <c r="AL54" i="18"/>
  <c r="AV54" i="18"/>
  <c r="AX54" i="18"/>
  <c r="AD54" i="3"/>
  <c r="AI54" i="23"/>
  <c r="BI54" i="19"/>
  <c r="O54" i="19"/>
  <c r="CB54" i="23"/>
  <c r="AR54" i="23"/>
  <c r="BJ54" i="19"/>
  <c r="CA54" i="19"/>
  <c r="AG54" i="19"/>
  <c r="BS54" i="23"/>
  <c r="U54" i="23"/>
  <c r="AF54" i="23"/>
  <c r="AL54" i="19"/>
  <c r="CD54" i="19"/>
  <c r="AJ54" i="19"/>
  <c r="AD54" i="23"/>
  <c r="U54" i="19"/>
  <c r="AP54" i="23"/>
  <c r="BB54" i="23"/>
  <c r="AY54" i="19"/>
  <c r="M54" i="23"/>
  <c r="BN54" i="23"/>
  <c r="S54" i="19"/>
  <c r="AI54" i="19"/>
  <c r="BD54" i="19"/>
  <c r="K54" i="19"/>
  <c r="T54" i="19"/>
  <c r="AD54" i="19"/>
  <c r="AC54" i="23"/>
  <c r="Y54" i="23"/>
  <c r="BG54" i="23"/>
  <c r="BP54" i="23"/>
  <c r="BA54" i="23"/>
  <c r="M54" i="19"/>
  <c r="Z54" i="23"/>
  <c r="CB54" i="19"/>
  <c r="Z54" i="19"/>
  <c r="H54" i="19"/>
  <c r="BQ54" i="19"/>
  <c r="BO54" i="19"/>
  <c r="BY54" i="19"/>
  <c r="AH54" i="19"/>
  <c r="AU54" i="19"/>
  <c r="AB54" i="19"/>
  <c r="W54" i="19"/>
  <c r="BP54" i="19"/>
  <c r="AW54" i="19"/>
  <c r="BW54" i="19"/>
  <c r="AL54" i="23"/>
  <c r="BX54" i="23"/>
  <c r="AJ54" i="23"/>
  <c r="O54" i="23"/>
  <c r="W54" i="23"/>
  <c r="BJ54" i="23"/>
  <c r="BR54" i="23"/>
  <c r="AY54" i="23"/>
  <c r="J54" i="23"/>
  <c r="H54" i="23"/>
  <c r="BN54" i="19"/>
  <c r="CE54" i="19"/>
  <c r="AE54" i="19"/>
  <c r="Q54" i="19"/>
  <c r="R54" i="19"/>
  <c r="X54" i="19"/>
  <c r="AO54" i="19"/>
  <c r="AO54" i="23"/>
  <c r="AE54" i="23"/>
  <c r="CD54" i="23"/>
  <c r="AH54" i="23"/>
  <c r="BZ54" i="23"/>
  <c r="AS54" i="23"/>
  <c r="BI54" i="23"/>
  <c r="BM54" i="23"/>
  <c r="AU54" i="23"/>
  <c r="AB54" i="23"/>
  <c r="BZ54" i="19"/>
  <c r="I54" i="19"/>
  <c r="AC54" i="19"/>
  <c r="AX54" i="19"/>
  <c r="L54" i="19"/>
  <c r="AM54" i="19"/>
  <c r="N54" i="19"/>
  <c r="BA54" i="19"/>
  <c r="BT54" i="19"/>
  <c r="BC54" i="19"/>
  <c r="AV54" i="19"/>
  <c r="N54" i="23"/>
  <c r="S54" i="23"/>
  <c r="AR54" i="19"/>
  <c r="BY54" i="23"/>
  <c r="R54" i="23"/>
  <c r="AA54" i="23"/>
  <c r="BX54" i="19"/>
  <c r="AS54" i="19"/>
  <c r="AZ54" i="19"/>
  <c r="V54" i="19"/>
  <c r="CC54" i="19"/>
  <c r="Y54" i="19"/>
  <c r="BE54" i="19"/>
  <c r="BS54" i="19"/>
  <c r="BB54" i="19"/>
  <c r="BE54" i="23"/>
  <c r="BC54" i="23"/>
  <c r="AZ54" i="23"/>
  <c r="AX54" i="23"/>
  <c r="AV54" i="23"/>
  <c r="BF54" i="23"/>
  <c r="Q54" i="23"/>
  <c r="BT54" i="23"/>
  <c r="BV54" i="23"/>
  <c r="AQ54" i="23"/>
  <c r="BH54" i="23"/>
  <c r="CA54" i="23"/>
  <c r="I54" i="23"/>
  <c r="T54" i="23"/>
  <c r="P54" i="23"/>
  <c r="BK54" i="19"/>
  <c r="AF54" i="19"/>
  <c r="AA54" i="19"/>
  <c r="AT54" i="19"/>
  <c r="BL54" i="19"/>
  <c r="BR54" i="19"/>
  <c r="AK54" i="19"/>
  <c r="V54" i="23"/>
  <c r="BQ54" i="23"/>
  <c r="BK54" i="23"/>
  <c r="L54" i="23"/>
  <c r="BO54" i="23"/>
  <c r="AG54" i="23"/>
  <c r="BL54" i="23"/>
  <c r="BW54" i="23"/>
  <c r="CC54" i="23"/>
  <c r="X54" i="23"/>
  <c r="CE54" i="23"/>
  <c r="AW54" i="23"/>
  <c r="BH54" i="19"/>
  <c r="AQ54" i="19"/>
  <c r="AP54" i="19"/>
  <c r="BV54" i="19"/>
  <c r="AN54" i="19"/>
  <c r="BF54" i="19"/>
  <c r="BM54" i="19"/>
  <c r="AK54" i="23"/>
  <c r="AN54" i="23"/>
  <c r="K54" i="23"/>
  <c r="BD54" i="23"/>
  <c r="BU54" i="23"/>
  <c r="AT54" i="23"/>
  <c r="AM54" i="23"/>
  <c r="BG54" i="19"/>
  <c r="N42" i="23"/>
  <c r="Q42" i="23"/>
  <c r="N7" i="3"/>
  <c r="P42" i="23"/>
  <c r="P41" i="21"/>
  <c r="L30" i="21"/>
  <c r="U41" i="3"/>
  <c r="J42" i="23"/>
  <c r="K11" i="23"/>
  <c r="S7" i="19"/>
  <c r="I11" i="21"/>
  <c r="Q8" i="23"/>
  <c r="N11" i="21"/>
  <c r="X43" i="23"/>
  <c r="N43" i="23"/>
  <c r="T43" i="23"/>
  <c r="K43" i="23"/>
  <c r="T31" i="19"/>
  <c r="X28" i="3"/>
  <c r="K6" i="19"/>
  <c r="M42" i="23"/>
  <c r="Y42" i="23"/>
  <c r="X42" i="23"/>
  <c r="Z42" i="23"/>
  <c r="R42" i="23"/>
  <c r="H37" i="22"/>
  <c r="R34" i="23"/>
  <c r="AA34" i="23"/>
  <c r="M28" i="20"/>
  <c r="P38" i="19"/>
  <c r="H34" i="19"/>
  <c r="L34" i="19"/>
  <c r="H40" i="3"/>
  <c r="M40" i="3"/>
  <c r="I40" i="3"/>
  <c r="O39" i="3"/>
  <c r="T39" i="3"/>
  <c r="AB39" i="3"/>
  <c r="M36" i="3"/>
  <c r="M35" i="3"/>
  <c r="O35" i="3"/>
  <c r="H24" i="3"/>
  <c r="L34" i="3"/>
  <c r="L36" i="3"/>
  <c r="X31" i="23"/>
  <c r="R24" i="3"/>
  <c r="V34" i="19"/>
  <c r="K29" i="19"/>
  <c r="M26" i="19"/>
  <c r="H38" i="3"/>
  <c r="J29" i="3"/>
  <c r="S40" i="19"/>
  <c r="T27" i="19"/>
  <c r="M37" i="18"/>
  <c r="R29" i="18"/>
  <c r="S26" i="18"/>
  <c r="H34" i="21"/>
  <c r="M30" i="21"/>
  <c r="J26" i="21"/>
  <c r="H36" i="3"/>
  <c r="Q28" i="3"/>
  <c r="Q24" i="3"/>
  <c r="T11" i="19"/>
  <c r="K11" i="19"/>
  <c r="I12" i="18"/>
  <c r="T11" i="23"/>
  <c r="P11" i="19"/>
  <c r="Q6" i="23"/>
  <c r="AB11" i="23"/>
  <c r="O11" i="23"/>
  <c r="M6" i="19"/>
  <c r="X9" i="21"/>
  <c r="Q9" i="20"/>
  <c r="I28" i="18"/>
  <c r="S28" i="18"/>
  <c r="P28" i="18"/>
  <c r="T32" i="18"/>
  <c r="R31" i="23"/>
  <c r="M33" i="22"/>
  <c r="T33" i="21"/>
  <c r="P28" i="21"/>
  <c r="S28" i="20"/>
  <c r="K27" i="18"/>
  <c r="V44" i="20"/>
  <c r="O44" i="19"/>
  <c r="T39" i="23"/>
  <c r="R9" i="18"/>
  <c r="M36" i="22"/>
  <c r="U35" i="23"/>
  <c r="N7" i="18"/>
  <c r="Q7" i="18"/>
  <c r="K7" i="18"/>
  <c r="M7" i="18"/>
  <c r="N7" i="19"/>
  <c r="W7" i="19"/>
  <c r="K8" i="18"/>
  <c r="O6" i="19"/>
  <c r="H14" i="3"/>
  <c r="M14" i="3"/>
  <c r="W43" i="19"/>
  <c r="S43" i="19"/>
  <c r="N43" i="19"/>
  <c r="K43" i="19"/>
  <c r="O43" i="19"/>
  <c r="R43" i="19"/>
  <c r="O43" i="23"/>
  <c r="P43" i="23"/>
  <c r="M43" i="23"/>
  <c r="I43" i="23"/>
  <c r="AA43" i="23"/>
  <c r="Z43" i="23"/>
  <c r="S27" i="19"/>
  <c r="O38" i="19"/>
  <c r="O28" i="20"/>
  <c r="O51" i="20" s="1"/>
  <c r="Q34" i="19"/>
  <c r="Q28" i="18"/>
  <c r="R41" i="21"/>
  <c r="R33" i="21"/>
  <c r="AB40" i="3"/>
  <c r="P37" i="18"/>
  <c r="Z36" i="3"/>
  <c r="Z38" i="3"/>
  <c r="Y26" i="21"/>
  <c r="M41" i="23"/>
  <c r="N24" i="3"/>
  <c r="T31" i="3"/>
  <c r="X39" i="3"/>
  <c r="Y24" i="3"/>
  <c r="J41" i="21"/>
  <c r="K24" i="3"/>
  <c r="N41" i="21"/>
  <c r="J24" i="3"/>
  <c r="X41" i="21"/>
  <c r="T24" i="3"/>
  <c r="K41" i="21"/>
  <c r="N39" i="3"/>
  <c r="K20" i="18"/>
  <c r="O20" i="18"/>
  <c r="I20" i="18"/>
  <c r="H20" i="18"/>
  <c r="S20" i="18"/>
  <c r="R20" i="18"/>
  <c r="P20" i="18"/>
  <c r="N20" i="18"/>
  <c r="S11" i="19"/>
  <c r="O7" i="19"/>
  <c r="U11" i="23"/>
  <c r="R7" i="19"/>
  <c r="R11" i="23"/>
  <c r="Q12" i="18"/>
  <c r="J11" i="21"/>
  <c r="K11" i="21"/>
  <c r="V26" i="19"/>
  <c r="O26" i="19"/>
  <c r="L18" i="20"/>
  <c r="H13" i="3"/>
  <c r="H6" i="3"/>
  <c r="O18" i="20"/>
  <c r="R18" i="20"/>
  <c r="Q18" i="20"/>
  <c r="T18" i="20"/>
  <c r="K18" i="20"/>
  <c r="J18" i="20"/>
  <c r="U18" i="20"/>
  <c r="N18" i="20"/>
  <c r="P18" i="20"/>
  <c r="M18" i="20"/>
  <c r="Z38" i="23"/>
  <c r="Y38" i="23"/>
  <c r="U38" i="23"/>
  <c r="P43" i="3"/>
  <c r="Z15" i="3"/>
  <c r="J45" i="23"/>
  <c r="AA11" i="23"/>
  <c r="X8" i="23"/>
  <c r="M45" i="20"/>
  <c r="J27" i="19"/>
  <c r="I41" i="18"/>
  <c r="J37" i="18"/>
  <c r="R28" i="18"/>
  <c r="Q45" i="21"/>
  <c r="I34" i="21"/>
  <c r="K30" i="21"/>
  <c r="I45" i="3"/>
  <c r="L40" i="3"/>
  <c r="K39" i="3"/>
  <c r="I36" i="3"/>
  <c r="K35" i="3"/>
  <c r="T32" i="3"/>
  <c r="O28" i="3"/>
  <c r="I9" i="20"/>
  <c r="I35" i="3"/>
  <c r="J45" i="22"/>
  <c r="J34" i="23"/>
  <c r="P45" i="21"/>
  <c r="M41" i="21"/>
  <c r="M34" i="22"/>
  <c r="J34" i="19"/>
  <c r="N15" i="22"/>
  <c r="R7" i="18"/>
  <c r="N15" i="18"/>
  <c r="H11" i="22"/>
  <c r="S12" i="18"/>
  <c r="O8" i="23"/>
  <c r="J11" i="22"/>
  <c r="N11" i="19"/>
  <c r="J13" i="18"/>
  <c r="Q11" i="21"/>
  <c r="T7" i="19"/>
  <c r="J43" i="19"/>
  <c r="X42" i="21"/>
  <c r="R42" i="21"/>
  <c r="O42" i="21"/>
  <c r="T44" i="3"/>
  <c r="J7" i="22"/>
  <c r="Q7" i="3"/>
  <c r="W33" i="19"/>
  <c r="L31" i="19"/>
  <c r="T29" i="20"/>
  <c r="S33" i="18"/>
  <c r="N32" i="18"/>
  <c r="Q31" i="3"/>
  <c r="Q44" i="3"/>
  <c r="O44" i="3"/>
  <c r="I44" i="3"/>
  <c r="M44" i="3"/>
  <c r="L44" i="3"/>
  <c r="Z44" i="3"/>
  <c r="Y44" i="3"/>
  <c r="AB43" i="3"/>
  <c r="H43" i="3"/>
  <c r="M43" i="3"/>
  <c r="H10" i="20"/>
  <c r="U6" i="19"/>
  <c r="W6" i="19"/>
  <c r="H6" i="19"/>
  <c r="N6" i="19"/>
  <c r="R6" i="19"/>
  <c r="N9" i="20"/>
  <c r="V9" i="20"/>
  <c r="R9" i="20"/>
  <c r="T9" i="20"/>
  <c r="M9" i="20"/>
  <c r="O9" i="21"/>
  <c r="N44" i="22"/>
  <c r="AB14" i="3"/>
  <c r="J34" i="22"/>
  <c r="P34" i="22"/>
  <c r="H43" i="23"/>
  <c r="J43" i="23"/>
  <c r="M28" i="23"/>
  <c r="M51" i="23" s="1"/>
  <c r="M29" i="20"/>
  <c r="J29" i="20"/>
  <c r="M43" i="19"/>
  <c r="P43" i="19"/>
  <c r="L43" i="19"/>
  <c r="I31" i="19"/>
  <c r="K27" i="19"/>
  <c r="I45" i="18"/>
  <c r="N45" i="18"/>
  <c r="J45" i="18"/>
  <c r="P41" i="18"/>
  <c r="M41" i="18"/>
  <c r="O41" i="18"/>
  <c r="N41" i="18"/>
  <c r="K34" i="18"/>
  <c r="N34" i="18"/>
  <c r="R33" i="18"/>
  <c r="N29" i="18"/>
  <c r="H42" i="21"/>
  <c r="L42" i="21"/>
  <c r="T42" i="21"/>
  <c r="P42" i="21"/>
  <c r="M42" i="21"/>
  <c r="K42" i="21"/>
  <c r="I38" i="21"/>
  <c r="U34" i="21"/>
  <c r="Y34" i="21"/>
  <c r="M34" i="21"/>
  <c r="P34" i="21"/>
  <c r="N34" i="21"/>
  <c r="V34" i="21"/>
  <c r="O34" i="21"/>
  <c r="R30" i="21"/>
  <c r="T45" i="3"/>
  <c r="H45" i="3"/>
  <c r="Z45" i="3"/>
  <c r="Q45" i="3"/>
  <c r="K45" i="3"/>
  <c r="O45" i="3"/>
  <c r="M45" i="3"/>
  <c r="P45" i="3"/>
  <c r="L45" i="3"/>
  <c r="N45" i="3"/>
  <c r="P44" i="3"/>
  <c r="K44" i="3"/>
  <c r="U44" i="3"/>
  <c r="X44" i="3"/>
  <c r="N44" i="3"/>
  <c r="J44" i="3"/>
  <c r="I41" i="3"/>
  <c r="J40" i="3"/>
  <c r="N40" i="3"/>
  <c r="P40" i="3"/>
  <c r="O40" i="3"/>
  <c r="K40" i="3"/>
  <c r="X40" i="3"/>
  <c r="O37" i="3"/>
  <c r="N37" i="3"/>
  <c r="Y37" i="3"/>
  <c r="T36" i="3"/>
  <c r="J36" i="3"/>
  <c r="Y36" i="3"/>
  <c r="P36" i="3"/>
  <c r="X36" i="3"/>
  <c r="K36" i="3"/>
  <c r="O36" i="3"/>
  <c r="AB36" i="3"/>
  <c r="T29" i="3"/>
  <c r="P28" i="3"/>
  <c r="L28" i="3"/>
  <c r="T28" i="3"/>
  <c r="Y28" i="3"/>
  <c r="U28" i="3"/>
  <c r="J45" i="3"/>
  <c r="N45" i="20"/>
  <c r="AB44" i="3"/>
  <c r="Y42" i="21"/>
  <c r="M45" i="23"/>
  <c r="M34" i="19"/>
  <c r="K37" i="18"/>
  <c r="X34" i="21"/>
  <c r="K34" i="22"/>
  <c r="H41" i="18"/>
  <c r="N42" i="21"/>
  <c r="J31" i="3"/>
  <c r="Q42" i="21"/>
  <c r="J28" i="3"/>
  <c r="Q40" i="3"/>
  <c r="S40" i="20"/>
  <c r="H39" i="3"/>
  <c r="K28" i="20"/>
  <c r="J6" i="23"/>
  <c r="AB15" i="3"/>
  <c r="X15" i="3"/>
  <c r="H15" i="3"/>
  <c r="N15" i="3"/>
  <c r="J15" i="3"/>
  <c r="P15" i="3"/>
  <c r="M15" i="3"/>
  <c r="Y15" i="3"/>
  <c r="K15" i="3"/>
  <c r="L15" i="3"/>
  <c r="Q15" i="3"/>
  <c r="O15" i="3"/>
  <c r="I15" i="3"/>
  <c r="T15" i="3"/>
  <c r="AA15" i="23"/>
  <c r="Z11" i="23"/>
  <c r="V7" i="19"/>
  <c r="Y11" i="23"/>
  <c r="U8" i="23"/>
  <c r="U7" i="19"/>
  <c r="N11" i="23"/>
  <c r="Q11" i="19"/>
  <c r="M11" i="23"/>
  <c r="M11" i="19"/>
  <c r="P11" i="22"/>
  <c r="O13" i="18"/>
  <c r="J7" i="19"/>
  <c r="K9" i="20"/>
  <c r="L11" i="23"/>
  <c r="S9" i="20"/>
  <c r="X9" i="20"/>
  <c r="Q11" i="23"/>
  <c r="N11" i="22"/>
  <c r="L11" i="21"/>
  <c r="I11" i="19"/>
  <c r="O11" i="19"/>
  <c r="U9" i="20"/>
  <c r="O9" i="20"/>
  <c r="P9" i="20"/>
  <c r="I11" i="22"/>
  <c r="J9" i="20"/>
  <c r="L9" i="20"/>
  <c r="H11" i="21"/>
  <c r="AA8" i="23"/>
  <c r="R8" i="23"/>
  <c r="N8" i="23"/>
  <c r="P8" i="23"/>
  <c r="Y8" i="23"/>
  <c r="Z8" i="23"/>
  <c r="T8" i="23"/>
  <c r="M8" i="23"/>
  <c r="T40" i="20"/>
  <c r="N40" i="20"/>
  <c r="Q9" i="21"/>
  <c r="H6" i="23"/>
  <c r="N9" i="22"/>
  <c r="S6" i="19"/>
  <c r="V6" i="19"/>
  <c r="Q6" i="19"/>
  <c r="T6" i="19"/>
  <c r="P6" i="19"/>
  <c r="I6" i="19"/>
  <c r="J6" i="19"/>
  <c r="O8" i="20"/>
  <c r="N8" i="20"/>
  <c r="K6" i="23"/>
  <c r="R6" i="23"/>
  <c r="Z6" i="23"/>
  <c r="Y6" i="23"/>
  <c r="X6" i="23"/>
  <c r="P6" i="23"/>
  <c r="L6" i="23"/>
  <c r="AB6" i="23"/>
  <c r="N6" i="23"/>
  <c r="T6" i="23"/>
  <c r="M6" i="23"/>
  <c r="AA6" i="23"/>
  <c r="O6" i="23"/>
  <c r="N18" i="19"/>
  <c r="S6" i="18"/>
  <c r="J6" i="18"/>
  <c r="N6" i="18"/>
  <c r="N22" i="22"/>
  <c r="N42" i="19"/>
  <c r="H35" i="3"/>
  <c r="J19" i="22"/>
  <c r="M19" i="22"/>
  <c r="I19" i="19"/>
  <c r="M18" i="23"/>
  <c r="T8" i="19"/>
  <c r="H8" i="23"/>
  <c r="L45" i="20"/>
  <c r="Q43" i="19"/>
  <c r="L45" i="18"/>
  <c r="K28" i="3"/>
  <c r="L25" i="20"/>
  <c r="P40" i="18"/>
  <c r="Q13" i="18"/>
  <c r="K12" i="18"/>
  <c r="U54" i="21"/>
  <c r="BP54" i="21"/>
  <c r="BU54" i="22"/>
  <c r="BH54" i="20"/>
  <c r="AD54" i="18"/>
  <c r="AI54" i="18"/>
  <c r="BF54" i="18"/>
  <c r="BT54" i="20"/>
  <c r="BY54" i="18"/>
  <c r="AM54" i="18"/>
  <c r="BL54" i="18"/>
  <c r="H54" i="18"/>
  <c r="Q54" i="18"/>
  <c r="U54" i="18"/>
  <c r="BW54" i="18"/>
  <c r="O54" i="18"/>
  <c r="BZ54" i="18"/>
  <c r="AW54" i="18"/>
  <c r="BJ54" i="18"/>
  <c r="CE54" i="18"/>
  <c r="Z54" i="21"/>
  <c r="BE54" i="22"/>
  <c r="BG54" i="22"/>
  <c r="AQ54" i="22"/>
  <c r="AF54" i="21"/>
  <c r="AL54" i="20"/>
  <c r="BU54" i="18"/>
  <c r="BD54" i="18"/>
  <c r="AE54" i="18"/>
  <c r="BN54" i="21"/>
  <c r="BO54" i="21"/>
  <c r="AH54" i="21"/>
  <c r="BX54" i="21"/>
  <c r="AJ54" i="18"/>
  <c r="L54" i="18"/>
  <c r="AF54" i="18"/>
  <c r="CD54" i="18"/>
  <c r="BA54" i="18"/>
  <c r="X54" i="18"/>
  <c r="I54" i="18"/>
  <c r="Z54" i="22"/>
  <c r="N54" i="22"/>
  <c r="AU54" i="20"/>
  <c r="Q54" i="20"/>
  <c r="AZ54" i="20"/>
  <c r="BN54" i="18"/>
  <c r="N54" i="18"/>
  <c r="AQ54" i="18"/>
  <c r="AG54" i="18"/>
  <c r="AL54" i="21"/>
  <c r="AW54" i="22"/>
  <c r="BH54" i="21"/>
  <c r="AT54" i="18"/>
  <c r="BO54" i="18"/>
  <c r="AN54" i="18"/>
  <c r="BV54" i="21"/>
  <c r="AU54" i="22"/>
  <c r="AE54" i="22"/>
  <c r="BS54" i="18"/>
  <c r="BK54" i="18"/>
  <c r="J54" i="18"/>
  <c r="CC54" i="18"/>
  <c r="BB54" i="18"/>
  <c r="BW54" i="21"/>
  <c r="BD54" i="21"/>
  <c r="J54" i="22"/>
  <c r="H54" i="22"/>
  <c r="BX54" i="22"/>
  <c r="AL54" i="22"/>
  <c r="AH54" i="22"/>
  <c r="AX54" i="21"/>
  <c r="AQ54" i="21"/>
  <c r="AK54" i="21"/>
  <c r="CB54" i="22"/>
  <c r="BJ54" i="22"/>
  <c r="BR54" i="22"/>
  <c r="AI54" i="22"/>
  <c r="BE54" i="21"/>
  <c r="BB54" i="21"/>
  <c r="AA54" i="21"/>
  <c r="BK54" i="21"/>
  <c r="AS54" i="22"/>
  <c r="V54" i="22"/>
  <c r="AN54" i="22"/>
  <c r="X54" i="21"/>
  <c r="AN54" i="21"/>
  <c r="AE54" i="21"/>
  <c r="BW54" i="22"/>
  <c r="AO54" i="22"/>
  <c r="BF54" i="22"/>
  <c r="S54" i="22"/>
  <c r="BO54" i="22"/>
  <c r="CD54" i="22"/>
  <c r="AJ54" i="22"/>
  <c r="BD54" i="22"/>
  <c r="BL54" i="22"/>
  <c r="BG54" i="21"/>
  <c r="CC54" i="21"/>
  <c r="T54" i="21"/>
  <c r="AO54" i="21"/>
  <c r="BM54" i="21"/>
  <c r="Q54" i="21"/>
  <c r="AR54" i="22"/>
  <c r="W54" i="22"/>
  <c r="AM54" i="22"/>
  <c r="BK54" i="22"/>
  <c r="M54" i="22"/>
  <c r="BP54" i="22"/>
  <c r="BH54" i="22"/>
  <c r="BU54" i="21"/>
  <c r="P54" i="22"/>
  <c r="BF54" i="21"/>
  <c r="BC54" i="21"/>
  <c r="H54" i="21"/>
  <c r="AY54" i="21"/>
  <c r="AR54" i="21"/>
  <c r="BQ54" i="21"/>
  <c r="AV54" i="21"/>
  <c r="AB54" i="22"/>
  <c r="AP54" i="22"/>
  <c r="BY54" i="21"/>
  <c r="BT54" i="22"/>
  <c r="AY54" i="22"/>
  <c r="X54" i="22"/>
  <c r="BM54" i="22"/>
  <c r="Y54" i="22"/>
  <c r="M54" i="21"/>
  <c r="AU54" i="21"/>
  <c r="CB54" i="21"/>
  <c r="BA54" i="21"/>
  <c r="P54" i="21"/>
  <c r="AG54" i="21"/>
  <c r="CC54" i="22"/>
  <c r="R54" i="22"/>
  <c r="L54" i="22"/>
  <c r="AI54" i="21"/>
  <c r="BS54" i="21"/>
  <c r="AT54" i="22"/>
  <c r="AF54" i="22"/>
  <c r="CD54" i="21"/>
  <c r="AW54" i="21"/>
  <c r="AJ54" i="21"/>
  <c r="V54" i="21"/>
  <c r="CA54" i="21"/>
  <c r="BJ54" i="21"/>
  <c r="J54" i="21"/>
  <c r="AM54" i="21"/>
  <c r="N54" i="21"/>
  <c r="BT54" i="21"/>
  <c r="AX54" i="22"/>
  <c r="BY54" i="22"/>
  <c r="CA54" i="22"/>
  <c r="AG54" i="22"/>
  <c r="BI54" i="22"/>
  <c r="BQ54" i="22"/>
  <c r="S54" i="21"/>
  <c r="U54" i="22"/>
  <c r="BN54" i="22"/>
  <c r="BV54" i="22"/>
  <c r="I54" i="22"/>
  <c r="Y54" i="21"/>
  <c r="L54" i="21"/>
  <c r="AT54" i="21"/>
  <c r="AD54" i="21"/>
  <c r="CE54" i="21"/>
  <c r="BZ54" i="22"/>
  <c r="R54" i="21"/>
  <c r="BR54" i="21"/>
  <c r="BI54" i="21"/>
  <c r="BA54" i="22"/>
  <c r="BS54" i="22"/>
  <c r="AD54" i="22"/>
  <c r="AC54" i="22"/>
  <c r="AZ54" i="22"/>
  <c r="K54" i="22"/>
  <c r="T54" i="22"/>
  <c r="CE54" i="22"/>
  <c r="BZ54" i="21"/>
  <c r="I54" i="21"/>
  <c r="O54" i="22"/>
  <c r="AK54" i="22"/>
  <c r="AZ54" i="21"/>
  <c r="AP54" i="21"/>
  <c r="AC54" i="21"/>
  <c r="BC54" i="22"/>
  <c r="BB54" i="22"/>
  <c r="W54" i="21"/>
  <c r="BL54" i="21"/>
  <c r="AB54" i="21"/>
  <c r="K42" i="19"/>
  <c r="W42" i="19"/>
  <c r="V42" i="19"/>
  <c r="M42" i="19"/>
  <c r="J42" i="19"/>
  <c r="U42" i="19"/>
  <c r="I42" i="19"/>
  <c r="S42" i="19"/>
  <c r="R42" i="19"/>
  <c r="P42" i="19"/>
  <c r="Q42" i="19"/>
  <c r="L42" i="19"/>
  <c r="O42" i="19"/>
  <c r="T42" i="19"/>
  <c r="K32" i="18"/>
  <c r="K29" i="21"/>
  <c r="L19" i="23"/>
  <c r="K19" i="19"/>
  <c r="J19" i="19"/>
  <c r="M19" i="19"/>
  <c r="L18" i="19"/>
  <c r="I18" i="19"/>
  <c r="W18" i="19"/>
  <c r="O18" i="19"/>
  <c r="R18" i="19"/>
  <c r="M15" i="19"/>
  <c r="P14" i="21"/>
  <c r="L43" i="23"/>
  <c r="L41" i="22"/>
  <c r="L34" i="23"/>
  <c r="P15" i="23"/>
  <c r="H32" i="20"/>
  <c r="L38" i="19"/>
  <c r="H26" i="19"/>
  <c r="L8" i="3"/>
  <c r="H19" i="19"/>
  <c r="J28" i="18"/>
  <c r="M25" i="21"/>
  <c r="H44" i="3"/>
  <c r="I43" i="3"/>
  <c r="M7" i="3"/>
  <c r="M9" i="22"/>
  <c r="P26" i="23"/>
  <c r="X25" i="23"/>
  <c r="J32" i="20"/>
  <c r="I28" i="20"/>
  <c r="W26" i="19"/>
  <c r="T11" i="18"/>
  <c r="O7" i="18"/>
  <c r="M9" i="21"/>
  <c r="M22" i="3"/>
  <c r="L45" i="22"/>
  <c r="I21" i="22"/>
  <c r="L20" i="22"/>
  <c r="H45" i="23"/>
  <c r="L21" i="23"/>
  <c r="R43" i="20"/>
  <c r="L15" i="20"/>
  <c r="L45" i="19"/>
  <c r="L17" i="19"/>
  <c r="L43" i="18"/>
  <c r="I15" i="18"/>
  <c r="H45" i="21"/>
  <c r="H21" i="21"/>
  <c r="L33" i="19"/>
  <c r="H43" i="18"/>
  <c r="L25" i="22"/>
  <c r="J24" i="21"/>
  <c r="K29" i="22"/>
  <c r="I22" i="19"/>
  <c r="J22" i="19"/>
  <c r="M32" i="3"/>
  <c r="L19" i="20"/>
  <c r="H21" i="20"/>
  <c r="L21" i="18"/>
  <c r="L10" i="21"/>
  <c r="N8" i="19"/>
  <c r="J8" i="19"/>
  <c r="L8" i="19"/>
  <c r="H7" i="19"/>
  <c r="M14" i="20"/>
  <c r="J13" i="20"/>
  <c r="J12" i="18"/>
  <c r="N13" i="18"/>
  <c r="R14" i="20"/>
  <c r="P14" i="20"/>
  <c r="S14" i="20"/>
  <c r="Q14" i="20"/>
  <c r="X8" i="21"/>
  <c r="Z26" i="23"/>
  <c r="U22" i="23"/>
  <c r="R32" i="20"/>
  <c r="Q28" i="20"/>
  <c r="T26" i="23"/>
  <c r="N32" i="20"/>
  <c r="N31" i="3"/>
  <c r="L31" i="3"/>
  <c r="L32" i="20"/>
  <c r="X31" i="3"/>
  <c r="L33" i="22"/>
  <c r="O25" i="21"/>
  <c r="J33" i="22"/>
  <c r="K31" i="20"/>
  <c r="M25" i="22"/>
  <c r="P33" i="21"/>
  <c r="J26" i="19"/>
  <c r="I32" i="20"/>
  <c r="AA26" i="23"/>
  <c r="Z29" i="23"/>
  <c r="W29" i="19"/>
  <c r="S32" i="20"/>
  <c r="O33" i="19"/>
  <c r="U28" i="20"/>
  <c r="R28" i="20"/>
  <c r="N26" i="19"/>
  <c r="N24" i="20"/>
  <c r="M24" i="20"/>
  <c r="M29" i="23"/>
  <c r="H28" i="20"/>
  <c r="O31" i="3"/>
  <c r="Q30" i="3"/>
  <c r="N33" i="22"/>
  <c r="J26" i="23"/>
  <c r="P22" i="3"/>
  <c r="I24" i="20"/>
  <c r="L24" i="21"/>
  <c r="L28" i="18"/>
  <c r="L30" i="19"/>
  <c r="J33" i="21"/>
  <c r="W25" i="19"/>
  <c r="S29" i="19"/>
  <c r="V32" i="20"/>
  <c r="Y26" i="23"/>
  <c r="U32" i="20"/>
  <c r="U26" i="19"/>
  <c r="T26" i="19"/>
  <c r="N22" i="19"/>
  <c r="T24" i="20"/>
  <c r="T32" i="20"/>
  <c r="K25" i="19"/>
  <c r="AB31" i="3"/>
  <c r="R31" i="3"/>
  <c r="I24" i="21"/>
  <c r="L26" i="23"/>
  <c r="K28" i="18"/>
  <c r="N28" i="18"/>
  <c r="J25" i="22"/>
  <c r="K25" i="21"/>
  <c r="K32" i="20"/>
  <c r="L28" i="20"/>
  <c r="L26" i="19"/>
  <c r="I29" i="23"/>
  <c r="S26" i="19"/>
  <c r="U26" i="23"/>
  <c r="R26" i="19"/>
  <c r="Q26" i="19"/>
  <c r="N28" i="20"/>
  <c r="K26" i="19"/>
  <c r="P26" i="19"/>
  <c r="P28" i="20"/>
  <c r="Y31" i="3"/>
  <c r="P25" i="22"/>
  <c r="N25" i="22"/>
  <c r="O33" i="21"/>
  <c r="M32" i="20"/>
  <c r="Q33" i="21"/>
  <c r="H23" i="3"/>
  <c r="N33" i="21"/>
  <c r="T25" i="21"/>
  <c r="I22" i="3"/>
  <c r="T29" i="18"/>
  <c r="O26" i="23"/>
  <c r="X26" i="23"/>
  <c r="O32" i="20"/>
  <c r="N26" i="23"/>
  <c r="Q32" i="20"/>
  <c r="T28" i="20"/>
  <c r="X33" i="21"/>
  <c r="H28" i="18"/>
  <c r="I28" i="3"/>
  <c r="L9" i="22"/>
  <c r="H9" i="21"/>
  <c r="J8" i="18"/>
  <c r="I7" i="18"/>
  <c r="S7" i="18"/>
  <c r="S8" i="18"/>
  <c r="R8" i="18"/>
  <c r="T13" i="23"/>
  <c r="N11" i="20"/>
  <c r="P7" i="18"/>
  <c r="K11" i="18"/>
  <c r="O8" i="18"/>
  <c r="H7" i="18"/>
  <c r="J11" i="18"/>
  <c r="N13" i="22"/>
  <c r="J12" i="22"/>
  <c r="U13" i="19"/>
  <c r="L12" i="18"/>
  <c r="M12" i="21"/>
  <c r="L11" i="18"/>
  <c r="Q8" i="21"/>
  <c r="V11" i="20"/>
  <c r="R9" i="21"/>
  <c r="M12" i="18"/>
  <c r="T9" i="21"/>
  <c r="H12" i="18"/>
  <c r="I8" i="18"/>
  <c r="R12" i="18"/>
  <c r="U8" i="20"/>
  <c r="O14" i="20"/>
  <c r="R11" i="20"/>
  <c r="S11" i="21"/>
  <c r="Q11" i="18"/>
  <c r="P8" i="18"/>
  <c r="AB9" i="21"/>
  <c r="N9" i="21"/>
  <c r="N11" i="18"/>
  <c r="O11" i="21"/>
  <c r="J9" i="22"/>
  <c r="N8" i="18"/>
  <c r="J7" i="18"/>
  <c r="J8" i="23"/>
  <c r="P9" i="21"/>
  <c r="H11" i="18"/>
  <c r="I8" i="23"/>
  <c r="R11" i="18"/>
  <c r="Q8" i="18"/>
  <c r="Y9" i="21"/>
  <c r="K8" i="20"/>
  <c r="M8" i="18"/>
  <c r="L9" i="21"/>
  <c r="L12" i="21"/>
  <c r="P10" i="20"/>
  <c r="M7" i="21"/>
  <c r="S11" i="18"/>
  <c r="T7" i="18"/>
  <c r="K9" i="21"/>
  <c r="H9" i="22"/>
  <c r="L12" i="20"/>
  <c r="I9" i="21"/>
  <c r="X44" i="21"/>
  <c r="O44" i="20"/>
  <c r="Q44" i="18"/>
  <c r="M38" i="22"/>
  <c r="R43" i="23"/>
  <c r="R43" i="18"/>
  <c r="Y43" i="23"/>
  <c r="S43" i="20"/>
  <c r="T43" i="19"/>
  <c r="I16" i="19"/>
  <c r="H25" i="22"/>
  <c r="S29" i="18"/>
  <c r="L29" i="18"/>
  <c r="O29" i="18"/>
  <c r="J29" i="18"/>
  <c r="P29" i="18"/>
  <c r="K29" i="18"/>
  <c r="M29" i="18"/>
  <c r="I29" i="18"/>
  <c r="I23" i="3"/>
  <c r="K18" i="22"/>
  <c r="N18" i="23"/>
  <c r="T18" i="23"/>
  <c r="AA18" i="23"/>
  <c r="Z18" i="23"/>
  <c r="S18" i="23"/>
  <c r="O18" i="23"/>
  <c r="X18" i="23"/>
  <c r="R18" i="23"/>
  <c r="Q18" i="23"/>
  <c r="P18" i="23"/>
  <c r="Y18" i="23"/>
  <c r="I18" i="23"/>
  <c r="J18" i="22"/>
  <c r="M18" i="22"/>
  <c r="L18" i="22"/>
  <c r="H18" i="22"/>
  <c r="I18" i="20"/>
  <c r="K44" i="19"/>
  <c r="S44" i="18"/>
  <c r="N35" i="23"/>
  <c r="R35" i="23"/>
  <c r="J35" i="23"/>
  <c r="W35" i="19"/>
  <c r="R44" i="20"/>
  <c r="T44" i="20"/>
  <c r="P44" i="18"/>
  <c r="L44" i="18"/>
  <c r="N44" i="18"/>
  <c r="R44" i="18"/>
  <c r="J39" i="20"/>
  <c r="K38" i="21"/>
  <c r="R38" i="21"/>
  <c r="P7" i="21"/>
  <c r="I7" i="21"/>
  <c r="O7" i="21"/>
  <c r="Y7" i="21"/>
  <c r="N14" i="23"/>
  <c r="M14" i="23"/>
  <c r="Z14" i="23"/>
  <c r="R8" i="21"/>
  <c r="N8" i="21"/>
  <c r="M12" i="22"/>
  <c r="N12" i="22"/>
  <c r="H12" i="22"/>
  <c r="I7" i="19"/>
  <c r="V15" i="20"/>
  <c r="U15" i="20"/>
  <c r="K15" i="20"/>
  <c r="O15" i="20"/>
  <c r="M7" i="23"/>
  <c r="R7" i="21"/>
  <c r="U7" i="21"/>
  <c r="N7" i="21"/>
  <c r="K7" i="21"/>
  <c r="L7" i="21"/>
  <c r="AB7" i="21"/>
  <c r="X7" i="21"/>
  <c r="T7" i="21"/>
  <c r="Q7" i="21"/>
  <c r="H7" i="21"/>
  <c r="U12" i="21"/>
  <c r="Q12" i="21"/>
  <c r="R12" i="21"/>
  <c r="N12" i="21"/>
  <c r="P12" i="21"/>
  <c r="O12" i="21"/>
  <c r="K12" i="21"/>
  <c r="Y12" i="21"/>
  <c r="J12" i="21"/>
  <c r="T12" i="21"/>
  <c r="X12" i="21"/>
  <c r="J10" i="22"/>
  <c r="R13" i="23"/>
  <c r="R13" i="20"/>
  <c r="T13" i="19"/>
  <c r="S13" i="18"/>
  <c r="K13" i="18"/>
  <c r="R13" i="18"/>
  <c r="P13" i="18"/>
  <c r="K7" i="19"/>
  <c r="Q7" i="19"/>
  <c r="P7" i="19"/>
  <c r="M7" i="19"/>
  <c r="L7" i="19"/>
  <c r="L8" i="21"/>
  <c r="P12" i="18"/>
  <c r="N12" i="18"/>
  <c r="H14" i="19"/>
  <c r="M10" i="23"/>
  <c r="M10" i="22"/>
  <c r="H10" i="21"/>
  <c r="R10" i="19"/>
  <c r="U10" i="19"/>
  <c r="Q10" i="19"/>
  <c r="P10" i="19"/>
  <c r="S10" i="18"/>
  <c r="L15" i="19"/>
  <c r="T14" i="3"/>
  <c r="K14" i="3"/>
  <c r="J14" i="3"/>
  <c r="L14" i="3"/>
  <c r="I14" i="3"/>
  <c r="Z14" i="3"/>
  <c r="R14" i="3"/>
  <c r="O14" i="3"/>
  <c r="Y14" i="3"/>
  <c r="X14" i="3"/>
  <c r="R7" i="3"/>
  <c r="U7" i="3"/>
  <c r="Y7" i="3"/>
  <c r="L34" i="22"/>
  <c r="I33" i="22"/>
  <c r="I29" i="22"/>
  <c r="H34" i="23"/>
  <c r="H31" i="19"/>
  <c r="L28" i="19"/>
  <c r="I27" i="19"/>
  <c r="I26" i="19"/>
  <c r="L41" i="18"/>
  <c r="I32" i="18"/>
  <c r="H29" i="18"/>
  <c r="M28" i="18"/>
  <c r="I37" i="21"/>
  <c r="L34" i="21"/>
  <c r="I32" i="3"/>
  <c r="J24" i="18"/>
  <c r="T23" i="3"/>
  <c r="I39" i="3"/>
  <c r="P21" i="18"/>
  <c r="I21" i="18"/>
  <c r="J21" i="18"/>
  <c r="M21" i="18"/>
  <c r="H21" i="18"/>
  <c r="R21" i="18"/>
  <c r="N21" i="18"/>
  <c r="Q21" i="18"/>
  <c r="H19" i="22"/>
  <c r="H19" i="20"/>
  <c r="L19" i="19"/>
  <c r="L19" i="21"/>
  <c r="I16" i="22"/>
  <c r="L12" i="22"/>
  <c r="I13" i="3"/>
  <c r="H10" i="19"/>
  <c r="L13" i="3"/>
  <c r="H13" i="20"/>
  <c r="I12" i="22"/>
  <c r="L11" i="22"/>
  <c r="I9" i="22"/>
  <c r="H11" i="23"/>
  <c r="L8" i="23"/>
  <c r="I6" i="23"/>
  <c r="H11" i="19"/>
  <c r="M11" i="18"/>
  <c r="L8" i="18"/>
  <c r="L7" i="18"/>
  <c r="I14" i="21"/>
  <c r="H12" i="21"/>
  <c r="J9" i="21"/>
  <c r="J7" i="21"/>
  <c r="P7" i="3"/>
  <c r="H11" i="3"/>
  <c r="L10" i="20"/>
  <c r="L31" i="23"/>
  <c r="H26" i="23"/>
  <c r="R25" i="23"/>
  <c r="H33" i="21"/>
  <c r="I27" i="23"/>
  <c r="L29" i="20"/>
  <c r="I25" i="22"/>
  <c r="H21" i="19"/>
  <c r="H19" i="18"/>
  <c r="M44" i="18"/>
  <c r="I16" i="21"/>
  <c r="L16" i="20"/>
  <c r="M16" i="18"/>
  <c r="H20" i="23"/>
  <c r="J20" i="21"/>
  <c r="M20" i="18"/>
  <c r="H17" i="20"/>
  <c r="L43" i="3"/>
  <c r="H42" i="23"/>
  <c r="J42" i="21"/>
  <c r="H42" i="19"/>
  <c r="M8" i="22"/>
  <c r="P8" i="20"/>
  <c r="W8" i="19"/>
  <c r="I13" i="22"/>
  <c r="N8" i="22"/>
  <c r="K8" i="22"/>
  <c r="J8" i="22"/>
  <c r="I8" i="22"/>
  <c r="R12" i="20"/>
  <c r="V12" i="20"/>
  <c r="U12" i="20"/>
  <c r="X12" i="20"/>
  <c r="Q12" i="20"/>
  <c r="N12" i="20"/>
  <c r="I12" i="20"/>
  <c r="S12" i="20"/>
  <c r="M12" i="20"/>
  <c r="P12" i="20"/>
  <c r="H12" i="20"/>
  <c r="K12" i="20"/>
  <c r="O12" i="20"/>
  <c r="T12" i="20"/>
  <c r="J12" i="20"/>
  <c r="L15" i="23"/>
  <c r="O15" i="23"/>
  <c r="AB14" i="23"/>
  <c r="U14" i="23"/>
  <c r="P25" i="23"/>
  <c r="O25" i="23"/>
  <c r="S8" i="20"/>
  <c r="R8" i="20"/>
  <c r="M8" i="20"/>
  <c r="L8" i="20"/>
  <c r="J8" i="20"/>
  <c r="H8" i="20"/>
  <c r="Q8" i="20"/>
  <c r="T8" i="20"/>
  <c r="I8" i="20"/>
  <c r="V8" i="20"/>
  <c r="N14" i="19"/>
  <c r="S8" i="19"/>
  <c r="V8" i="19"/>
  <c r="O8" i="19"/>
  <c r="R8" i="19"/>
  <c r="U8" i="19"/>
  <c r="Q8" i="19"/>
  <c r="K8" i="19"/>
  <c r="P8" i="19"/>
  <c r="M8" i="19"/>
  <c r="I8" i="19"/>
  <c r="H8" i="19"/>
  <c r="M13" i="18"/>
  <c r="M14" i="19"/>
  <c r="P14" i="19"/>
  <c r="AA13" i="23"/>
  <c r="X13" i="23"/>
  <c r="N13" i="23"/>
  <c r="Q13" i="23"/>
  <c r="P13" i="23"/>
  <c r="L13" i="23"/>
  <c r="Z13" i="23"/>
  <c r="Y13" i="23"/>
  <c r="U13" i="23"/>
  <c r="O13" i="23"/>
  <c r="M13" i="23"/>
  <c r="J13" i="23"/>
  <c r="N13" i="20"/>
  <c r="V13" i="20"/>
  <c r="K13" i="20"/>
  <c r="AB8" i="21"/>
  <c r="O8" i="21"/>
  <c r="Y8" i="21"/>
  <c r="H8" i="21"/>
  <c r="M8" i="21"/>
  <c r="J8" i="21"/>
  <c r="I8" i="21"/>
  <c r="V8" i="21"/>
  <c r="K8" i="21"/>
  <c r="T8" i="21"/>
  <c r="P8" i="21"/>
  <c r="V6" i="21"/>
  <c r="X6" i="21"/>
  <c r="S13" i="20"/>
  <c r="O13" i="20"/>
  <c r="X13" i="20"/>
  <c r="Q13" i="20"/>
  <c r="T13" i="20"/>
  <c r="I13" i="20"/>
  <c r="L13" i="20"/>
  <c r="U13" i="20"/>
  <c r="P13" i="20"/>
  <c r="M13" i="20"/>
  <c r="R13" i="19"/>
  <c r="H13" i="19"/>
  <c r="P13" i="19"/>
  <c r="M13" i="19"/>
  <c r="O10" i="20"/>
  <c r="T10" i="20"/>
  <c r="U10" i="20"/>
  <c r="Q10" i="20"/>
  <c r="M10" i="20"/>
  <c r="K10" i="20"/>
  <c r="S10" i="20"/>
  <c r="J10" i="20"/>
  <c r="I10" i="20"/>
  <c r="V10" i="20"/>
  <c r="R10" i="20"/>
  <c r="N10" i="20"/>
  <c r="N10" i="19"/>
  <c r="K10" i="19"/>
  <c r="J10" i="19"/>
  <c r="L10" i="19"/>
  <c r="W10" i="19"/>
  <c r="V10" i="19"/>
  <c r="O10" i="19"/>
  <c r="M10" i="19"/>
  <c r="I10" i="19"/>
  <c r="S10" i="19"/>
  <c r="T10" i="19"/>
  <c r="M15" i="23"/>
  <c r="I15" i="23"/>
  <c r="Z15" i="23"/>
  <c r="N15" i="23"/>
  <c r="Q15" i="23"/>
  <c r="Y15" i="23"/>
  <c r="R15" i="23"/>
  <c r="T15" i="23"/>
  <c r="H15" i="23"/>
  <c r="J15" i="23"/>
  <c r="Q15" i="20"/>
  <c r="N15" i="20"/>
  <c r="M15" i="20"/>
  <c r="J15" i="20"/>
  <c r="R15" i="20"/>
  <c r="T15" i="20"/>
  <c r="P15" i="20"/>
  <c r="I15" i="20"/>
  <c r="S15" i="20"/>
  <c r="S15" i="19"/>
  <c r="V15" i="19"/>
  <c r="O15" i="19"/>
  <c r="R15" i="19"/>
  <c r="U15" i="19"/>
  <c r="T15" i="19"/>
  <c r="N15" i="19"/>
  <c r="K15" i="19"/>
  <c r="P15" i="19"/>
  <c r="W15" i="19"/>
  <c r="Q15" i="19"/>
  <c r="I15" i="19"/>
  <c r="H15" i="19"/>
  <c r="R15" i="18"/>
  <c r="P15" i="18"/>
  <c r="K15" i="18"/>
  <c r="O15" i="18"/>
  <c r="S15" i="18"/>
  <c r="J15" i="18"/>
  <c r="M15" i="18"/>
  <c r="AB7" i="3"/>
  <c r="Z7" i="3"/>
  <c r="L7" i="3"/>
  <c r="X7" i="3"/>
  <c r="K7" i="3"/>
  <c r="O7" i="3"/>
  <c r="I7" i="3"/>
  <c r="H7" i="3"/>
  <c r="T7" i="3"/>
  <c r="J7" i="3"/>
  <c r="X32" i="3"/>
  <c r="U32" i="3"/>
  <c r="Y32" i="3"/>
  <c r="L32" i="3"/>
  <c r="Z32" i="3"/>
  <c r="Z26" i="3"/>
  <c r="Y25" i="3"/>
  <c r="J26" i="3"/>
  <c r="I34" i="23"/>
  <c r="I26" i="23"/>
  <c r="L18" i="23"/>
  <c r="I19" i="22"/>
  <c r="H45" i="22"/>
  <c r="I12" i="21"/>
  <c r="H45" i="19"/>
  <c r="L11" i="19"/>
  <c r="I34" i="22"/>
  <c r="L13" i="18"/>
  <c r="H45" i="18"/>
  <c r="H15" i="20"/>
  <c r="H21" i="23"/>
  <c r="L45" i="23"/>
  <c r="L16" i="22"/>
  <c r="I42" i="21"/>
  <c r="I45" i="20"/>
  <c r="I19" i="21"/>
  <c r="T30" i="21"/>
  <c r="H18" i="20"/>
  <c r="I42" i="23"/>
  <c r="H33" i="22"/>
  <c r="I13" i="18"/>
  <c r="H34" i="22"/>
  <c r="H16" i="22"/>
  <c r="L21" i="20"/>
  <c r="H45" i="20"/>
  <c r="L19" i="22"/>
  <c r="L8" i="22"/>
  <c r="I33" i="21"/>
  <c r="J34" i="21"/>
  <c r="U38" i="20"/>
  <c r="S35" i="18"/>
  <c r="M18" i="18"/>
  <c r="I45" i="22"/>
  <c r="L27" i="19"/>
  <c r="H27" i="19"/>
  <c r="H8" i="22"/>
  <c r="H13" i="18"/>
  <c r="P33" i="23"/>
  <c r="Q10" i="18"/>
  <c r="J44" i="21"/>
  <c r="L7" i="22"/>
  <c r="R6" i="18"/>
  <c r="Q6" i="18"/>
  <c r="M6" i="18"/>
  <c r="P6" i="18"/>
  <c r="L6" i="18"/>
  <c r="O6" i="18"/>
  <c r="K6" i="18"/>
  <c r="I6" i="18"/>
  <c r="H6" i="18"/>
  <c r="Q18" i="18"/>
  <c r="K18" i="18"/>
  <c r="L18" i="18"/>
  <c r="I18" i="18"/>
  <c r="H18" i="18"/>
  <c r="N18" i="18"/>
  <c r="J18" i="18"/>
  <c r="U7" i="23"/>
  <c r="Q7" i="23"/>
  <c r="P7" i="23"/>
  <c r="R7" i="23"/>
  <c r="N7" i="23"/>
  <c r="L7" i="23"/>
  <c r="X7" i="23"/>
  <c r="I7" i="23"/>
  <c r="H7" i="23"/>
  <c r="AA7" i="23"/>
  <c r="Z7" i="23"/>
  <c r="Y7" i="23"/>
  <c r="O7" i="23"/>
  <c r="T7" i="23"/>
  <c r="J7" i="23"/>
  <c r="K7" i="20"/>
  <c r="J44" i="22"/>
  <c r="I44" i="22"/>
  <c r="P44" i="22"/>
  <c r="M44" i="22"/>
  <c r="L44" i="22"/>
  <c r="R44" i="21"/>
  <c r="P44" i="21"/>
  <c r="Q44" i="21"/>
  <c r="T44" i="21"/>
  <c r="N44" i="21"/>
  <c r="Y44" i="21"/>
  <c r="S44" i="21"/>
  <c r="O44" i="21"/>
  <c r="T40" i="23"/>
  <c r="L38" i="23"/>
  <c r="K10" i="21"/>
  <c r="U10" i="21"/>
  <c r="Q10" i="21"/>
  <c r="P15" i="21"/>
  <c r="J14" i="19"/>
  <c r="T22" i="21"/>
  <c r="U32" i="19"/>
  <c r="N32" i="3"/>
  <c r="N23" i="19"/>
  <c r="T23" i="19"/>
  <c r="AB30" i="21"/>
  <c r="Q30" i="21"/>
  <c r="P30" i="21"/>
  <c r="Y30" i="21"/>
  <c r="X30" i="21"/>
  <c r="O30" i="21"/>
  <c r="J30" i="21"/>
  <c r="N30" i="21"/>
  <c r="Z25" i="3"/>
  <c r="X25" i="3"/>
  <c r="AB23" i="3"/>
  <c r="Z23" i="3"/>
  <c r="J23" i="3"/>
  <c r="N23" i="3"/>
  <c r="P23" i="3"/>
  <c r="R23" i="3"/>
  <c r="X23" i="3"/>
  <c r="Y23" i="3"/>
  <c r="K23" i="3"/>
  <c r="U23" i="3"/>
  <c r="Q23" i="3"/>
  <c r="O23" i="3"/>
  <c r="L23" i="3"/>
  <c r="R32" i="3"/>
  <c r="J32" i="3"/>
  <c r="P32" i="3"/>
  <c r="H32" i="3"/>
  <c r="O32" i="3"/>
  <c r="Q32" i="3"/>
  <c r="K32" i="3"/>
  <c r="H7" i="22"/>
  <c r="N7" i="22"/>
  <c r="M7" i="22"/>
  <c r="I7" i="22"/>
  <c r="Z32" i="23"/>
  <c r="N32" i="19"/>
  <c r="W32" i="19"/>
  <c r="O32" i="19"/>
  <c r="R27" i="3"/>
  <c r="J27" i="3"/>
  <c r="Z27" i="3"/>
  <c r="M27" i="3"/>
  <c r="L13" i="19"/>
  <c r="W13" i="19"/>
  <c r="K13" i="19"/>
  <c r="S13" i="19"/>
  <c r="V13" i="19"/>
  <c r="O13" i="19"/>
  <c r="Q13" i="19"/>
  <c r="N13" i="19"/>
  <c r="I13" i="19"/>
  <c r="J13" i="19"/>
  <c r="V14" i="19"/>
  <c r="O14" i="19"/>
  <c r="W14" i="19"/>
  <c r="S14" i="19"/>
  <c r="U14" i="19"/>
  <c r="T14" i="19"/>
  <c r="R14" i="19"/>
  <c r="Q14" i="19"/>
  <c r="K14" i="19"/>
  <c r="R10" i="18"/>
  <c r="T10" i="18"/>
  <c r="N38" i="23"/>
  <c r="H38" i="23"/>
  <c r="O15" i="21"/>
  <c r="U27" i="3"/>
  <c r="Y27" i="3"/>
  <c r="K27" i="3"/>
  <c r="O27" i="3"/>
  <c r="P27" i="3"/>
  <c r="AB27" i="3"/>
  <c r="N27" i="3"/>
  <c r="T27" i="3"/>
  <c r="Q27" i="3"/>
  <c r="L27" i="3"/>
  <c r="H27" i="3"/>
  <c r="X27" i="3"/>
  <c r="I27" i="3"/>
  <c r="H43" i="22"/>
  <c r="N40" i="22"/>
  <c r="I32" i="22"/>
  <c r="L31" i="22"/>
  <c r="I31" i="22"/>
  <c r="N31" i="22"/>
  <c r="J28" i="22"/>
  <c r="L28" i="22"/>
  <c r="I28" i="22"/>
  <c r="K28" i="22"/>
  <c r="N28" i="22"/>
  <c r="M28" i="22"/>
  <c r="H28" i="22"/>
  <c r="I23" i="22"/>
  <c r="H23" i="22"/>
  <c r="M23" i="22"/>
  <c r="K23" i="22"/>
  <c r="L23" i="22"/>
  <c r="N23" i="22"/>
  <c r="J23" i="22"/>
  <c r="H41" i="23"/>
  <c r="Q41" i="23"/>
  <c r="U41" i="23"/>
  <c r="I41" i="23"/>
  <c r="T41" i="23"/>
  <c r="J41" i="23"/>
  <c r="L41" i="23"/>
  <c r="P41" i="23"/>
  <c r="Z41" i="23"/>
  <c r="N41" i="23"/>
  <c r="O41" i="23"/>
  <c r="AA41" i="23"/>
  <c r="R41" i="23"/>
  <c r="H37" i="23"/>
  <c r="I37" i="23"/>
  <c r="Q37" i="23"/>
  <c r="R37" i="23"/>
  <c r="U37" i="23"/>
  <c r="H33" i="23"/>
  <c r="Q33" i="23"/>
  <c r="O33" i="23"/>
  <c r="M33" i="23"/>
  <c r="AB32" i="23"/>
  <c r="X32" i="23"/>
  <c r="AA32" i="23"/>
  <c r="Y32" i="23"/>
  <c r="Q29" i="23"/>
  <c r="X29" i="23"/>
  <c r="U29" i="23"/>
  <c r="K29" i="23"/>
  <c r="T29" i="23"/>
  <c r="R29" i="23"/>
  <c r="L29" i="23"/>
  <c r="O29" i="23"/>
  <c r="J29" i="23"/>
  <c r="P29" i="23"/>
  <c r="N29" i="23"/>
  <c r="H29" i="23"/>
  <c r="Y29" i="23"/>
  <c r="T28" i="23"/>
  <c r="AA28" i="23"/>
  <c r="R28" i="23"/>
  <c r="L28" i="23"/>
  <c r="H28" i="23"/>
  <c r="J28" i="23"/>
  <c r="K28" i="23"/>
  <c r="Z28" i="23"/>
  <c r="I28" i="23"/>
  <c r="Q28" i="23"/>
  <c r="O28" i="23"/>
  <c r="P28" i="23"/>
  <c r="N28" i="23"/>
  <c r="Y28" i="23"/>
  <c r="J25" i="23"/>
  <c r="Q25" i="23"/>
  <c r="AA25" i="23"/>
  <c r="Y25" i="23"/>
  <c r="I25" i="23"/>
  <c r="Z25" i="23"/>
  <c r="M25" i="23"/>
  <c r="U25" i="23"/>
  <c r="I43" i="20"/>
  <c r="M43" i="20"/>
  <c r="U43" i="20"/>
  <c r="L43" i="20"/>
  <c r="N43" i="20"/>
  <c r="Q43" i="20"/>
  <c r="J43" i="20"/>
  <c r="P43" i="20"/>
  <c r="T43" i="20"/>
  <c r="K43" i="20"/>
  <c r="Q42" i="20"/>
  <c r="O39" i="20"/>
  <c r="Q39" i="20"/>
  <c r="N39" i="20"/>
  <c r="P34" i="20"/>
  <c r="N34" i="20"/>
  <c r="K34" i="20"/>
  <c r="M34" i="20"/>
  <c r="T34" i="20"/>
  <c r="U34" i="20"/>
  <c r="S34" i="20"/>
  <c r="L34" i="20"/>
  <c r="I34" i="20"/>
  <c r="V34" i="20"/>
  <c r="J34" i="20"/>
  <c r="H34" i="20"/>
  <c r="R34" i="20"/>
  <c r="O34" i="20"/>
  <c r="I31" i="20"/>
  <c r="M31" i="20"/>
  <c r="P31" i="20"/>
  <c r="J30" i="20"/>
  <c r="N30" i="20"/>
  <c r="S30" i="20"/>
  <c r="Q30" i="20"/>
  <c r="O30" i="20"/>
  <c r="L30" i="20"/>
  <c r="H30" i="20"/>
  <c r="I30" i="20"/>
  <c r="K30" i="20"/>
  <c r="P30" i="20"/>
  <c r="U30" i="20"/>
  <c r="R30" i="20"/>
  <c r="X30" i="20"/>
  <c r="T30" i="20"/>
  <c r="Q26" i="20"/>
  <c r="X26" i="20"/>
  <c r="N26" i="20"/>
  <c r="V23" i="20"/>
  <c r="L41" i="19"/>
  <c r="Q41" i="19"/>
  <c r="T41" i="19"/>
  <c r="R40" i="19"/>
  <c r="N40" i="19"/>
  <c r="T40" i="19"/>
  <c r="O37" i="19"/>
  <c r="L37" i="19"/>
  <c r="U33" i="19"/>
  <c r="T33" i="19"/>
  <c r="K33" i="19"/>
  <c r="Q33" i="19"/>
  <c r="H33" i="19"/>
  <c r="J33" i="19"/>
  <c r="M33" i="19"/>
  <c r="R33" i="19"/>
  <c r="V32" i="19"/>
  <c r="I32" i="19"/>
  <c r="Q32" i="19"/>
  <c r="H32" i="19"/>
  <c r="M32" i="19"/>
  <c r="R32" i="19"/>
  <c r="L32" i="19"/>
  <c r="J32" i="19"/>
  <c r="P32" i="19"/>
  <c r="K32" i="19"/>
  <c r="T32" i="19"/>
  <c r="P29" i="19"/>
  <c r="O29" i="19"/>
  <c r="M29" i="19"/>
  <c r="Q29" i="19"/>
  <c r="I29" i="19"/>
  <c r="R29" i="19"/>
  <c r="L29" i="19"/>
  <c r="U29" i="19"/>
  <c r="V29" i="19"/>
  <c r="H29" i="19"/>
  <c r="T29" i="19"/>
  <c r="N29" i="19"/>
  <c r="J29" i="19"/>
  <c r="Q28" i="19"/>
  <c r="W28" i="19"/>
  <c r="J28" i="19"/>
  <c r="M28" i="19"/>
  <c r="T28" i="19"/>
  <c r="K28" i="19"/>
  <c r="N28" i="19"/>
  <c r="R28" i="19"/>
  <c r="S28" i="19"/>
  <c r="V28" i="19"/>
  <c r="H28" i="19"/>
  <c r="U28" i="19"/>
  <c r="I28" i="19"/>
  <c r="P28" i="19"/>
  <c r="O28" i="19"/>
  <c r="M25" i="19"/>
  <c r="Q25" i="19"/>
  <c r="S25" i="19"/>
  <c r="T25" i="19"/>
  <c r="U25" i="19"/>
  <c r="V25" i="19"/>
  <c r="I24" i="19"/>
  <c r="N24" i="19"/>
  <c r="Q24" i="19"/>
  <c r="M24" i="19"/>
  <c r="O24" i="19"/>
  <c r="I43" i="18"/>
  <c r="K43" i="18"/>
  <c r="J43" i="18"/>
  <c r="N43" i="18"/>
  <c r="O43" i="18"/>
  <c r="P43" i="18"/>
  <c r="M43" i="18"/>
  <c r="S43" i="18"/>
  <c r="S51" i="18" s="1"/>
  <c r="Q43" i="18"/>
  <c r="Q42" i="18"/>
  <c r="L34" i="18"/>
  <c r="M34" i="18"/>
  <c r="R34" i="18"/>
  <c r="H34" i="18"/>
  <c r="O34" i="18"/>
  <c r="Q34" i="18"/>
  <c r="I34" i="18"/>
  <c r="J34" i="18"/>
  <c r="P34" i="18"/>
  <c r="P31" i="18"/>
  <c r="N27" i="18"/>
  <c r="H27" i="18"/>
  <c r="R27" i="18"/>
  <c r="Q26" i="18"/>
  <c r="L26" i="18"/>
  <c r="H26" i="18"/>
  <c r="I26" i="18"/>
  <c r="N26" i="18"/>
  <c r="T26" i="18"/>
  <c r="J26" i="18"/>
  <c r="K26" i="18"/>
  <c r="I23" i="18"/>
  <c r="M23" i="18"/>
  <c r="J23" i="18"/>
  <c r="P23" i="18"/>
  <c r="T23" i="18"/>
  <c r="R23" i="18"/>
  <c r="N23" i="18"/>
  <c r="K23" i="18"/>
  <c r="Q23" i="18"/>
  <c r="L22" i="18"/>
  <c r="I22" i="18"/>
  <c r="T40" i="21"/>
  <c r="N40" i="21"/>
  <c r="K39" i="21"/>
  <c r="X39" i="21"/>
  <c r="T39" i="21"/>
  <c r="N39" i="21"/>
  <c r="Y39" i="21"/>
  <c r="O32" i="21"/>
  <c r="J32" i="21"/>
  <c r="P32" i="21"/>
  <c r="Q32" i="21"/>
  <c r="T32" i="21"/>
  <c r="K32" i="21"/>
  <c r="R32" i="21"/>
  <c r="I32" i="21"/>
  <c r="L32" i="21"/>
  <c r="M32" i="21"/>
  <c r="H32" i="21"/>
  <c r="Y32" i="21"/>
  <c r="X32" i="21"/>
  <c r="U32" i="21"/>
  <c r="N32" i="21"/>
  <c r="M28" i="21"/>
  <c r="T28" i="21"/>
  <c r="X28" i="21"/>
  <c r="O28" i="21"/>
  <c r="I28" i="21"/>
  <c r="J28" i="21"/>
  <c r="L28" i="21"/>
  <c r="N28" i="21"/>
  <c r="K28" i="21"/>
  <c r="V28" i="21"/>
  <c r="Q28" i="21"/>
  <c r="R28" i="21"/>
  <c r="H28" i="21"/>
  <c r="Y28" i="21"/>
  <c r="J27" i="21"/>
  <c r="V27" i="21"/>
  <c r="L27" i="21"/>
  <c r="M27" i="21"/>
  <c r="O27" i="21"/>
  <c r="K27" i="21"/>
  <c r="Y27" i="21"/>
  <c r="S27" i="21"/>
  <c r="AB27" i="21"/>
  <c r="T27" i="21"/>
  <c r="H27" i="21"/>
  <c r="I27" i="21"/>
  <c r="Q27" i="21"/>
  <c r="R24" i="21"/>
  <c r="Y24" i="21"/>
  <c r="T24" i="21"/>
  <c r="V24" i="21"/>
  <c r="H24" i="21"/>
  <c r="N24" i="21"/>
  <c r="X24" i="21"/>
  <c r="O24" i="21"/>
  <c r="N42" i="3"/>
  <c r="L42" i="3"/>
  <c r="Q42" i="3"/>
  <c r="R42" i="3"/>
  <c r="K42" i="3"/>
  <c r="X42" i="3"/>
  <c r="AB42" i="3"/>
  <c r="H42" i="3"/>
  <c r="O42" i="3"/>
  <c r="J42" i="3"/>
  <c r="Z42" i="3"/>
  <c r="I42" i="3"/>
  <c r="P42" i="3"/>
  <c r="T42" i="3"/>
  <c r="M42" i="3"/>
  <c r="Y42" i="3"/>
  <c r="Y41" i="3"/>
  <c r="N41" i="3"/>
  <c r="Z41" i="3"/>
  <c r="O41" i="3"/>
  <c r="L41" i="3"/>
  <c r="P41" i="3"/>
  <c r="K41" i="3"/>
  <c r="Q41" i="3"/>
  <c r="J41" i="3"/>
  <c r="AB41" i="3"/>
  <c r="M41" i="3"/>
  <c r="H41" i="3"/>
  <c r="X41" i="3"/>
  <c r="Q38" i="3"/>
  <c r="U38" i="3"/>
  <c r="T38" i="3"/>
  <c r="X38" i="3"/>
  <c r="I38" i="3"/>
  <c r="L38" i="3"/>
  <c r="K38" i="3"/>
  <c r="M38" i="3"/>
  <c r="O38" i="3"/>
  <c r="Y38" i="3"/>
  <c r="J38" i="3"/>
  <c r="R38" i="3"/>
  <c r="AB38" i="3"/>
  <c r="K37" i="3"/>
  <c r="M37" i="3"/>
  <c r="AB37" i="3"/>
  <c r="I37" i="3"/>
  <c r="U37" i="3"/>
  <c r="L37" i="3"/>
  <c r="T37" i="3"/>
  <c r="Z37" i="3"/>
  <c r="P37" i="3"/>
  <c r="Q37" i="3"/>
  <c r="H37" i="3"/>
  <c r="X37" i="3"/>
  <c r="R37" i="3"/>
  <c r="J37" i="3"/>
  <c r="T34" i="3"/>
  <c r="AB34" i="3"/>
  <c r="I34" i="3"/>
  <c r="Y34" i="3"/>
  <c r="H34" i="3"/>
  <c r="K34" i="3"/>
  <c r="X34" i="3"/>
  <c r="M34" i="3"/>
  <c r="U34" i="3"/>
  <c r="P34" i="3"/>
  <c r="N34" i="3"/>
  <c r="J34" i="3"/>
  <c r="O34" i="3"/>
  <c r="Q34" i="3"/>
  <c r="Z34" i="3"/>
  <c r="H33" i="3"/>
  <c r="U33" i="3"/>
  <c r="I33" i="3"/>
  <c r="Q33" i="3"/>
  <c r="O33" i="3"/>
  <c r="R33" i="3"/>
  <c r="Z33" i="3"/>
  <c r="AB33" i="3"/>
  <c r="L33" i="3"/>
  <c r="Y33" i="3"/>
  <c r="N33" i="3"/>
  <c r="T33" i="3"/>
  <c r="J33" i="3"/>
  <c r="K33" i="3"/>
  <c r="P33" i="3"/>
  <c r="X33" i="3"/>
  <c r="M33" i="3"/>
  <c r="H30" i="3"/>
  <c r="P30" i="3"/>
  <c r="X30" i="3"/>
  <c r="R30" i="3"/>
  <c r="U30" i="3"/>
  <c r="J30" i="3"/>
  <c r="Y30" i="3"/>
  <c r="Z30" i="3"/>
  <c r="L30" i="3"/>
  <c r="M30" i="3"/>
  <c r="O30" i="3"/>
  <c r="I30" i="3"/>
  <c r="T30" i="3"/>
  <c r="K30" i="3"/>
  <c r="N30" i="3"/>
  <c r="I29" i="3"/>
  <c r="K29" i="3"/>
  <c r="U29" i="3"/>
  <c r="H29" i="3"/>
  <c r="M29" i="3"/>
  <c r="L29" i="3"/>
  <c r="X29" i="3"/>
  <c r="Q29" i="3"/>
  <c r="P29" i="3"/>
  <c r="O29" i="3"/>
  <c r="R29" i="3"/>
  <c r="N29" i="3"/>
  <c r="Z29" i="3"/>
  <c r="AB29" i="3"/>
  <c r="P26" i="3"/>
  <c r="Q26" i="3"/>
  <c r="L26" i="3"/>
  <c r="M26" i="3"/>
  <c r="R26" i="3"/>
  <c r="AB26" i="3"/>
  <c r="N26" i="3"/>
  <c r="U26" i="3"/>
  <c r="X26" i="3"/>
  <c r="I26" i="3"/>
  <c r="T26" i="3"/>
  <c r="H26" i="3"/>
  <c r="K26" i="3"/>
  <c r="O26" i="3"/>
  <c r="Y26" i="3"/>
  <c r="I25" i="3"/>
  <c r="P25" i="3"/>
  <c r="M25" i="3"/>
  <c r="O25" i="3"/>
  <c r="U25" i="3"/>
  <c r="Q25" i="3"/>
  <c r="J25" i="3"/>
  <c r="R25" i="3"/>
  <c r="N25" i="3"/>
  <c r="K25" i="3"/>
  <c r="AB25" i="3"/>
  <c r="L25" i="3"/>
  <c r="T25" i="3"/>
  <c r="X22" i="3"/>
  <c r="Y22" i="3"/>
  <c r="L22" i="3"/>
  <c r="J22" i="3"/>
  <c r="Q22" i="3"/>
  <c r="R22" i="3"/>
  <c r="K22" i="3"/>
  <c r="H22" i="3"/>
  <c r="AB22" i="3"/>
  <c r="N22" i="3"/>
  <c r="T22" i="3"/>
  <c r="U22" i="3"/>
  <c r="O22" i="3"/>
  <c r="Z22" i="3"/>
  <c r="H43" i="20"/>
  <c r="M26" i="18"/>
  <c r="K26" i="22"/>
  <c r="P41" i="20"/>
  <c r="H31" i="3"/>
  <c r="S15" i="21"/>
  <c r="H24" i="18"/>
  <c r="L26" i="22"/>
  <c r="J26" i="22"/>
  <c r="I26" i="22"/>
  <c r="N26" i="22"/>
  <c r="M26" i="22"/>
  <c r="S27" i="18"/>
  <c r="P27" i="18"/>
  <c r="M27" i="18"/>
  <c r="L27" i="18"/>
  <c r="Q27" i="18"/>
  <c r="J27" i="18"/>
  <c r="I27" i="18"/>
  <c r="K22" i="20"/>
  <c r="Q22" i="20"/>
  <c r="S22" i="20"/>
  <c r="M14" i="21"/>
  <c r="X14" i="21"/>
  <c r="T13" i="21"/>
  <c r="H13" i="21"/>
  <c r="K13" i="21"/>
  <c r="R13" i="21"/>
  <c r="O13" i="21"/>
  <c r="L13" i="21"/>
  <c r="Y13" i="21"/>
  <c r="N13" i="21"/>
  <c r="X13" i="21"/>
  <c r="M13" i="21"/>
  <c r="I13" i="21"/>
  <c r="J13" i="21"/>
  <c r="Q13" i="21"/>
  <c r="P13" i="21"/>
  <c r="T30" i="23"/>
  <c r="C2" i="25"/>
  <c r="T67" i="10"/>
  <c r="J20" i="19"/>
  <c r="AA54" i="22"/>
  <c r="H26" i="22"/>
  <c r="J20" i="20"/>
  <c r="AV54" i="22"/>
  <c r="J9" i="18"/>
  <c r="P9" i="18"/>
  <c r="K9" i="18"/>
  <c r="Q9" i="18"/>
  <c r="H9" i="18"/>
  <c r="L9" i="18"/>
  <c r="S9" i="18"/>
  <c r="M9" i="18"/>
  <c r="N9" i="18"/>
  <c r="I9" i="18"/>
  <c r="S7" i="20"/>
  <c r="J7" i="20"/>
  <c r="R7" i="20"/>
  <c r="T7" i="20"/>
  <c r="Q7" i="20"/>
  <c r="I7" i="20"/>
  <c r="O7" i="20"/>
  <c r="U7" i="20"/>
  <c r="X7" i="20"/>
  <c r="N7" i="20"/>
  <c r="M7" i="20"/>
  <c r="H7" i="20"/>
  <c r="L7" i="20"/>
  <c r="V7" i="20"/>
  <c r="P7" i="20"/>
  <c r="L10" i="18"/>
  <c r="N10" i="18"/>
  <c r="J10" i="18"/>
  <c r="P10" i="18"/>
  <c r="H10" i="18"/>
  <c r="I10" i="18"/>
  <c r="M10" i="18"/>
  <c r="K10" i="18"/>
  <c r="V36" i="19"/>
  <c r="H25" i="3"/>
  <c r="I14" i="20"/>
  <c r="M13" i="22"/>
  <c r="I14" i="19"/>
  <c r="R33" i="20"/>
  <c r="U33" i="20"/>
  <c r="M33" i="20"/>
  <c r="K31" i="3"/>
  <c r="M31" i="3"/>
  <c r="P31" i="3"/>
  <c r="K29" i="20"/>
  <c r="H29" i="20"/>
  <c r="N29" i="20"/>
  <c r="I29" i="20"/>
  <c r="R29" i="20"/>
  <c r="Q29" i="20"/>
  <c r="H17" i="19"/>
  <c r="J17" i="19"/>
  <c r="I17" i="19"/>
  <c r="N20" i="20"/>
  <c r="S20" i="20"/>
  <c r="L20" i="20"/>
  <c r="I20" i="20"/>
  <c r="V20" i="20"/>
  <c r="U20" i="20"/>
  <c r="O20" i="20"/>
  <c r="X20" i="20"/>
  <c r="Q20" i="20"/>
  <c r="T20" i="20"/>
  <c r="M20" i="20"/>
  <c r="K20" i="20"/>
  <c r="R20" i="19"/>
  <c r="P20" i="19"/>
  <c r="M20" i="19"/>
  <c r="L20" i="19"/>
  <c r="I20" i="19"/>
  <c r="W20" i="19"/>
  <c r="H20" i="19"/>
  <c r="S20" i="19"/>
  <c r="U20" i="19"/>
  <c r="Q20" i="19"/>
  <c r="N20" i="19"/>
  <c r="K20" i="19"/>
  <c r="V20" i="19"/>
  <c r="O20" i="19"/>
  <c r="T20" i="19"/>
  <c r="H13" i="22"/>
  <c r="P13" i="22"/>
  <c r="L13" i="22"/>
  <c r="J13" i="22"/>
  <c r="L14" i="19"/>
  <c r="H30" i="23"/>
  <c r="J30" i="23"/>
  <c r="U30" i="23"/>
  <c r="N30" i="23"/>
  <c r="X30" i="23"/>
  <c r="M30" i="23"/>
  <c r="L30" i="23"/>
  <c r="AA30" i="23"/>
  <c r="Y30" i="23"/>
  <c r="I30" i="23"/>
  <c r="O30" i="23"/>
  <c r="R30" i="23"/>
  <c r="P30" i="23"/>
  <c r="Q30" i="23"/>
  <c r="Z30" i="23"/>
  <c r="Q27" i="23"/>
  <c r="U27" i="23"/>
  <c r="R27" i="23"/>
  <c r="N27" i="23"/>
  <c r="J27" i="23"/>
  <c r="Y27" i="23"/>
  <c r="P27" i="23"/>
  <c r="M27" i="23"/>
  <c r="T27" i="23"/>
  <c r="H27" i="23"/>
  <c r="Z27" i="23"/>
  <c r="AB27" i="23"/>
  <c r="O27" i="23"/>
  <c r="L27" i="23"/>
  <c r="AA27" i="23"/>
  <c r="J24" i="22"/>
  <c r="P23" i="19"/>
  <c r="Q23" i="19"/>
  <c r="W23" i="19"/>
  <c r="S23" i="19"/>
  <c r="M23" i="19"/>
  <c r="V23" i="19"/>
  <c r="L23" i="19"/>
  <c r="O23" i="19"/>
  <c r="R23" i="19"/>
  <c r="U23" i="19"/>
  <c r="J33" i="18"/>
  <c r="N33" i="18"/>
  <c r="O33" i="18"/>
  <c r="I33" i="18"/>
  <c r="P33" i="18"/>
  <c r="M33" i="18"/>
  <c r="Q33" i="18"/>
  <c r="K33" i="18"/>
  <c r="H33" i="18"/>
  <c r="L33" i="18"/>
  <c r="AA9" i="23"/>
  <c r="I42" i="20"/>
  <c r="J33" i="20"/>
  <c r="H26" i="20"/>
  <c r="H20" i="20"/>
  <c r="M41" i="22"/>
  <c r="J15" i="22"/>
  <c r="L31" i="20"/>
  <c r="I41" i="19"/>
  <c r="J18" i="19"/>
  <c r="L15" i="21"/>
  <c r="I6" i="21"/>
  <c r="L17" i="20"/>
  <c r="H31" i="18"/>
  <c r="H26" i="21"/>
  <c r="L24" i="22"/>
  <c r="I24" i="22"/>
  <c r="N24" i="22"/>
  <c r="M24" i="22"/>
  <c r="H24" i="22"/>
  <c r="L24" i="23"/>
  <c r="L22" i="22"/>
  <c r="P22" i="21"/>
  <c r="N12" i="23"/>
  <c r="H12" i="23"/>
  <c r="Y12" i="23"/>
  <c r="P12" i="23"/>
  <c r="H44" i="21"/>
  <c r="K44" i="21"/>
  <c r="P44" i="23"/>
  <c r="R44" i="23"/>
  <c r="L31" i="21"/>
  <c r="Q31" i="21"/>
  <c r="X31" i="21"/>
  <c r="R36" i="18"/>
  <c r="V9" i="19"/>
  <c r="H9" i="23"/>
  <c r="P9" i="23"/>
  <c r="O9" i="23"/>
  <c r="L9" i="23"/>
  <c r="T9" i="23"/>
  <c r="M9" i="23"/>
  <c r="J9" i="23"/>
  <c r="U9" i="23"/>
  <c r="X9" i="23"/>
  <c r="Q9" i="23"/>
  <c r="I9" i="23"/>
  <c r="Z9" i="23"/>
  <c r="R9" i="23"/>
  <c r="Y9" i="23"/>
  <c r="N9" i="23"/>
  <c r="R14" i="18"/>
  <c r="Q14" i="18"/>
  <c r="S14" i="18"/>
  <c r="X14" i="20"/>
  <c r="V14" i="20"/>
  <c r="U14" i="20"/>
  <c r="J14" i="20"/>
  <c r="H14" i="20"/>
  <c r="T14" i="20"/>
  <c r="N14" i="20"/>
  <c r="H9" i="20"/>
  <c r="N6" i="21"/>
  <c r="M6" i="21"/>
  <c r="L6" i="21"/>
  <c r="H6" i="21"/>
  <c r="Y6" i="21"/>
  <c r="R6" i="21"/>
  <c r="O6" i="21"/>
  <c r="S6" i="21"/>
  <c r="J6" i="21"/>
  <c r="P6" i="21"/>
  <c r="U6" i="21"/>
  <c r="T6" i="21"/>
  <c r="K6" i="21"/>
  <c r="Q6" i="21"/>
  <c r="P6" i="20"/>
  <c r="L6" i="19"/>
  <c r="O11" i="20"/>
  <c r="S11" i="20"/>
  <c r="J11" i="20"/>
  <c r="K11" i="20"/>
  <c r="H11" i="20"/>
  <c r="P11" i="20"/>
  <c r="L11" i="20"/>
  <c r="Q11" i="20"/>
  <c r="T11" i="20"/>
  <c r="I11" i="20"/>
  <c r="U11" i="20"/>
  <c r="J12" i="19"/>
  <c r="V12" i="19"/>
  <c r="Q12" i="19"/>
  <c r="N12" i="19"/>
  <c r="H12" i="19"/>
  <c r="O12" i="19"/>
  <c r="U12" i="19"/>
  <c r="K12" i="19"/>
  <c r="I12" i="19"/>
  <c r="L12" i="19"/>
  <c r="W12" i="19"/>
  <c r="R12" i="19"/>
  <c r="P12" i="19"/>
  <c r="T12" i="19"/>
  <c r="M12" i="19"/>
  <c r="H6" i="22"/>
  <c r="M6" i="22"/>
  <c r="N6" i="22"/>
  <c r="O43" i="21"/>
  <c r="M43" i="21"/>
  <c r="J41" i="22"/>
  <c r="I41" i="22"/>
  <c r="H41" i="22"/>
  <c r="H17" i="18"/>
  <c r="L15" i="18"/>
  <c r="I40" i="22"/>
  <c r="J40" i="22"/>
  <c r="M40" i="22"/>
  <c r="J39" i="22"/>
  <c r="H39" i="22"/>
  <c r="M39" i="22"/>
  <c r="N39" i="22"/>
  <c r="L38" i="22"/>
  <c r="J38" i="22"/>
  <c r="K38" i="22"/>
  <c r="N38" i="22"/>
  <c r="I37" i="22"/>
  <c r="K37" i="22"/>
  <c r="N37" i="22"/>
  <c r="L37" i="22"/>
  <c r="J37" i="22"/>
  <c r="H35" i="22"/>
  <c r="K40" i="23"/>
  <c r="AA40" i="23"/>
  <c r="AA39" i="23"/>
  <c r="H39" i="23"/>
  <c r="I39" i="23"/>
  <c r="I38" i="23"/>
  <c r="J38" i="23"/>
  <c r="M38" i="23"/>
  <c r="T38" i="23"/>
  <c r="P38" i="23"/>
  <c r="R38" i="23"/>
  <c r="X38" i="23"/>
  <c r="Q38" i="23"/>
  <c r="O38" i="23"/>
  <c r="L37" i="23"/>
  <c r="P37" i="23"/>
  <c r="N37" i="23"/>
  <c r="X37" i="23"/>
  <c r="Y37" i="23"/>
  <c r="AA37" i="23"/>
  <c r="J37" i="23"/>
  <c r="O37" i="23"/>
  <c r="S37" i="23"/>
  <c r="Z37" i="23"/>
  <c r="M37" i="23"/>
  <c r="T37" i="23"/>
  <c r="I35" i="23"/>
  <c r="AB35" i="23"/>
  <c r="Y35" i="23"/>
  <c r="AA35" i="23"/>
  <c r="H35" i="23"/>
  <c r="P35" i="23"/>
  <c r="T35" i="23"/>
  <c r="X35" i="23"/>
  <c r="O35" i="23"/>
  <c r="L35" i="23"/>
  <c r="K35" i="23"/>
  <c r="M35" i="23"/>
  <c r="Q35" i="23"/>
  <c r="Z35" i="23"/>
  <c r="I40" i="20"/>
  <c r="K40" i="20"/>
  <c r="L40" i="20"/>
  <c r="U40" i="20"/>
  <c r="V40" i="20"/>
  <c r="H40" i="20"/>
  <c r="J40" i="20"/>
  <c r="M40" i="20"/>
  <c r="P40" i="20"/>
  <c r="Q40" i="20"/>
  <c r="R40" i="20"/>
  <c r="O40" i="20"/>
  <c r="P39" i="20"/>
  <c r="R39" i="20"/>
  <c r="U39" i="20"/>
  <c r="S39" i="20"/>
  <c r="I39" i="20"/>
  <c r="K39" i="20"/>
  <c r="H39" i="20"/>
  <c r="L39" i="20"/>
  <c r="M39" i="20"/>
  <c r="T39" i="20"/>
  <c r="P38" i="20"/>
  <c r="N38" i="20"/>
  <c r="I37" i="20"/>
  <c r="M37" i="20"/>
  <c r="N37" i="20"/>
  <c r="T37" i="20"/>
  <c r="R37" i="20"/>
  <c r="V37" i="20"/>
  <c r="S37" i="20"/>
  <c r="H37" i="20"/>
  <c r="L37" i="20"/>
  <c r="P37" i="20"/>
  <c r="Q37" i="20"/>
  <c r="J37" i="20"/>
  <c r="K37" i="20"/>
  <c r="U37" i="20"/>
  <c r="L36" i="20"/>
  <c r="O36" i="20"/>
  <c r="X36" i="20"/>
  <c r="S36" i="20"/>
  <c r="H35" i="20"/>
  <c r="K35" i="20"/>
  <c r="U35" i="20"/>
  <c r="U40" i="19"/>
  <c r="I40" i="19"/>
  <c r="J40" i="19"/>
  <c r="O40" i="19"/>
  <c r="V40" i="19"/>
  <c r="W40" i="19"/>
  <c r="M40" i="19"/>
  <c r="P40" i="19"/>
  <c r="K40" i="19"/>
  <c r="Q40" i="19"/>
  <c r="I39" i="19"/>
  <c r="P39" i="19"/>
  <c r="W39" i="19"/>
  <c r="I38" i="19"/>
  <c r="J38" i="19"/>
  <c r="K38" i="19"/>
  <c r="U38" i="19"/>
  <c r="R38" i="19"/>
  <c r="V38" i="19"/>
  <c r="W38" i="19"/>
  <c r="Q38" i="19"/>
  <c r="T38" i="19"/>
  <c r="H38" i="19"/>
  <c r="N38" i="19"/>
  <c r="S38" i="19"/>
  <c r="H37" i="19"/>
  <c r="T37" i="19"/>
  <c r="V37" i="19"/>
  <c r="J37" i="19"/>
  <c r="M37" i="19"/>
  <c r="K37" i="19"/>
  <c r="N37" i="19"/>
  <c r="U37" i="19"/>
  <c r="S37" i="19"/>
  <c r="I37" i="19"/>
  <c r="P37" i="19"/>
  <c r="Q37" i="19"/>
  <c r="R37" i="19"/>
  <c r="W37" i="19"/>
  <c r="Q36" i="19"/>
  <c r="U36" i="19"/>
  <c r="P36" i="19"/>
  <c r="J35" i="19"/>
  <c r="L40" i="18"/>
  <c r="M40" i="18"/>
  <c r="J40" i="18"/>
  <c r="K40" i="18"/>
  <c r="R40" i="18"/>
  <c r="S40" i="18"/>
  <c r="H40" i="18"/>
  <c r="N40" i="18"/>
  <c r="Q40" i="18"/>
  <c r="P39" i="18"/>
  <c r="S39" i="18"/>
  <c r="K39" i="18"/>
  <c r="Q39" i="18"/>
  <c r="R39" i="18"/>
  <c r="J38" i="18"/>
  <c r="N37" i="18"/>
  <c r="H37" i="18"/>
  <c r="T37" i="18"/>
  <c r="R37" i="18"/>
  <c r="S37" i="18"/>
  <c r="I37" i="18"/>
  <c r="L37" i="18"/>
  <c r="N35" i="18"/>
  <c r="I40" i="21"/>
  <c r="M40" i="21"/>
  <c r="P40" i="21"/>
  <c r="X40" i="21"/>
  <c r="O40" i="21"/>
  <c r="H40" i="21"/>
  <c r="K40" i="21"/>
  <c r="Q40" i="21"/>
  <c r="L40" i="21"/>
  <c r="Y40" i="21"/>
  <c r="R40" i="21"/>
  <c r="S40" i="21"/>
  <c r="I39" i="21"/>
  <c r="M39" i="21"/>
  <c r="Q39" i="21"/>
  <c r="O39" i="21"/>
  <c r="L39" i="21"/>
  <c r="U39" i="21"/>
  <c r="V39" i="21"/>
  <c r="R39" i="21"/>
  <c r="P39" i="21"/>
  <c r="J39" i="21"/>
  <c r="J38" i="21"/>
  <c r="M38" i="21"/>
  <c r="P38" i="21"/>
  <c r="N38" i="21"/>
  <c r="Q38" i="21"/>
  <c r="O38" i="21"/>
  <c r="T38" i="21"/>
  <c r="X38" i="21"/>
  <c r="Y38" i="21"/>
  <c r="S38" i="21"/>
  <c r="J37" i="21"/>
  <c r="T37" i="21"/>
  <c r="N37" i="21"/>
  <c r="O37" i="21"/>
  <c r="M37" i="21"/>
  <c r="P37" i="21"/>
  <c r="K37" i="21"/>
  <c r="H37" i="21"/>
  <c r="V37" i="21"/>
  <c r="Y37" i="21"/>
  <c r="X37" i="21"/>
  <c r="H38" i="22"/>
  <c r="I36" i="23"/>
  <c r="U36" i="23"/>
  <c r="L35" i="20"/>
  <c r="I40" i="18"/>
  <c r="H38" i="18"/>
  <c r="J40" i="21"/>
  <c r="L38" i="21"/>
  <c r="X40" i="23"/>
  <c r="R39" i="23"/>
  <c r="N39" i="19"/>
  <c r="I14" i="23"/>
  <c r="I10" i="23"/>
  <c r="H6" i="20"/>
  <c r="S31" i="20"/>
  <c r="U31" i="20"/>
  <c r="O31" i="20"/>
  <c r="T31" i="20"/>
  <c r="N31" i="20"/>
  <c r="J31" i="20"/>
  <c r="H31" i="20"/>
  <c r="V31" i="20"/>
  <c r="R31" i="20"/>
  <c r="Q31" i="20"/>
  <c r="J22" i="22"/>
  <c r="AB22" i="21"/>
  <c r="K22" i="21"/>
  <c r="I22" i="21"/>
  <c r="J22" i="21"/>
  <c r="L22" i="21"/>
  <c r="Y22" i="21"/>
  <c r="Q22" i="21"/>
  <c r="M22" i="21"/>
  <c r="H22" i="21"/>
  <c r="R22" i="21"/>
  <c r="V22" i="21"/>
  <c r="N22" i="21"/>
  <c r="X22" i="21"/>
  <c r="O22" i="21"/>
  <c r="V29" i="21"/>
  <c r="M9" i="19"/>
  <c r="S9" i="19"/>
  <c r="P9" i="19"/>
  <c r="O9" i="19"/>
  <c r="Q9" i="19"/>
  <c r="J9" i="19"/>
  <c r="K9" i="19"/>
  <c r="I9" i="19"/>
  <c r="W9" i="19"/>
  <c r="R9" i="19"/>
  <c r="U9" i="19"/>
  <c r="T9" i="19"/>
  <c r="N9" i="19"/>
  <c r="AA36" i="23"/>
  <c r="H36" i="23"/>
  <c r="J36" i="23"/>
  <c r="Z36" i="23"/>
  <c r="R36" i="23"/>
  <c r="X36" i="23"/>
  <c r="M36" i="23"/>
  <c r="U41" i="20"/>
  <c r="J41" i="20"/>
  <c r="H41" i="20"/>
  <c r="V41" i="20"/>
  <c r="S41" i="20"/>
  <c r="N41" i="20"/>
  <c r="M41" i="20"/>
  <c r="Q41" i="20"/>
  <c r="L41" i="20"/>
  <c r="T41" i="20"/>
  <c r="K41" i="20"/>
  <c r="I41" i="20"/>
  <c r="H44" i="23"/>
  <c r="H44" i="20"/>
  <c r="P44" i="19"/>
  <c r="R44" i="19"/>
  <c r="U44" i="19"/>
  <c r="Q44" i="19"/>
  <c r="T44" i="19"/>
  <c r="S44" i="19"/>
  <c r="N44" i="19"/>
  <c r="M44" i="19"/>
  <c r="J44" i="19"/>
  <c r="W44" i="19"/>
  <c r="I44" i="19"/>
  <c r="H44" i="19"/>
  <c r="L44" i="19"/>
  <c r="V44" i="19"/>
  <c r="Q40" i="23"/>
  <c r="Y40" i="23"/>
  <c r="P40" i="23"/>
  <c r="AB40" i="23"/>
  <c r="N40" i="23"/>
  <c r="J40" i="23"/>
  <c r="I40" i="23"/>
  <c r="H40" i="23"/>
  <c r="Z40" i="23"/>
  <c r="O40" i="23"/>
  <c r="R40" i="23"/>
  <c r="L40" i="23"/>
  <c r="U40" i="23"/>
  <c r="M40" i="23"/>
  <c r="Z39" i="23"/>
  <c r="L39" i="23"/>
  <c r="O39" i="23"/>
  <c r="N39" i="23"/>
  <c r="P39" i="23"/>
  <c r="M39" i="23"/>
  <c r="Y39" i="23"/>
  <c r="U39" i="23"/>
  <c r="X39" i="23"/>
  <c r="Q39" i="23"/>
  <c r="J39" i="23"/>
  <c r="H39" i="21"/>
  <c r="T39" i="19"/>
  <c r="K39" i="19"/>
  <c r="M39" i="19"/>
  <c r="U39" i="19"/>
  <c r="J39" i="19"/>
  <c r="S39" i="19"/>
  <c r="V39" i="19"/>
  <c r="R39" i="19"/>
  <c r="Q39" i="19"/>
  <c r="L39" i="19"/>
  <c r="O39" i="19"/>
  <c r="O14" i="18"/>
  <c r="J14" i="18"/>
  <c r="I14" i="18"/>
  <c r="H14" i="18"/>
  <c r="N14" i="18"/>
  <c r="L14" i="18"/>
  <c r="P14" i="18"/>
  <c r="K14" i="18"/>
  <c r="M14" i="18"/>
  <c r="O14" i="23"/>
  <c r="J14" i="23"/>
  <c r="X14" i="23"/>
  <c r="R14" i="23"/>
  <c r="H14" i="23"/>
  <c r="T14" i="23"/>
  <c r="AA14" i="23"/>
  <c r="Y14" i="23"/>
  <c r="Q14" i="23"/>
  <c r="P14" i="23"/>
  <c r="L14" i="23"/>
  <c r="K14" i="23"/>
  <c r="P18" i="21"/>
  <c r="J18" i="21"/>
  <c r="X18" i="21"/>
  <c r="M18" i="21"/>
  <c r="L18" i="21"/>
  <c r="AB18" i="21"/>
  <c r="N18" i="21"/>
  <c r="I18" i="21"/>
  <c r="K18" i="21"/>
  <c r="R18" i="21"/>
  <c r="Y18" i="21"/>
  <c r="O18" i="21"/>
  <c r="I17" i="23"/>
  <c r="H17" i="23"/>
  <c r="J17" i="23"/>
  <c r="R6" i="20"/>
  <c r="L6" i="20"/>
  <c r="L36" i="22"/>
  <c r="I36" i="19"/>
  <c r="T36" i="21"/>
  <c r="L40" i="19"/>
  <c r="H39" i="19"/>
  <c r="L14" i="20"/>
  <c r="H9" i="19"/>
  <c r="M24" i="21"/>
  <c r="H22" i="22"/>
  <c r="T31" i="18"/>
  <c r="N31" i="18"/>
  <c r="L31" i="18"/>
  <c r="Q31" i="18"/>
  <c r="L24" i="18"/>
  <c r="J36" i="18"/>
  <c r="I44" i="21"/>
  <c r="L9" i="19"/>
  <c r="I36" i="20"/>
  <c r="H36" i="18"/>
  <c r="M36" i="18"/>
  <c r="M35" i="22"/>
  <c r="I35" i="20"/>
  <c r="H35" i="19"/>
  <c r="H35" i="18"/>
  <c r="V18" i="19"/>
  <c r="H18" i="19"/>
  <c r="U18" i="19"/>
  <c r="T18" i="19"/>
  <c r="K18" i="19"/>
  <c r="S18" i="19"/>
  <c r="P18" i="19"/>
  <c r="M18" i="19"/>
  <c r="H44" i="22"/>
  <c r="H44" i="18"/>
  <c r="K44" i="18"/>
  <c r="J44" i="18"/>
  <c r="I44" i="18"/>
  <c r="H40" i="22"/>
  <c r="I39" i="22"/>
  <c r="I38" i="22"/>
  <c r="W41" i="19"/>
  <c r="O41" i="19"/>
  <c r="K41" i="19"/>
  <c r="P41" i="19"/>
  <c r="M41" i="19"/>
  <c r="S41" i="19"/>
  <c r="V41" i="19"/>
  <c r="H41" i="19"/>
  <c r="J41" i="19"/>
  <c r="R41" i="19"/>
  <c r="U41" i="19"/>
  <c r="N41" i="19"/>
  <c r="H42" i="22"/>
  <c r="L39" i="22"/>
  <c r="H38" i="21"/>
  <c r="H40" i="19"/>
  <c r="L40" i="22"/>
  <c r="S36" i="19"/>
  <c r="V35" i="19"/>
  <c r="S35" i="20"/>
  <c r="O36" i="19"/>
  <c r="R36" i="19"/>
  <c r="U36" i="20"/>
  <c r="O35" i="20"/>
  <c r="R36" i="20"/>
  <c r="R35" i="20"/>
  <c r="U35" i="19"/>
  <c r="Q35" i="20"/>
  <c r="N36" i="19"/>
  <c r="Q36" i="18"/>
  <c r="Q35" i="18"/>
  <c r="K35" i="19"/>
  <c r="P35" i="18"/>
  <c r="Y35" i="21"/>
  <c r="N35" i="22"/>
  <c r="O36" i="18"/>
  <c r="M36" i="20"/>
  <c r="L36" i="18"/>
  <c r="K35" i="18"/>
  <c r="J35" i="18"/>
  <c r="I35" i="22"/>
  <c r="L35" i="18"/>
  <c r="I35" i="18"/>
  <c r="M35" i="18"/>
  <c r="V36" i="20"/>
  <c r="S36" i="18"/>
  <c r="R35" i="18"/>
  <c r="R35" i="19"/>
  <c r="T36" i="19"/>
  <c r="T35" i="19"/>
  <c r="N35" i="19"/>
  <c r="T35" i="20"/>
  <c r="N35" i="20"/>
  <c r="N36" i="20"/>
  <c r="K36" i="19"/>
  <c r="P35" i="19"/>
  <c r="P35" i="20"/>
  <c r="P36" i="20"/>
  <c r="P36" i="18"/>
  <c r="M36" i="19"/>
  <c r="J36" i="19"/>
  <c r="J36" i="22"/>
  <c r="K36" i="20"/>
  <c r="H36" i="19"/>
  <c r="J35" i="20"/>
  <c r="J36" i="20"/>
  <c r="I35" i="19"/>
  <c r="L35" i="19"/>
  <c r="L35" i="22"/>
  <c r="W36" i="19"/>
  <c r="S35" i="19"/>
  <c r="V35" i="20"/>
  <c r="O35" i="19"/>
  <c r="Q36" i="20"/>
  <c r="Q35" i="19"/>
  <c r="T36" i="20"/>
  <c r="P35" i="22"/>
  <c r="N36" i="22"/>
  <c r="M35" i="20"/>
  <c r="L36" i="19"/>
  <c r="H36" i="22"/>
  <c r="J35" i="22"/>
  <c r="K36" i="18"/>
  <c r="N36" i="18"/>
  <c r="I36" i="18"/>
  <c r="H36" i="20"/>
  <c r="I36" i="22"/>
  <c r="H16" i="23"/>
  <c r="I22" i="23"/>
  <c r="L14" i="22"/>
  <c r="R15" i="21"/>
  <c r="N15" i="21"/>
  <c r="Q15" i="21"/>
  <c r="T15" i="21"/>
  <c r="M15" i="21"/>
  <c r="I15" i="21"/>
  <c r="H15" i="21"/>
  <c r="J15" i="21"/>
  <c r="X15" i="21"/>
  <c r="Y15" i="21"/>
  <c r="K15" i="21"/>
  <c r="L15" i="22"/>
  <c r="H15" i="22"/>
  <c r="H15" i="18"/>
  <c r="I13" i="23"/>
  <c r="J6" i="20"/>
  <c r="L29" i="22"/>
  <c r="H29" i="22"/>
  <c r="J29" i="22"/>
  <c r="N29" i="22"/>
  <c r="H31" i="21"/>
  <c r="I25" i="20"/>
  <c r="H30" i="21"/>
  <c r="N26" i="21"/>
  <c r="P26" i="21"/>
  <c r="X26" i="21"/>
  <c r="O26" i="21"/>
  <c r="K26" i="21"/>
  <c r="M26" i="21"/>
  <c r="L26" i="21"/>
  <c r="I30" i="21"/>
  <c r="P24" i="21"/>
  <c r="K24" i="21"/>
  <c r="Q24" i="21"/>
  <c r="S33" i="20"/>
  <c r="T33" i="20"/>
  <c r="I33" i="20"/>
  <c r="L33" i="20"/>
  <c r="V33" i="20"/>
  <c r="O33" i="20"/>
  <c r="P33" i="20"/>
  <c r="H33" i="20"/>
  <c r="Q33" i="20"/>
  <c r="N33" i="20"/>
  <c r="K33" i="20"/>
  <c r="V30" i="19"/>
  <c r="O30" i="19"/>
  <c r="I30" i="19"/>
  <c r="S26" i="20"/>
  <c r="L26" i="20"/>
  <c r="U26" i="20"/>
  <c r="O26" i="20"/>
  <c r="P26" i="20"/>
  <c r="K26" i="20"/>
  <c r="V26" i="20"/>
  <c r="R26" i="20"/>
  <c r="T26" i="20"/>
  <c r="M26" i="20"/>
  <c r="J26" i="20"/>
  <c r="I26" i="20"/>
  <c r="Q30" i="19"/>
  <c r="S30" i="19"/>
  <c r="T30" i="19"/>
  <c r="N30" i="19"/>
  <c r="P30" i="19"/>
  <c r="H30" i="19"/>
  <c r="U30" i="19"/>
  <c r="K30" i="19"/>
  <c r="M30" i="19"/>
  <c r="J30" i="19"/>
  <c r="R30" i="19"/>
  <c r="M22" i="22"/>
  <c r="I22" i="22"/>
  <c r="O32" i="23"/>
  <c r="Q32" i="23"/>
  <c r="T32" i="23"/>
  <c r="K32" i="23"/>
  <c r="J32" i="23"/>
  <c r="M31" i="18"/>
  <c r="K31" i="18"/>
  <c r="J31" i="18"/>
  <c r="R31" i="18"/>
  <c r="O31" i="18"/>
  <c r="S31" i="18"/>
  <c r="I31" i="18"/>
  <c r="I30" i="22"/>
  <c r="I24" i="23"/>
  <c r="I23" i="23"/>
  <c r="I33" i="23"/>
  <c r="AA24" i="23"/>
  <c r="AB24" i="23"/>
  <c r="N24" i="23"/>
  <c r="P24" i="23"/>
  <c r="J24" i="23"/>
  <c r="H24" i="23"/>
  <c r="Z24" i="23"/>
  <c r="U24" i="23"/>
  <c r="O24" i="23"/>
  <c r="R24" i="23"/>
  <c r="Y24" i="23"/>
  <c r="X24" i="23"/>
  <c r="Q24" i="23"/>
  <c r="T24" i="23"/>
  <c r="M24" i="23"/>
  <c r="I27" i="22"/>
  <c r="J30" i="22"/>
  <c r="N30" i="22"/>
  <c r="L30" i="22"/>
  <c r="H32" i="23"/>
  <c r="U32" i="23"/>
  <c r="L32" i="23"/>
  <c r="R32" i="23"/>
  <c r="N32" i="23"/>
  <c r="P32" i="23"/>
  <c r="M32" i="23"/>
  <c r="I32" i="23"/>
  <c r="H32" i="22"/>
  <c r="M31" i="23"/>
  <c r="AA31" i="23"/>
  <c r="Z31" i="23"/>
  <c r="AB31" i="23"/>
  <c r="N31" i="23"/>
  <c r="T31" i="23"/>
  <c r="P31" i="23"/>
  <c r="I31" i="23"/>
  <c r="O31" i="23"/>
  <c r="Q31" i="23"/>
  <c r="J31" i="23"/>
  <c r="H31" i="23"/>
  <c r="M30" i="22"/>
  <c r="H30" i="22"/>
  <c r="N32" i="22"/>
  <c r="K32" i="22"/>
  <c r="J32" i="22"/>
  <c r="M32" i="22"/>
  <c r="L32" i="22"/>
  <c r="R31" i="21"/>
  <c r="T31" i="21"/>
  <c r="O31" i="21"/>
  <c r="K31" i="21"/>
  <c r="M31" i="21"/>
  <c r="J31" i="21"/>
  <c r="Y31" i="21"/>
  <c r="N31" i="21"/>
  <c r="P31" i="21"/>
  <c r="I31" i="21"/>
  <c r="H24" i="20"/>
  <c r="V24" i="20"/>
  <c r="U24" i="20"/>
  <c r="O24" i="20"/>
  <c r="Q24" i="20"/>
  <c r="K24" i="20"/>
  <c r="J24" i="20"/>
  <c r="S24" i="20"/>
  <c r="R24" i="20"/>
  <c r="P24" i="20"/>
  <c r="X24" i="20"/>
  <c r="L24" i="20"/>
  <c r="J25" i="21"/>
  <c r="Z23" i="23"/>
  <c r="AB23" i="23"/>
  <c r="H23" i="23"/>
  <c r="Y23" i="23"/>
  <c r="X23" i="23"/>
  <c r="R23" i="23"/>
  <c r="L23" i="23"/>
  <c r="AA23" i="23"/>
  <c r="U23" i="23"/>
  <c r="O23" i="23"/>
  <c r="N23" i="23"/>
  <c r="Q23" i="23"/>
  <c r="T23" i="23"/>
  <c r="P23" i="23"/>
  <c r="M23" i="23"/>
  <c r="J23" i="23"/>
  <c r="N23" i="21"/>
  <c r="S27" i="20"/>
  <c r="L23" i="20"/>
  <c r="Q23" i="20"/>
  <c r="J31" i="19"/>
  <c r="N31" i="19"/>
  <c r="K31" i="19"/>
  <c r="M31" i="19"/>
  <c r="U31" i="19"/>
  <c r="V31" i="19"/>
  <c r="O31" i="19"/>
  <c r="R31" i="19"/>
  <c r="Q31" i="19"/>
  <c r="P31" i="19"/>
  <c r="I23" i="19"/>
  <c r="H24" i="19"/>
  <c r="V24" i="19"/>
  <c r="U24" i="19"/>
  <c r="T24" i="19"/>
  <c r="L24" i="19"/>
  <c r="W24" i="19"/>
  <c r="K24" i="19"/>
  <c r="J24" i="19"/>
  <c r="S24" i="19"/>
  <c r="R24" i="19"/>
  <c r="P24" i="19"/>
  <c r="I33" i="19"/>
  <c r="V33" i="19"/>
  <c r="N33" i="19"/>
  <c r="P33" i="19"/>
  <c r="N29" i="21"/>
  <c r="Q29" i="21"/>
  <c r="S29" i="21"/>
  <c r="K23" i="19"/>
  <c r="H23" i="19"/>
  <c r="J23" i="19"/>
  <c r="R32" i="18"/>
  <c r="Q32" i="18"/>
  <c r="J32" i="18"/>
  <c r="H32" i="18"/>
  <c r="M32" i="18"/>
  <c r="S32" i="18"/>
  <c r="L32" i="18"/>
  <c r="P32" i="18"/>
  <c r="N30" i="18"/>
  <c r="M30" i="18"/>
  <c r="J30" i="18"/>
  <c r="P24" i="18"/>
  <c r="K24" i="18"/>
  <c r="M24" i="18"/>
  <c r="S24" i="18"/>
  <c r="Q24" i="18"/>
  <c r="I24" i="18"/>
  <c r="R24" i="18"/>
  <c r="T24" i="18"/>
  <c r="N24" i="18"/>
  <c r="AA22" i="23"/>
  <c r="R22" i="23"/>
  <c r="N22" i="23"/>
  <c r="P22" i="23"/>
  <c r="M22" i="23"/>
  <c r="L22" i="23"/>
  <c r="Z22" i="23"/>
  <c r="S22" i="23"/>
  <c r="O22" i="23"/>
  <c r="T22" i="23"/>
  <c r="H22" i="23"/>
  <c r="Y22" i="23"/>
  <c r="X22" i="23"/>
  <c r="Q22" i="23"/>
  <c r="J22" i="23"/>
  <c r="H22" i="18"/>
  <c r="T22" i="18"/>
  <c r="M22" i="18"/>
  <c r="Q22" i="18"/>
  <c r="P22" i="18"/>
  <c r="K22" i="18"/>
  <c r="O22" i="18"/>
  <c r="N22" i="18"/>
  <c r="J22" i="18"/>
  <c r="S22" i="18"/>
  <c r="R22" i="18"/>
  <c r="I8" i="2"/>
  <c r="AH9" i="2" s="1"/>
  <c r="M7" i="2"/>
  <c r="M8" i="2" s="1"/>
  <c r="AI9" i="2" s="1"/>
  <c r="E8" i="2"/>
  <c r="Z10" i="23"/>
  <c r="AB10" i="23"/>
  <c r="U10" i="23"/>
  <c r="O10" i="23"/>
  <c r="Q10" i="23"/>
  <c r="T10" i="23"/>
  <c r="L10" i="23"/>
  <c r="X10" i="23"/>
  <c r="R10" i="23"/>
  <c r="H10" i="23"/>
  <c r="AA10" i="23"/>
  <c r="Y10" i="23"/>
  <c r="N10" i="23"/>
  <c r="P10" i="23"/>
  <c r="J10" i="23"/>
  <c r="Y10" i="21"/>
  <c r="X10" i="21"/>
  <c r="T10" i="21"/>
  <c r="P10" i="21"/>
  <c r="M10" i="21"/>
  <c r="R10" i="21"/>
  <c r="N10" i="21"/>
  <c r="J10" i="21"/>
  <c r="O10" i="21"/>
  <c r="I10" i="21"/>
  <c r="L36" i="23"/>
  <c r="J36" i="21"/>
  <c r="O44" i="23"/>
  <c r="Q44" i="23"/>
  <c r="Z44" i="23"/>
  <c r="M44" i="23"/>
  <c r="M46" i="23" s="1"/>
  <c r="K44" i="23"/>
  <c r="O36" i="23"/>
  <c r="T36" i="23"/>
  <c r="P36" i="23"/>
  <c r="Y36" i="23"/>
  <c r="N36" i="23"/>
  <c r="Q36" i="23"/>
  <c r="H17" i="22"/>
  <c r="S44" i="20"/>
  <c r="N44" i="20"/>
  <c r="L44" i="20"/>
  <c r="U44" i="20"/>
  <c r="Q44" i="20"/>
  <c r="I44" i="20"/>
  <c r="M44" i="20"/>
  <c r="K44" i="20"/>
  <c r="J44" i="20"/>
  <c r="I41" i="21"/>
  <c r="H41" i="21"/>
  <c r="J43" i="21"/>
  <c r="S38" i="18"/>
  <c r="R38" i="18"/>
  <c r="Q38" i="18"/>
  <c r="T38" i="18"/>
  <c r="P38" i="18"/>
  <c r="K38" i="18"/>
  <c r="N38" i="18"/>
  <c r="L38" i="18"/>
  <c r="I38" i="18"/>
  <c r="M38" i="18"/>
  <c r="N44" i="23"/>
  <c r="U44" i="23"/>
  <c r="X44" i="23"/>
  <c r="L44" i="23"/>
  <c r="AA44" i="23"/>
  <c r="Y44" i="23"/>
  <c r="T44" i="23"/>
  <c r="J44" i="23"/>
  <c r="I44" i="23"/>
  <c r="M35" i="21"/>
  <c r="V6" i="20"/>
  <c r="O6" i="20"/>
  <c r="T6" i="20"/>
  <c r="K6" i="20"/>
  <c r="I6" i="20"/>
  <c r="S6" i="20"/>
  <c r="Q6" i="20"/>
  <c r="N6" i="20"/>
  <c r="U6" i="20"/>
  <c r="M6" i="20"/>
  <c r="I6" i="22"/>
  <c r="J6" i="22"/>
  <c r="L6" i="22"/>
  <c r="K6" i="22"/>
  <c r="H13" i="23"/>
  <c r="I14" i="22"/>
  <c r="R25" i="21"/>
  <c r="Q25" i="21"/>
  <c r="V25" i="21"/>
  <c r="L25" i="21"/>
  <c r="H25" i="21"/>
  <c r="S25" i="21"/>
  <c r="Y25" i="21"/>
  <c r="U25" i="21"/>
  <c r="X25" i="21"/>
  <c r="N25" i="21"/>
  <c r="P25" i="21"/>
  <c r="N25" i="23"/>
  <c r="H25" i="23"/>
  <c r="L25" i="23"/>
  <c r="AB25" i="23"/>
  <c r="T25" i="23"/>
  <c r="Z33" i="23"/>
  <c r="R33" i="23"/>
  <c r="J33" i="23"/>
  <c r="AA33" i="23"/>
  <c r="T33" i="23"/>
  <c r="L33" i="23"/>
  <c r="Y33" i="23"/>
  <c r="AB33" i="23"/>
  <c r="U33" i="23"/>
  <c r="X33" i="23"/>
  <c r="N33" i="23"/>
  <c r="P27" i="21"/>
  <c r="R27" i="21"/>
  <c r="N27" i="21"/>
  <c r="X27" i="21"/>
  <c r="K23" i="21"/>
  <c r="P23" i="21"/>
  <c r="Y23" i="21"/>
  <c r="X23" i="21"/>
  <c r="L23" i="21"/>
  <c r="R23" i="21"/>
  <c r="M23" i="21"/>
  <c r="AB23" i="21"/>
  <c r="O23" i="21"/>
  <c r="T23" i="21"/>
  <c r="Q23" i="21"/>
  <c r="U23" i="20"/>
  <c r="T23" i="20"/>
  <c r="J23" i="20"/>
  <c r="S23" i="20"/>
  <c r="O23" i="20"/>
  <c r="R23" i="20"/>
  <c r="K23" i="20"/>
  <c r="I23" i="20"/>
  <c r="H23" i="20"/>
  <c r="N23" i="20"/>
  <c r="P23" i="20"/>
  <c r="M23" i="20"/>
  <c r="S25" i="20"/>
  <c r="U25" i="20"/>
  <c r="R25" i="20"/>
  <c r="K25" i="20"/>
  <c r="Q25" i="20"/>
  <c r="P25" i="20"/>
  <c r="J25" i="20"/>
  <c r="H25" i="20"/>
  <c r="V25" i="20"/>
  <c r="O25" i="20"/>
  <c r="T25" i="20"/>
  <c r="N25" i="20"/>
  <c r="J22" i="20"/>
  <c r="U27" i="20"/>
  <c r="H25" i="19"/>
  <c r="O25" i="19"/>
  <c r="R25" i="19"/>
  <c r="L25" i="19"/>
  <c r="J25" i="19"/>
  <c r="I25" i="19"/>
  <c r="N25" i="19"/>
  <c r="P25" i="19"/>
  <c r="S30" i="18"/>
  <c r="R30" i="18"/>
  <c r="Q30" i="18"/>
  <c r="T30" i="18"/>
  <c r="L30" i="18"/>
  <c r="K30" i="18"/>
  <c r="H30" i="18"/>
  <c r="I30" i="18"/>
  <c r="P30" i="18"/>
  <c r="X29" i="21"/>
  <c r="H29" i="21"/>
  <c r="P29" i="21"/>
  <c r="M29" i="21"/>
  <c r="L29" i="21"/>
  <c r="I29" i="21"/>
  <c r="R29" i="21"/>
  <c r="T29" i="21"/>
  <c r="J29" i="21"/>
  <c r="Y29" i="21"/>
  <c r="O29" i="21"/>
  <c r="AB29" i="21"/>
  <c r="L23" i="18"/>
  <c r="H23" i="18"/>
  <c r="CE2" i="19"/>
  <c r="CE2" i="3"/>
  <c r="CE2" i="23"/>
  <c r="CE2" i="21"/>
  <c r="CE2" i="18"/>
  <c r="CE2" i="20"/>
  <c r="CE2" i="22"/>
  <c r="H10" i="22"/>
  <c r="M44" i="21"/>
  <c r="L44" i="21"/>
  <c r="H14" i="21"/>
  <c r="K10" i="22"/>
  <c r="N10" i="22"/>
  <c r="I10" i="22"/>
  <c r="L10" i="22"/>
  <c r="P10" i="22"/>
  <c r="H14" i="22"/>
  <c r="K14" i="22"/>
  <c r="P14" i="22"/>
  <c r="M14" i="22"/>
  <c r="J14" i="22"/>
  <c r="N14" i="22"/>
  <c r="R14" i="21"/>
  <c r="Q14" i="21"/>
  <c r="Y14" i="21"/>
  <c r="AB14" i="21"/>
  <c r="N14" i="21"/>
  <c r="J14" i="21"/>
  <c r="T14" i="21"/>
  <c r="K14" i="21"/>
  <c r="O14" i="21"/>
  <c r="L14" i="21"/>
  <c r="P27" i="22"/>
  <c r="J27" i="22"/>
  <c r="H27" i="22"/>
  <c r="M27" i="22"/>
  <c r="L27" i="22"/>
  <c r="N27" i="22"/>
  <c r="K43" i="21"/>
  <c r="Y43" i="21"/>
  <c r="I43" i="21"/>
  <c r="Q43" i="21"/>
  <c r="T43" i="21"/>
  <c r="P43" i="21"/>
  <c r="N43" i="21"/>
  <c r="X43" i="21"/>
  <c r="H43" i="21"/>
  <c r="L43" i="21"/>
  <c r="R43" i="21"/>
  <c r="I43" i="19"/>
  <c r="P16" i="23"/>
  <c r="I16" i="23"/>
  <c r="M16" i="23"/>
  <c r="K16" i="23"/>
  <c r="J16" i="23"/>
  <c r="L16" i="23"/>
  <c r="L17" i="22"/>
  <c r="M17" i="18"/>
  <c r="L17" i="18"/>
  <c r="I39" i="18"/>
  <c r="N39" i="18"/>
  <c r="J39" i="18"/>
  <c r="L39" i="18"/>
  <c r="M39" i="18"/>
  <c r="H39" i="18"/>
  <c r="S38" i="20"/>
  <c r="V38" i="20"/>
  <c r="Q38" i="20"/>
  <c r="H38" i="20"/>
  <c r="T38" i="20"/>
  <c r="J38" i="20"/>
  <c r="X38" i="20"/>
  <c r="R38" i="20"/>
  <c r="M38" i="20"/>
  <c r="L38" i="20"/>
  <c r="K38" i="20"/>
  <c r="O38" i="20"/>
  <c r="I38" i="20"/>
  <c r="P43" i="22"/>
  <c r="L43" i="22"/>
  <c r="N43" i="22"/>
  <c r="M43" i="22"/>
  <c r="I43" i="22"/>
  <c r="J43" i="22"/>
  <c r="P42" i="22"/>
  <c r="N42" i="22"/>
  <c r="I42" i="22"/>
  <c r="J42" i="22"/>
  <c r="M42" i="22"/>
  <c r="L42" i="22"/>
  <c r="U42" i="20"/>
  <c r="M42" i="20"/>
  <c r="J42" i="20"/>
  <c r="X42" i="20"/>
  <c r="P42" i="20"/>
  <c r="L42" i="20"/>
  <c r="V42" i="20"/>
  <c r="O42" i="20"/>
  <c r="K42" i="20"/>
  <c r="R42" i="20"/>
  <c r="S42" i="20"/>
  <c r="N42" i="20"/>
  <c r="T42" i="20"/>
  <c r="H42" i="20"/>
  <c r="S42" i="18"/>
  <c r="K42" i="18"/>
  <c r="N42" i="18"/>
  <c r="H42" i="18"/>
  <c r="I42" i="18"/>
  <c r="J42" i="18"/>
  <c r="L42" i="18"/>
  <c r="M42" i="18"/>
  <c r="R42" i="18"/>
  <c r="P42" i="18"/>
  <c r="K36" i="21"/>
  <c r="Q36" i="21"/>
  <c r="S36" i="21"/>
  <c r="O36" i="21"/>
  <c r="M36" i="21"/>
  <c r="L36" i="21"/>
  <c r="H36" i="21"/>
  <c r="X36" i="21"/>
  <c r="N36" i="21"/>
  <c r="I36" i="21"/>
  <c r="Y36" i="21"/>
  <c r="V36" i="21"/>
  <c r="P36" i="21"/>
  <c r="R36" i="21"/>
  <c r="K35" i="21"/>
  <c r="AB35" i="21"/>
  <c r="Q35" i="21"/>
  <c r="T35" i="21"/>
  <c r="N35" i="21"/>
  <c r="U35" i="21"/>
  <c r="X35" i="21"/>
  <c r="I35" i="21"/>
  <c r="P35" i="21"/>
  <c r="L35" i="21"/>
  <c r="O35" i="21"/>
  <c r="J35" i="21"/>
  <c r="H35" i="21"/>
  <c r="R35" i="21"/>
  <c r="N27" i="20"/>
  <c r="J27" i="20"/>
  <c r="V27" i="20"/>
  <c r="O27" i="20"/>
  <c r="Q27" i="20"/>
  <c r="T27" i="20"/>
  <c r="P27" i="20"/>
  <c r="M27" i="20"/>
  <c r="K27" i="20"/>
  <c r="H27" i="20"/>
  <c r="R27" i="20"/>
  <c r="I27" i="20"/>
  <c r="L27" i="20"/>
  <c r="O12" i="23"/>
  <c r="AA12" i="23"/>
  <c r="Q12" i="23"/>
  <c r="T12" i="23"/>
  <c r="J12" i="23"/>
  <c r="L12" i="23"/>
  <c r="Z12" i="23"/>
  <c r="R12" i="23"/>
  <c r="M12" i="23"/>
  <c r="I12" i="23"/>
  <c r="AB12" i="23"/>
  <c r="U12" i="23"/>
  <c r="X12" i="23"/>
  <c r="M15" i="22"/>
  <c r="I15" i="22"/>
  <c r="J31" i="22"/>
  <c r="M31" i="22"/>
  <c r="H31" i="22"/>
  <c r="H23" i="21"/>
  <c r="I23" i="21"/>
  <c r="J23" i="21"/>
  <c r="H25" i="18"/>
  <c r="S25" i="18"/>
  <c r="Q25" i="18"/>
  <c r="M25" i="18"/>
  <c r="I25" i="18"/>
  <c r="J25" i="18"/>
  <c r="L25" i="18"/>
  <c r="R25" i="18"/>
  <c r="T25" i="18"/>
  <c r="K25" i="18"/>
  <c r="N25" i="18"/>
  <c r="U22" i="20"/>
  <c r="O22" i="20"/>
  <c r="R22" i="20"/>
  <c r="T22" i="20"/>
  <c r="M22" i="20"/>
  <c r="I22" i="20"/>
  <c r="H22" i="20"/>
  <c r="L22" i="20"/>
  <c r="V22" i="20"/>
  <c r="N22" i="20"/>
  <c r="P22" i="20"/>
  <c r="AN59" i="2"/>
  <c r="AG77" i="2" s="1"/>
  <c r="AN77" i="2" s="1"/>
  <c r="L22" i="19"/>
  <c r="S22" i="19"/>
  <c r="P22" i="19"/>
  <c r="V22" i="19"/>
  <c r="O22" i="19"/>
  <c r="U22" i="19"/>
  <c r="T22" i="19"/>
  <c r="H22" i="19"/>
  <c r="W22" i="19"/>
  <c r="R22" i="19"/>
  <c r="Q22" i="19"/>
  <c r="K22" i="19"/>
  <c r="M22" i="19"/>
  <c r="D60" i="2"/>
  <c r="C78" i="2"/>
  <c r="D77" i="2"/>
  <c r="AJ22" i="2"/>
  <c r="AI17" i="2"/>
  <c r="AM27" i="2"/>
  <c r="AH13" i="2"/>
  <c r="AM33" i="2"/>
  <c r="AG42" i="2"/>
  <c r="AM35" i="2"/>
  <c r="AK13" i="2"/>
  <c r="AG22" i="2"/>
  <c r="AH29" i="2"/>
  <c r="AH34" i="2"/>
  <c r="AI46" i="2"/>
  <c r="AI27" i="2"/>
  <c r="AK24" i="2"/>
  <c r="AL35" i="2"/>
  <c r="AM31" i="2"/>
  <c r="AG26" i="2"/>
  <c r="AM41" i="2"/>
  <c r="AH25" i="2"/>
  <c r="AG39" i="2"/>
  <c r="AM32" i="2"/>
  <c r="AL15" i="2"/>
  <c r="AL49" i="2"/>
  <c r="AH45" i="2"/>
  <c r="AK42" i="2"/>
  <c r="AL31" i="2"/>
  <c r="AH23" i="2"/>
  <c r="AH40" i="2"/>
  <c r="AH41" i="2"/>
  <c r="AI34" i="2"/>
  <c r="AM44" i="2"/>
  <c r="AI29" i="2"/>
  <c r="AG48" i="2"/>
  <c r="AI25" i="2"/>
  <c r="AK17" i="2"/>
  <c r="AI24" i="2"/>
  <c r="AH35" i="2"/>
  <c r="AH28" i="2"/>
  <c r="AL24" i="2"/>
  <c r="AL13" i="2"/>
  <c r="AK29" i="2"/>
  <c r="AI28" i="2"/>
  <c r="AJ16" i="2"/>
  <c r="AK22" i="2"/>
  <c r="AI38" i="2"/>
  <c r="AI44" i="2"/>
  <c r="AM48" i="2"/>
  <c r="AG46" i="2"/>
  <c r="AH36" i="2"/>
  <c r="AM12" i="2"/>
  <c r="AI20" i="2"/>
  <c r="AJ33" i="2"/>
  <c r="AM40" i="2"/>
  <c r="AL39" i="2"/>
  <c r="AI37" i="2"/>
  <c r="AJ10" i="2"/>
  <c r="AK40" i="2"/>
  <c r="AM38" i="2"/>
  <c r="AK36" i="2"/>
  <c r="AK32" i="2"/>
  <c r="AK38" i="2"/>
  <c r="AL19" i="2"/>
  <c r="AG19" i="2"/>
  <c r="AG35" i="2"/>
  <c r="AI42" i="2"/>
  <c r="AH49" i="2"/>
  <c r="AM22" i="2"/>
  <c r="AH12" i="2"/>
  <c r="AJ17" i="2"/>
  <c r="AM28" i="2"/>
  <c r="AM37" i="2"/>
  <c r="AM13" i="2"/>
  <c r="AH27" i="2"/>
  <c r="AG11" i="2"/>
  <c r="AL48" i="2"/>
  <c r="AK21" i="2"/>
  <c r="AL36" i="2"/>
  <c r="AL30" i="2"/>
  <c r="AJ35" i="2"/>
  <c r="AH46" i="2"/>
  <c r="AJ15" i="2"/>
  <c r="AG43" i="2"/>
  <c r="AI33" i="2"/>
  <c r="AM49" i="2"/>
  <c r="AH48" i="2"/>
  <c r="AJ23" i="2"/>
  <c r="AM23" i="2"/>
  <c r="AK27" i="2"/>
  <c r="AK49" i="2"/>
  <c r="AJ20" i="2"/>
  <c r="AI11" i="2"/>
  <c r="AJ24" i="2"/>
  <c r="AM24" i="2"/>
  <c r="AK44" i="2"/>
  <c r="AI31" i="2"/>
  <c r="AI32" i="2"/>
  <c r="AI12" i="2"/>
  <c r="AG12" i="2"/>
  <c r="AL16" i="2"/>
  <c r="AJ37" i="2"/>
  <c r="AI19" i="2"/>
  <c r="AI40" i="2"/>
  <c r="AJ42" i="2"/>
  <c r="AM42" i="2"/>
  <c r="AK14" i="2"/>
  <c r="AH39" i="2"/>
  <c r="AJ26" i="2"/>
  <c r="AK34" i="2"/>
  <c r="AM46" i="2"/>
  <c r="AM20" i="2"/>
  <c r="AJ18" i="2"/>
  <c r="AJ40" i="2"/>
  <c r="AJ45" i="2"/>
  <c r="AK15" i="2"/>
  <c r="AL41" i="2"/>
  <c r="AK23" i="2"/>
  <c r="AM10" i="2"/>
  <c r="AJ48" i="2"/>
  <c r="AJ27" i="2"/>
  <c r="AL46" i="2"/>
  <c r="AJ44" i="2"/>
  <c r="AL14" i="2"/>
  <c r="AK41" i="2"/>
  <c r="AG44" i="2"/>
  <c r="AG31" i="2"/>
  <c r="AI35" i="2"/>
  <c r="AH17" i="2"/>
  <c r="AK45" i="2"/>
  <c r="AG49" i="2"/>
  <c r="AL37" i="2"/>
  <c r="AG17" i="2"/>
  <c r="AL44" i="2"/>
  <c r="AJ49" i="2"/>
  <c r="AH32" i="2"/>
  <c r="AJ29" i="2"/>
  <c r="AM21" i="2"/>
  <c r="AJ46" i="2"/>
  <c r="AG28" i="2"/>
  <c r="AG18" i="2"/>
  <c r="AH24" i="2"/>
  <c r="AM26" i="2"/>
  <c r="AJ47" i="2"/>
  <c r="AM39" i="2"/>
  <c r="AL40" i="2"/>
  <c r="AG25" i="2"/>
  <c r="AH30" i="2"/>
  <c r="AG23" i="2"/>
  <c r="AJ28" i="2"/>
  <c r="AH22" i="2"/>
  <c r="AK30" i="2"/>
  <c r="AH15" i="2"/>
  <c r="AG32" i="2"/>
  <c r="AK46" i="2"/>
  <c r="AG36" i="2"/>
  <c r="AI10" i="2"/>
  <c r="AK26" i="2"/>
  <c r="AL17" i="2"/>
  <c r="AK18" i="2"/>
  <c r="AI48" i="2"/>
  <c r="AM18" i="2"/>
  <c r="AH20" i="2"/>
  <c r="AL12" i="2"/>
  <c r="AL20" i="2"/>
  <c r="AI23" i="2"/>
  <c r="AL42" i="2"/>
  <c r="AH26" i="2"/>
  <c r="AH43" i="2"/>
  <c r="AG16" i="2"/>
  <c r="AJ13" i="2"/>
  <c r="AL18" i="2"/>
  <c r="AG10" i="2"/>
  <c r="AK47" i="2"/>
  <c r="AI41" i="2"/>
  <c r="AH33" i="2"/>
  <c r="AL47" i="2"/>
  <c r="AM30" i="2"/>
  <c r="AG14" i="2"/>
  <c r="AG27" i="2"/>
  <c r="AI47" i="2"/>
  <c r="AK20" i="2"/>
  <c r="AM17" i="2"/>
  <c r="AL43" i="2"/>
  <c r="AK37" i="2"/>
  <c r="AJ32" i="2"/>
  <c r="AJ41" i="2"/>
  <c r="AH19" i="2"/>
  <c r="AJ21" i="2"/>
  <c r="AH16" i="2"/>
  <c r="AJ11" i="2"/>
  <c r="AI43" i="2"/>
  <c r="AL29" i="2"/>
  <c r="AK10" i="2"/>
  <c r="AM43" i="2"/>
  <c r="AG24" i="2"/>
  <c r="AM19" i="2"/>
  <c r="AL32" i="2"/>
  <c r="AI45" i="2"/>
  <c r="AK16" i="2"/>
  <c r="AK31" i="2"/>
  <c r="AJ38" i="2"/>
  <c r="AG30" i="2"/>
  <c r="AJ36" i="2"/>
  <c r="AL10" i="2"/>
  <c r="AM45" i="2"/>
  <c r="AI21" i="2"/>
  <c r="AH14" i="2"/>
  <c r="AL23" i="2"/>
  <c r="AI18" i="2"/>
  <c r="AL38" i="2"/>
  <c r="AL45" i="2"/>
  <c r="AL34" i="2"/>
  <c r="AI13" i="2"/>
  <c r="AI22" i="2"/>
  <c r="AG41" i="2"/>
  <c r="AK11" i="2"/>
  <c r="AG15" i="2"/>
  <c r="AM36" i="2"/>
  <c r="AJ25" i="2"/>
  <c r="AI16" i="2"/>
  <c r="AH21" i="2"/>
  <c r="AG45" i="2"/>
  <c r="AL25" i="2"/>
  <c r="AH31" i="2"/>
  <c r="AH42" i="2"/>
  <c r="AG47" i="2"/>
  <c r="AG34" i="2"/>
  <c r="AJ12" i="2"/>
  <c r="AJ19" i="2"/>
  <c r="AH11" i="2"/>
  <c r="AL11" i="2"/>
  <c r="AM14" i="2"/>
  <c r="AH18" i="2"/>
  <c r="AL21" i="2"/>
  <c r="AM11" i="2"/>
  <c r="AI15" i="2"/>
  <c r="AG29" i="2"/>
  <c r="AK25" i="2"/>
  <c r="AI26" i="2"/>
  <c r="AG37" i="2"/>
  <c r="AL27" i="2"/>
  <c r="AK28" i="2"/>
  <c r="AG33" i="2"/>
  <c r="AI14" i="2"/>
  <c r="AL28" i="2"/>
  <c r="AG40" i="2"/>
  <c r="AI49" i="2"/>
  <c r="AG20" i="2"/>
  <c r="AH47" i="2"/>
  <c r="AK48" i="2"/>
  <c r="AL22" i="2"/>
  <c r="AM29" i="2"/>
  <c r="AJ30" i="2"/>
  <c r="AM34" i="2"/>
  <c r="AH44" i="2"/>
  <c r="AM16" i="2"/>
  <c r="AK12" i="2"/>
  <c r="AK33" i="2"/>
  <c r="AK19" i="2"/>
  <c r="AI36" i="2"/>
  <c r="AK39" i="2"/>
  <c r="AH38" i="2"/>
  <c r="AK43" i="2"/>
  <c r="AK35" i="2"/>
  <c r="AJ31" i="2"/>
  <c r="AM15" i="2"/>
  <c r="AM25" i="2"/>
  <c r="AJ43" i="2"/>
  <c r="AJ34" i="2"/>
  <c r="AJ39" i="2"/>
  <c r="AH37" i="2"/>
  <c r="AG38" i="2"/>
  <c r="AG21" i="2"/>
  <c r="AH10" i="2"/>
  <c r="AI39" i="2"/>
  <c r="AI30" i="2"/>
  <c r="AM47" i="2"/>
  <c r="AL33" i="2"/>
  <c r="AG13" i="2"/>
  <c r="AJ14" i="2"/>
  <c r="AL26" i="2"/>
  <c r="Q46" i="23" l="1"/>
  <c r="M53" i="22"/>
  <c r="P51" i="18"/>
  <c r="N51" i="23"/>
  <c r="X51" i="23"/>
  <c r="R9" i="3"/>
  <c r="R19" i="3"/>
  <c r="R15" i="3"/>
  <c r="AB13" i="3"/>
  <c r="AB28" i="3"/>
  <c r="P21" i="22"/>
  <c r="R6" i="3"/>
  <c r="U34" i="23"/>
  <c r="P16" i="22"/>
  <c r="V26" i="21"/>
  <c r="AB45" i="21"/>
  <c r="S16" i="23"/>
  <c r="S33" i="23"/>
  <c r="AB26" i="21"/>
  <c r="K35" i="22"/>
  <c r="S39" i="23"/>
  <c r="AB32" i="21"/>
  <c r="Q51" i="18"/>
  <c r="Q51" i="23"/>
  <c r="S8" i="23"/>
  <c r="AB38" i="21"/>
  <c r="U20" i="21"/>
  <c r="U53" i="21" s="1"/>
  <c r="U45" i="21"/>
  <c r="S7" i="23"/>
  <c r="S25" i="23"/>
  <c r="U19" i="21"/>
  <c r="K31" i="22"/>
  <c r="X27" i="20"/>
  <c r="V43" i="21"/>
  <c r="S10" i="23"/>
  <c r="K30" i="22"/>
  <c r="K50" i="22" s="1"/>
  <c r="O35" i="18"/>
  <c r="V13" i="21"/>
  <c r="X15" i="20"/>
  <c r="AB16" i="21"/>
  <c r="V45" i="21"/>
  <c r="O28" i="18"/>
  <c r="O47" i="18" s="1"/>
  <c r="U36" i="21"/>
  <c r="AB36" i="21"/>
  <c r="S31" i="23"/>
  <c r="U37" i="21"/>
  <c r="S38" i="23"/>
  <c r="AB13" i="21"/>
  <c r="V32" i="21"/>
  <c r="O23" i="18"/>
  <c r="T43" i="18"/>
  <c r="Z51" i="23"/>
  <c r="V14" i="21"/>
  <c r="U8" i="21"/>
  <c r="AB33" i="21"/>
  <c r="K45" i="22"/>
  <c r="K20" i="22"/>
  <c r="K53" i="22" s="1"/>
  <c r="AB20" i="21"/>
  <c r="AB53" i="21" s="1"/>
  <c r="V23" i="21"/>
  <c r="K39" i="22"/>
  <c r="S9" i="23"/>
  <c r="T27" i="18"/>
  <c r="U27" i="21"/>
  <c r="S32" i="19"/>
  <c r="S53" i="18"/>
  <c r="V28" i="20"/>
  <c r="V47" i="20" s="1"/>
  <c r="K14" i="20"/>
  <c r="V41" i="21"/>
  <c r="V51" i="21" s="1"/>
  <c r="AB32" i="3"/>
  <c r="U16" i="21"/>
  <c r="K34" i="23"/>
  <c r="AB19" i="21"/>
  <c r="U43" i="23"/>
  <c r="Y31" i="23"/>
  <c r="R19" i="23"/>
  <c r="R5" i="23" s="1"/>
  <c r="S28" i="23"/>
  <c r="V30" i="21"/>
  <c r="O18" i="18"/>
  <c r="T15" i="18"/>
  <c r="Y53" i="23"/>
  <c r="AB12" i="21"/>
  <c r="X32" i="20"/>
  <c r="K19" i="22"/>
  <c r="O53" i="3"/>
  <c r="R44" i="3"/>
  <c r="AB11" i="21"/>
  <c r="R28" i="3"/>
  <c r="R34" i="3"/>
  <c r="I53" i="22"/>
  <c r="S34" i="23"/>
  <c r="U13" i="21"/>
  <c r="Q47" i="3"/>
  <c r="X10" i="20"/>
  <c r="K12" i="22"/>
  <c r="U24" i="21"/>
  <c r="U15" i="3"/>
  <c r="U42" i="23"/>
  <c r="AA20" i="23"/>
  <c r="AA53" i="23" s="1"/>
  <c r="AB9" i="3"/>
  <c r="R43" i="3"/>
  <c r="K16" i="22"/>
  <c r="U21" i="20"/>
  <c r="U46" i="20" s="1"/>
  <c r="S11" i="23"/>
  <c r="S32" i="23"/>
  <c r="X6" i="20"/>
  <c r="AB10" i="21"/>
  <c r="K22" i="22"/>
  <c r="V18" i="21"/>
  <c r="V44" i="21"/>
  <c r="O10" i="18"/>
  <c r="K11" i="22"/>
  <c r="S17" i="23"/>
  <c r="U26" i="21"/>
  <c r="U29" i="21"/>
  <c r="O37" i="18"/>
  <c r="AB6" i="21"/>
  <c r="O9" i="18"/>
  <c r="U18" i="21"/>
  <c r="AB39" i="21"/>
  <c r="X39" i="20"/>
  <c r="AB43" i="21"/>
  <c r="AB25" i="21"/>
  <c r="T14" i="18"/>
  <c r="Y33" i="21"/>
  <c r="Y49" i="21" s="1"/>
  <c r="V39" i="20"/>
  <c r="V49" i="20" s="1"/>
  <c r="Q53" i="3"/>
  <c r="R36" i="3"/>
  <c r="AB34" i="21"/>
  <c r="T28" i="18"/>
  <c r="AB35" i="3"/>
  <c r="U16" i="20"/>
  <c r="U5" i="20" s="1"/>
  <c r="U45" i="23"/>
  <c r="AB21" i="3"/>
  <c r="Z20" i="23"/>
  <c r="U17" i="21"/>
  <c r="U29" i="20"/>
  <c r="K42" i="22"/>
  <c r="K27" i="22"/>
  <c r="U23" i="21"/>
  <c r="AB31" i="21"/>
  <c r="T39" i="18"/>
  <c r="O26" i="18"/>
  <c r="T51" i="23"/>
  <c r="K7" i="22"/>
  <c r="S15" i="23"/>
  <c r="L53" i="3"/>
  <c r="U40" i="3"/>
  <c r="R39" i="3"/>
  <c r="AB16" i="3"/>
  <c r="R35" i="3"/>
  <c r="V17" i="21"/>
  <c r="R21" i="3"/>
  <c r="V29" i="20"/>
  <c r="S41" i="23"/>
  <c r="S51" i="23" s="1"/>
  <c r="AB37" i="21"/>
  <c r="K41" i="22"/>
  <c r="K51" i="22" s="1"/>
  <c r="X11" i="20"/>
  <c r="O42" i="18"/>
  <c r="S30" i="23"/>
  <c r="AB15" i="21"/>
  <c r="U28" i="21"/>
  <c r="U47" i="21" s="1"/>
  <c r="U30" i="21"/>
  <c r="V12" i="21"/>
  <c r="S35" i="23"/>
  <c r="V42" i="21"/>
  <c r="O12" i="18"/>
  <c r="S29" i="23"/>
  <c r="T16" i="18"/>
  <c r="S27" i="23"/>
  <c r="V16" i="21"/>
  <c r="V35" i="21"/>
  <c r="O30" i="18"/>
  <c r="O50" i="18" s="1"/>
  <c r="U31" i="21"/>
  <c r="S24" i="23"/>
  <c r="AB28" i="21"/>
  <c r="X31" i="20"/>
  <c r="K40" i="22"/>
  <c r="K13" i="22"/>
  <c r="T44" i="18"/>
  <c r="U11" i="21"/>
  <c r="T12" i="18"/>
  <c r="K33" i="22"/>
  <c r="S20" i="23"/>
  <c r="AB21" i="21"/>
  <c r="O39" i="18"/>
  <c r="X25" i="20"/>
  <c r="X48" i="20" s="1"/>
  <c r="X44" i="20"/>
  <c r="V10" i="21"/>
  <c r="K15" i="22"/>
  <c r="X43" i="20"/>
  <c r="K43" i="22"/>
  <c r="T40" i="18"/>
  <c r="T41" i="18"/>
  <c r="S42" i="23"/>
  <c r="U21" i="21"/>
  <c r="V33" i="21"/>
  <c r="U21" i="3"/>
  <c r="X33" i="20"/>
  <c r="U40" i="21"/>
  <c r="T9" i="18"/>
  <c r="O24" i="18"/>
  <c r="K25" i="22"/>
  <c r="S26" i="23"/>
  <c r="O40" i="18"/>
  <c r="J53" i="3"/>
  <c r="O16" i="18"/>
  <c r="R41" i="3"/>
  <c r="T36" i="18"/>
  <c r="X35" i="20"/>
  <c r="U22" i="21"/>
  <c r="V38" i="21"/>
  <c r="T8" i="18"/>
  <c r="U33" i="21"/>
  <c r="V9" i="21"/>
  <c r="R17" i="3"/>
  <c r="V20" i="21"/>
  <c r="V53" i="21" s="1"/>
  <c r="X23" i="20"/>
  <c r="T35" i="18"/>
  <c r="U38" i="21"/>
  <c r="U49" i="21" s="1"/>
  <c r="K36" i="22"/>
  <c r="T33" i="18"/>
  <c r="U42" i="21"/>
  <c r="S43" i="23"/>
  <c r="T19" i="18"/>
  <c r="U41" i="21"/>
  <c r="U51" i="21" s="1"/>
  <c r="V3" i="21"/>
  <c r="K9" i="22"/>
  <c r="X41" i="20"/>
  <c r="X51" i="20" s="1"/>
  <c r="V15" i="21"/>
  <c r="X22" i="20"/>
  <c r="T6" i="18"/>
  <c r="S13" i="23"/>
  <c r="U44" i="21"/>
  <c r="O11" i="18"/>
  <c r="S6" i="23"/>
  <c r="X53" i="3"/>
  <c r="T51" i="3"/>
  <c r="S33" i="19"/>
  <c r="K44" i="22"/>
  <c r="AB17" i="21"/>
  <c r="S45" i="23"/>
  <c r="V11" i="21"/>
  <c r="V21" i="21"/>
  <c r="S12" i="23"/>
  <c r="T42" i="18"/>
  <c r="U14" i="21"/>
  <c r="S44" i="23"/>
  <c r="S23" i="23"/>
  <c r="U15" i="21"/>
  <c r="V31" i="21"/>
  <c r="AB24" i="21"/>
  <c r="S40" i="23"/>
  <c r="X37" i="20"/>
  <c r="X40" i="20"/>
  <c r="V7" i="21"/>
  <c r="AB44" i="21"/>
  <c r="R45" i="3"/>
  <c r="R10" i="3"/>
  <c r="AB41" i="21"/>
  <c r="AB51" i="21" s="1"/>
  <c r="S34" i="19"/>
  <c r="S14" i="23"/>
  <c r="S21" i="23"/>
  <c r="O38" i="18"/>
  <c r="S36" i="23"/>
  <c r="O32" i="18"/>
  <c r="AB40" i="21"/>
  <c r="O25" i="18"/>
  <c r="T34" i="18"/>
  <c r="T20" i="18"/>
  <c r="R11" i="3"/>
  <c r="S31" i="19"/>
  <c r="U43" i="21"/>
  <c r="V40" i="21"/>
  <c r="S12" i="19"/>
  <c r="S52" i="19" s="1"/>
  <c r="K24" i="22"/>
  <c r="X29" i="20"/>
  <c r="O27" i="18"/>
  <c r="U42" i="3"/>
  <c r="X34" i="20"/>
  <c r="X8" i="20"/>
  <c r="O44" i="18"/>
  <c r="U9" i="21"/>
  <c r="U6" i="23"/>
  <c r="U5" i="23" s="1"/>
  <c r="T19" i="20"/>
  <c r="T46" i="20" s="1"/>
  <c r="AA21" i="23"/>
  <c r="AA46" i="23" s="1"/>
  <c r="AA16" i="23"/>
  <c r="T53" i="3"/>
  <c r="M53" i="3"/>
  <c r="N53" i="3"/>
  <c r="J51" i="23"/>
  <c r="K51" i="3"/>
  <c r="J51" i="3"/>
  <c r="O51" i="3"/>
  <c r="Y51" i="23"/>
  <c r="P51" i="23"/>
  <c r="O51" i="23"/>
  <c r="AA51" i="23"/>
  <c r="J51" i="20"/>
  <c r="M51" i="20"/>
  <c r="M51" i="19"/>
  <c r="N51" i="19"/>
  <c r="L51" i="18"/>
  <c r="W53" i="19"/>
  <c r="Q53" i="23"/>
  <c r="Q46" i="20"/>
  <c r="P53" i="3"/>
  <c r="X51" i="3"/>
  <c r="Y51" i="3"/>
  <c r="Q51" i="3"/>
  <c r="N48" i="21"/>
  <c r="H53" i="22"/>
  <c r="H53" i="18"/>
  <c r="L51" i="23"/>
  <c r="U51" i="23"/>
  <c r="H51" i="18"/>
  <c r="P48" i="21"/>
  <c r="P51" i="19"/>
  <c r="W51" i="19"/>
  <c r="O51" i="19"/>
  <c r="H51" i="19"/>
  <c r="K51" i="19"/>
  <c r="J51" i="19"/>
  <c r="Q51" i="19"/>
  <c r="T46" i="23"/>
  <c r="M46" i="20"/>
  <c r="I46" i="20"/>
  <c r="X50" i="21"/>
  <c r="Z53" i="23"/>
  <c r="O53" i="23"/>
  <c r="T53" i="23"/>
  <c r="R53" i="23"/>
  <c r="N53" i="23"/>
  <c r="R46" i="19"/>
  <c r="V51" i="20"/>
  <c r="R51" i="19"/>
  <c r="R51" i="23"/>
  <c r="I51" i="3"/>
  <c r="S51" i="19"/>
  <c r="T51" i="19"/>
  <c r="I51" i="23"/>
  <c r="H51" i="23"/>
  <c r="L51" i="19"/>
  <c r="P51" i="3"/>
  <c r="R51" i="20"/>
  <c r="P48" i="18"/>
  <c r="L46" i="23"/>
  <c r="P46" i="23"/>
  <c r="M46" i="22"/>
  <c r="J53" i="22"/>
  <c r="Q51" i="21"/>
  <c r="K51" i="21"/>
  <c r="I51" i="21"/>
  <c r="T51" i="21"/>
  <c r="H51" i="22"/>
  <c r="I51" i="22"/>
  <c r="U51" i="20"/>
  <c r="K51" i="20"/>
  <c r="Q48" i="23"/>
  <c r="N51" i="3"/>
  <c r="R51" i="21"/>
  <c r="J51" i="21"/>
  <c r="J48" i="23"/>
  <c r="O48" i="23"/>
  <c r="P51" i="21"/>
  <c r="AB51" i="3"/>
  <c r="M51" i="3"/>
  <c r="H51" i="21"/>
  <c r="L51" i="21"/>
  <c r="X51" i="21"/>
  <c r="J51" i="22"/>
  <c r="T51" i="20"/>
  <c r="H51" i="20"/>
  <c r="Q51" i="20"/>
  <c r="L51" i="3"/>
  <c r="Z48" i="23"/>
  <c r="S51" i="20"/>
  <c r="U48" i="23"/>
  <c r="H51" i="3"/>
  <c r="Z51" i="3"/>
  <c r="L53" i="22"/>
  <c r="Y51" i="21"/>
  <c r="N51" i="21"/>
  <c r="O51" i="21"/>
  <c r="M51" i="21"/>
  <c r="I51" i="19"/>
  <c r="M51" i="22"/>
  <c r="L51" i="22"/>
  <c r="P51" i="20"/>
  <c r="N51" i="20"/>
  <c r="L51" i="20"/>
  <c r="I51" i="20"/>
  <c r="M53" i="19"/>
  <c r="K51" i="18"/>
  <c r="J51" i="18"/>
  <c r="O51" i="18"/>
  <c r="N51" i="18"/>
  <c r="R51" i="18"/>
  <c r="T51" i="18"/>
  <c r="M51" i="18"/>
  <c r="I51" i="18"/>
  <c r="M48" i="18"/>
  <c r="X48" i="3"/>
  <c r="Y48" i="3"/>
  <c r="T48" i="3"/>
  <c r="J48" i="3"/>
  <c r="Q48" i="3"/>
  <c r="M48" i="3"/>
  <c r="O48" i="3"/>
  <c r="N48" i="3"/>
  <c r="Y53" i="3"/>
  <c r="K17" i="23"/>
  <c r="P37" i="22"/>
  <c r="AB9" i="23"/>
  <c r="P24" i="22"/>
  <c r="AB30" i="23"/>
  <c r="AB50" i="23" s="1"/>
  <c r="P28" i="22"/>
  <c r="P32" i="22"/>
  <c r="S22" i="21"/>
  <c r="K15" i="23"/>
  <c r="P8" i="22"/>
  <c r="S12" i="21"/>
  <c r="AB18" i="23"/>
  <c r="AB43" i="23"/>
  <c r="K38" i="23"/>
  <c r="P18" i="22"/>
  <c r="P20" i="22"/>
  <c r="AB36" i="23"/>
  <c r="S23" i="21"/>
  <c r="S31" i="21"/>
  <c r="P29" i="22"/>
  <c r="P36" i="22"/>
  <c r="S39" i="21"/>
  <c r="AB37" i="23"/>
  <c r="AB38" i="23"/>
  <c r="P41" i="22"/>
  <c r="K12" i="23"/>
  <c r="K30" i="23"/>
  <c r="AB28" i="23"/>
  <c r="S7" i="21"/>
  <c r="K18" i="23"/>
  <c r="S33" i="21"/>
  <c r="S24" i="21"/>
  <c r="K41" i="23"/>
  <c r="K51" i="23" s="1"/>
  <c r="P17" i="22"/>
  <c r="AB16" i="23"/>
  <c r="P12" i="22"/>
  <c r="K39" i="23"/>
  <c r="AB26" i="23"/>
  <c r="AB48" i="23" s="1"/>
  <c r="P33" i="22"/>
  <c r="K8" i="23"/>
  <c r="AB8" i="23"/>
  <c r="K21" i="23"/>
  <c r="K19" i="23"/>
  <c r="S35" i="21"/>
  <c r="S14" i="21"/>
  <c r="K33" i="23"/>
  <c r="K10" i="23"/>
  <c r="P6" i="22"/>
  <c r="K25" i="23"/>
  <c r="S26" i="21"/>
  <c r="P15" i="22"/>
  <c r="P39" i="22"/>
  <c r="S13" i="21"/>
  <c r="S32" i="21"/>
  <c r="AB29" i="23"/>
  <c r="P31" i="22"/>
  <c r="K24" i="23"/>
  <c r="K7" i="23"/>
  <c r="S8" i="21"/>
  <c r="P9" i="22"/>
  <c r="S9" i="21"/>
  <c r="K22" i="23"/>
  <c r="S34" i="21"/>
  <c r="K27" i="23"/>
  <c r="K26" i="23"/>
  <c r="AB22" i="23"/>
  <c r="AB42" i="23"/>
  <c r="AB17" i="23"/>
  <c r="K20" i="23"/>
  <c r="S43" i="21"/>
  <c r="K23" i="23"/>
  <c r="S10" i="21"/>
  <c r="S18" i="21"/>
  <c r="K36" i="23"/>
  <c r="P40" i="22"/>
  <c r="P23" i="22"/>
  <c r="P7" i="22"/>
  <c r="AB7" i="23"/>
  <c r="AB13" i="23"/>
  <c r="P22" i="22"/>
  <c r="S30" i="21"/>
  <c r="S50" i="21" s="1"/>
  <c r="AB39" i="23"/>
  <c r="K42" i="23"/>
  <c r="S42" i="21"/>
  <c r="AB45" i="23"/>
  <c r="P30" i="22"/>
  <c r="K37" i="23"/>
  <c r="P38" i="22"/>
  <c r="K9" i="23"/>
  <c r="AB44" i="23"/>
  <c r="P26" i="22"/>
  <c r="S28" i="21"/>
  <c r="S47" i="21" s="1"/>
  <c r="K13" i="23"/>
  <c r="K31" i="23"/>
  <c r="AB15" i="23"/>
  <c r="AB34" i="23"/>
  <c r="AB20" i="23"/>
  <c r="U39" i="3"/>
  <c r="U14" i="3"/>
  <c r="U13" i="3"/>
  <c r="U17" i="19"/>
  <c r="T34" i="19"/>
  <c r="N21" i="22"/>
  <c r="U11" i="19"/>
  <c r="N20" i="22"/>
  <c r="V11" i="19"/>
  <c r="U24" i="3"/>
  <c r="U11" i="3"/>
  <c r="X16" i="20"/>
  <c r="U45" i="3"/>
  <c r="U36" i="3"/>
  <c r="U35" i="3"/>
  <c r="K45" i="20"/>
  <c r="U31" i="3"/>
  <c r="U50" i="3" s="1"/>
  <c r="K16" i="20"/>
  <c r="U19" i="3"/>
  <c r="S17" i="21"/>
  <c r="S41" i="21"/>
  <c r="O19" i="18"/>
  <c r="T17" i="19"/>
  <c r="T46" i="19" s="1"/>
  <c r="W30" i="19"/>
  <c r="U9" i="3"/>
  <c r="U17" i="3"/>
  <c r="W16" i="19"/>
  <c r="U16" i="19"/>
  <c r="U43" i="19"/>
  <c r="U51" i="19" s="1"/>
  <c r="W27" i="19"/>
  <c r="W48" i="19" s="1"/>
  <c r="W31" i="19"/>
  <c r="X19" i="20"/>
  <c r="U19" i="19"/>
  <c r="X18" i="20"/>
  <c r="U10" i="3"/>
  <c r="U43" i="3"/>
  <c r="U51" i="3" s="1"/>
  <c r="S45" i="21"/>
  <c r="K19" i="20"/>
  <c r="K46" i="20" s="1"/>
  <c r="V16" i="19"/>
  <c r="V43" i="19"/>
  <c r="V51" i="19" s="1"/>
  <c r="S16" i="21"/>
  <c r="N16" i="22"/>
  <c r="N52" i="22" s="1"/>
  <c r="W3" i="18"/>
  <c r="T3" i="18"/>
  <c r="T17" i="18"/>
  <c r="W17" i="19"/>
  <c r="V21" i="19"/>
  <c r="U45" i="19"/>
  <c r="W11" i="19"/>
  <c r="V19" i="19"/>
  <c r="V46" i="19" s="1"/>
  <c r="U3" i="23"/>
  <c r="V19" i="23" s="1"/>
  <c r="W19" i="19"/>
  <c r="V27" i="19"/>
  <c r="X17" i="20"/>
  <c r="U18" i="3"/>
  <c r="S20" i="21"/>
  <c r="S53" i="21" s="1"/>
  <c r="T45" i="19"/>
  <c r="N34" i="22"/>
  <c r="T19" i="19"/>
  <c r="S21" i="21"/>
  <c r="N41" i="22"/>
  <c r="N51" i="22" s="1"/>
  <c r="S19" i="21"/>
  <c r="T16" i="19"/>
  <c r="T52" i="19" s="1"/>
  <c r="V45" i="19"/>
  <c r="W3" i="19"/>
  <c r="P3" i="22"/>
  <c r="S3" i="22"/>
  <c r="AE3" i="23"/>
  <c r="AB3" i="23"/>
  <c r="AB19" i="23"/>
  <c r="D67" i="10"/>
  <c r="L50" i="10" s="1"/>
  <c r="BI68" i="18" s="1"/>
  <c r="AK56" i="2"/>
  <c r="AG56" i="2"/>
  <c r="AH56" i="2"/>
  <c r="AI56" i="2"/>
  <c r="AJ56" i="2"/>
  <c r="AL54" i="2"/>
  <c r="AM56" i="2"/>
  <c r="AM57" i="2"/>
  <c r="AL51" i="2"/>
  <c r="AM51" i="2"/>
  <c r="AL55" i="2"/>
  <c r="AM54" i="2"/>
  <c r="AM55" i="2"/>
  <c r="AL57" i="2"/>
  <c r="AM52" i="2"/>
  <c r="AL58" i="2"/>
  <c r="AL53" i="2"/>
  <c r="AM58" i="2"/>
  <c r="AM53" i="2"/>
  <c r="AL56" i="2"/>
  <c r="AL52" i="2"/>
  <c r="J53" i="23"/>
  <c r="I53" i="23"/>
  <c r="H53" i="23"/>
  <c r="M53" i="23"/>
  <c r="L53" i="23"/>
  <c r="X53" i="23"/>
  <c r="P53" i="23"/>
  <c r="K53" i="3"/>
  <c r="R47" i="18"/>
  <c r="H53" i="21"/>
  <c r="R50" i="18"/>
  <c r="I53" i="19"/>
  <c r="S53" i="19"/>
  <c r="J50" i="3"/>
  <c r="Q53" i="18"/>
  <c r="J53" i="19"/>
  <c r="M53" i="21"/>
  <c r="Y46" i="3"/>
  <c r="V50" i="20"/>
  <c r="X47" i="3"/>
  <c r="T47" i="3"/>
  <c r="Q50" i="3"/>
  <c r="O47" i="3"/>
  <c r="AK54" i="2"/>
  <c r="AI54" i="2"/>
  <c r="AK52" i="2"/>
  <c r="AJ54" i="2"/>
  <c r="AG55" i="2"/>
  <c r="AJ52" i="2"/>
  <c r="AH53" i="2"/>
  <c r="AG54" i="2"/>
  <c r="AH58" i="2"/>
  <c r="AG53" i="2"/>
  <c r="AH57" i="2"/>
  <c r="AK58" i="2"/>
  <c r="AJ55" i="2"/>
  <c r="AJ51" i="2"/>
  <c r="AK51" i="2"/>
  <c r="AJ53" i="2"/>
  <c r="AK57" i="2"/>
  <c r="AK53" i="2"/>
  <c r="AG57" i="2"/>
  <c r="AG52" i="2"/>
  <c r="AJ57" i="2"/>
  <c r="AH51" i="2"/>
  <c r="AI51" i="2"/>
  <c r="AH54" i="2"/>
  <c r="AI57" i="2"/>
  <c r="AI58" i="2"/>
  <c r="AJ58" i="2"/>
  <c r="AI53" i="2"/>
  <c r="AI55" i="2"/>
  <c r="AG58" i="2"/>
  <c r="AI52" i="2"/>
  <c r="AK55" i="2"/>
  <c r="AH52" i="2"/>
  <c r="AH55" i="2"/>
  <c r="I53" i="21"/>
  <c r="H50" i="18"/>
  <c r="P48" i="3"/>
  <c r="N46" i="21"/>
  <c r="Q53" i="19"/>
  <c r="O53" i="20"/>
  <c r="L47" i="3"/>
  <c r="I53" i="20"/>
  <c r="K53" i="20"/>
  <c r="P46" i="18"/>
  <c r="L53" i="20"/>
  <c r="T53" i="21"/>
  <c r="I50" i="20"/>
  <c r="I47" i="3"/>
  <c r="O53" i="21"/>
  <c r="P53" i="21"/>
  <c r="T46" i="21"/>
  <c r="H53" i="20"/>
  <c r="P53" i="19"/>
  <c r="P53" i="20"/>
  <c r="U53" i="20"/>
  <c r="U48" i="19"/>
  <c r="Q53" i="21"/>
  <c r="Q46" i="21"/>
  <c r="K53" i="18"/>
  <c r="K53" i="19"/>
  <c r="T53" i="20"/>
  <c r="L53" i="21"/>
  <c r="P53" i="18"/>
  <c r="N53" i="19"/>
  <c r="R53" i="20"/>
  <c r="K53" i="21"/>
  <c r="N53" i="21"/>
  <c r="N50" i="19"/>
  <c r="R46" i="21"/>
  <c r="T53" i="18"/>
  <c r="T53" i="19"/>
  <c r="J53" i="20"/>
  <c r="V48" i="19"/>
  <c r="M46" i="3"/>
  <c r="R53" i="21"/>
  <c r="L53" i="18"/>
  <c r="R53" i="18"/>
  <c r="M53" i="20"/>
  <c r="Q46" i="18"/>
  <c r="H50" i="3"/>
  <c r="U53" i="19"/>
  <c r="N53" i="20"/>
  <c r="L53" i="19"/>
  <c r="P47" i="18"/>
  <c r="K46" i="21"/>
  <c r="J47" i="3"/>
  <c r="O46" i="21"/>
  <c r="M53" i="18"/>
  <c r="R53" i="19"/>
  <c r="Q53" i="20"/>
  <c r="H48" i="19"/>
  <c r="I53" i="18"/>
  <c r="N53" i="18"/>
  <c r="N50" i="3"/>
  <c r="T47" i="18"/>
  <c r="X53" i="21"/>
  <c r="Y47" i="3"/>
  <c r="R48" i="3"/>
  <c r="J53" i="18"/>
  <c r="O53" i="19"/>
  <c r="I53" i="3"/>
  <c r="H53" i="3"/>
  <c r="J53" i="21"/>
  <c r="J46" i="18"/>
  <c r="H53" i="19"/>
  <c r="V53" i="19"/>
  <c r="K46" i="3"/>
  <c r="AG51" i="2"/>
  <c r="J46" i="3"/>
  <c r="Q7" i="2"/>
  <c r="Q8" i="2" s="1"/>
  <c r="AJ9" i="2" s="1"/>
  <c r="G67" i="10"/>
  <c r="O29" i="10" s="1"/>
  <c r="AN68" i="21" s="1"/>
  <c r="C67" i="10"/>
  <c r="K47" i="10" s="1"/>
  <c r="BF68" i="3" s="1"/>
  <c r="H67" i="10"/>
  <c r="P11" i="10" s="1"/>
  <c r="V68" i="22" s="1"/>
  <c r="F67" i="10"/>
  <c r="N24" i="10" s="1"/>
  <c r="AI68" i="20" s="1"/>
  <c r="E67" i="10"/>
  <c r="M51" i="10" s="1"/>
  <c r="BJ68" i="19" s="1"/>
  <c r="AN30" i="2"/>
  <c r="AO30" i="2" s="1"/>
  <c r="AQ30" i="2" s="1"/>
  <c r="AN48" i="2"/>
  <c r="AO48" i="2" s="1"/>
  <c r="AQ48" i="2" s="1"/>
  <c r="AN32" i="2"/>
  <c r="AO32" i="2" s="1"/>
  <c r="AQ32" i="2" s="1"/>
  <c r="AN24" i="2"/>
  <c r="AO24" i="2" s="1"/>
  <c r="AQ24" i="2" s="1"/>
  <c r="AN13" i="2"/>
  <c r="AO13" i="2" s="1"/>
  <c r="AQ13" i="2" s="1"/>
  <c r="AN33" i="2"/>
  <c r="AO33" i="2" s="1"/>
  <c r="AQ33" i="2" s="1"/>
  <c r="AN49" i="2"/>
  <c r="AO49" i="2" s="1"/>
  <c r="AQ49" i="2" s="1"/>
  <c r="AN36" i="2"/>
  <c r="AO36" i="2" s="1"/>
  <c r="AQ36" i="2" s="1"/>
  <c r="AN16" i="2"/>
  <c r="AO16" i="2" s="1"/>
  <c r="AQ16" i="2" s="1"/>
  <c r="AN45" i="2"/>
  <c r="AO45" i="2" s="1"/>
  <c r="AQ45" i="2" s="1"/>
  <c r="AN26" i="2"/>
  <c r="AO26" i="2" s="1"/>
  <c r="AQ26" i="2" s="1"/>
  <c r="AN21" i="2"/>
  <c r="AO21" i="2" s="1"/>
  <c r="AQ21" i="2" s="1"/>
  <c r="AN43" i="2"/>
  <c r="AO43" i="2" s="1"/>
  <c r="AQ43" i="2" s="1"/>
  <c r="AN14" i="2"/>
  <c r="AO14" i="2" s="1"/>
  <c r="AQ14" i="2" s="1"/>
  <c r="AN20" i="2"/>
  <c r="AO20" i="2" s="1"/>
  <c r="AQ20" i="2" s="1"/>
  <c r="AN41" i="2"/>
  <c r="AO41" i="2" s="1"/>
  <c r="AQ41" i="2" s="1"/>
  <c r="AN40" i="2"/>
  <c r="AO40" i="2" s="1"/>
  <c r="AQ40" i="2" s="1"/>
  <c r="AN42" i="2"/>
  <c r="AO42" i="2" s="1"/>
  <c r="AQ42" i="2" s="1"/>
  <c r="AN19" i="2"/>
  <c r="AO19" i="2" s="1"/>
  <c r="AQ19" i="2" s="1"/>
  <c r="AN37" i="2"/>
  <c r="AO37" i="2" s="1"/>
  <c r="AQ37" i="2" s="1"/>
  <c r="AN18" i="2"/>
  <c r="AO18" i="2" s="1"/>
  <c r="AQ18" i="2" s="1"/>
  <c r="AN10" i="2"/>
  <c r="AO10" i="2" s="1"/>
  <c r="AQ10" i="2" s="1"/>
  <c r="AN29" i="2"/>
  <c r="AO29" i="2" s="1"/>
  <c r="AQ29" i="2" s="1"/>
  <c r="AN22" i="2"/>
  <c r="AO22" i="2" s="1"/>
  <c r="AQ22" i="2" s="1"/>
  <c r="AN12" i="2"/>
  <c r="AO12" i="2" s="1"/>
  <c r="AQ12" i="2" s="1"/>
  <c r="AN31" i="2"/>
  <c r="AO31" i="2" s="1"/>
  <c r="AQ31" i="2" s="1"/>
  <c r="AN25" i="2"/>
  <c r="AO25" i="2" s="1"/>
  <c r="AQ25" i="2" s="1"/>
  <c r="AN23" i="2"/>
  <c r="AO23" i="2" s="1"/>
  <c r="AQ23" i="2" s="1"/>
  <c r="AN17" i="2"/>
  <c r="AO17" i="2" s="1"/>
  <c r="AQ17" i="2" s="1"/>
  <c r="AN46" i="2"/>
  <c r="AO46" i="2" s="1"/>
  <c r="AQ46" i="2" s="1"/>
  <c r="AN39" i="2"/>
  <c r="AO39" i="2" s="1"/>
  <c r="AQ39" i="2" s="1"/>
  <c r="AN15" i="2"/>
  <c r="AO15" i="2" s="1"/>
  <c r="AQ15" i="2" s="1"/>
  <c r="AN34" i="2"/>
  <c r="AO34" i="2" s="1"/>
  <c r="AQ34" i="2" s="1"/>
  <c r="AN27" i="2"/>
  <c r="AO27" i="2" s="1"/>
  <c r="AQ27" i="2" s="1"/>
  <c r="AN35" i="2"/>
  <c r="AO35" i="2" s="1"/>
  <c r="AQ35" i="2" s="1"/>
  <c r="AN11" i="2"/>
  <c r="AO11" i="2" s="1"/>
  <c r="AQ11" i="2" s="1"/>
  <c r="AN44" i="2"/>
  <c r="AO44" i="2" s="1"/>
  <c r="AQ44" i="2" s="1"/>
  <c r="AN38" i="2"/>
  <c r="AO38" i="2" s="1"/>
  <c r="AQ38" i="2" s="1"/>
  <c r="AN47" i="2"/>
  <c r="AO47" i="2" s="1"/>
  <c r="AQ47" i="2" s="1"/>
  <c r="AN28" i="2"/>
  <c r="AO28" i="2" s="1"/>
  <c r="AQ28" i="2" s="1"/>
  <c r="P52" i="3"/>
  <c r="I67" i="10"/>
  <c r="Q33" i="10" s="1"/>
  <c r="AR68" i="23" s="1"/>
  <c r="S50" i="19"/>
  <c r="V3" i="20"/>
  <c r="V21" i="20"/>
  <c r="V46" i="20" s="1"/>
  <c r="AB3" i="21"/>
  <c r="AE3" i="21"/>
  <c r="X3" i="19"/>
  <c r="X19" i="19"/>
  <c r="AA3" i="19"/>
  <c r="AB12" i="3"/>
  <c r="AB8" i="3"/>
  <c r="AB3" i="3"/>
  <c r="AE3" i="3"/>
  <c r="AB20" i="3"/>
  <c r="AB53" i="3" s="1"/>
  <c r="AB19" i="3"/>
  <c r="Y21" i="21"/>
  <c r="Y48" i="21" s="1"/>
  <c r="Y3" i="21"/>
  <c r="Z12" i="3"/>
  <c r="Z3" i="3"/>
  <c r="Z20" i="3"/>
  <c r="Z48" i="3" s="1"/>
  <c r="Z16" i="3"/>
  <c r="X3" i="20"/>
  <c r="AA3" i="20"/>
  <c r="X21" i="20"/>
  <c r="X45" i="20"/>
  <c r="U3" i="3"/>
  <c r="U20" i="3"/>
  <c r="U8" i="3"/>
  <c r="U12" i="3"/>
  <c r="U16" i="3"/>
  <c r="O21" i="18"/>
  <c r="O45" i="18"/>
  <c r="S45" i="20"/>
  <c r="S21" i="20"/>
  <c r="S46" i="20" s="1"/>
  <c r="N3" i="22"/>
  <c r="N18" i="22"/>
  <c r="R8" i="3"/>
  <c r="R3" i="3"/>
  <c r="R16" i="3"/>
  <c r="R12" i="3"/>
  <c r="H46" i="19"/>
  <c r="P46" i="21"/>
  <c r="U47" i="3"/>
  <c r="H48" i="3"/>
  <c r="V48" i="21"/>
  <c r="P46" i="20"/>
  <c r="AB47" i="3"/>
  <c r="K47" i="3"/>
  <c r="M47" i="3"/>
  <c r="I48" i="3"/>
  <c r="Z47" i="3"/>
  <c r="H48" i="22"/>
  <c r="L48" i="23"/>
  <c r="L46" i="21"/>
  <c r="X46" i="21"/>
  <c r="I46" i="18"/>
  <c r="O48" i="20"/>
  <c r="S48" i="18"/>
  <c r="O46" i="23"/>
  <c r="I46" i="23"/>
  <c r="L46" i="20"/>
  <c r="R46" i="18"/>
  <c r="M48" i="21"/>
  <c r="R48" i="23"/>
  <c r="P48" i="23"/>
  <c r="T48" i="21"/>
  <c r="Q47" i="20"/>
  <c r="K47" i="20"/>
  <c r="X50" i="20"/>
  <c r="J50" i="18"/>
  <c r="M50" i="19"/>
  <c r="J50" i="21"/>
  <c r="Q46" i="19"/>
  <c r="T47" i="20"/>
  <c r="Q47" i="18"/>
  <c r="T47" i="21"/>
  <c r="H47" i="20"/>
  <c r="I46" i="19"/>
  <c r="S46" i="19"/>
  <c r="N47" i="21"/>
  <c r="J46" i="23"/>
  <c r="Y46" i="23"/>
  <c r="U46" i="23"/>
  <c r="X46" i="23"/>
  <c r="Z46" i="23"/>
  <c r="O47" i="20"/>
  <c r="J47" i="20"/>
  <c r="T50" i="21"/>
  <c r="T48" i="23"/>
  <c r="AA48" i="23"/>
  <c r="L50" i="22"/>
  <c r="N52" i="3"/>
  <c r="T52" i="3"/>
  <c r="I50" i="3"/>
  <c r="S48" i="19"/>
  <c r="R47" i="20"/>
  <c r="S47" i="20"/>
  <c r="O50" i="20"/>
  <c r="Q50" i="19"/>
  <c r="O52" i="20"/>
  <c r="AB50" i="21"/>
  <c r="I46" i="21"/>
  <c r="L46" i="19"/>
  <c r="L50" i="20"/>
  <c r="S50" i="20"/>
  <c r="V48" i="20"/>
  <c r="O48" i="19"/>
  <c r="J48" i="19"/>
  <c r="P48" i="19"/>
  <c r="Y48" i="23"/>
  <c r="M48" i="23"/>
  <c r="X48" i="21"/>
  <c r="M50" i="3"/>
  <c r="N47" i="3"/>
  <c r="Q50" i="21"/>
  <c r="H52" i="3"/>
  <c r="M52" i="3"/>
  <c r="I48" i="18"/>
  <c r="T48" i="18"/>
  <c r="M46" i="21"/>
  <c r="J46" i="21"/>
  <c r="N46" i="18"/>
  <c r="N46" i="23"/>
  <c r="J46" i="19"/>
  <c r="K46" i="18"/>
  <c r="J46" i="22"/>
  <c r="M47" i="21"/>
  <c r="P47" i="20"/>
  <c r="N47" i="20"/>
  <c r="I47" i="20"/>
  <c r="K47" i="18"/>
  <c r="J50" i="22"/>
  <c r="M50" i="22"/>
  <c r="U50" i="21"/>
  <c r="R50" i="20"/>
  <c r="I46" i="22"/>
  <c r="H46" i="21"/>
  <c r="R46" i="20"/>
  <c r="H46" i="18"/>
  <c r="I46" i="3"/>
  <c r="V52" i="20"/>
  <c r="R52" i="20"/>
  <c r="N52" i="20"/>
  <c r="I52" i="3"/>
  <c r="J46" i="20"/>
  <c r="N46" i="20"/>
  <c r="H46" i="20"/>
  <c r="S46" i="18"/>
  <c r="M46" i="19"/>
  <c r="P46" i="19"/>
  <c r="N46" i="19"/>
  <c r="L50" i="21"/>
  <c r="N50" i="21"/>
  <c r="V50" i="19"/>
  <c r="U50" i="19"/>
  <c r="I50" i="19"/>
  <c r="P50" i="19"/>
  <c r="N48" i="18"/>
  <c r="K48" i="18"/>
  <c r="V47" i="21"/>
  <c r="M47" i="20"/>
  <c r="L47" i="20"/>
  <c r="X47" i="20"/>
  <c r="I50" i="22"/>
  <c r="H50" i="21"/>
  <c r="I50" i="21"/>
  <c r="K50" i="21"/>
  <c r="O50" i="21"/>
  <c r="P50" i="21"/>
  <c r="T50" i="20"/>
  <c r="O50" i="19"/>
  <c r="T50" i="19"/>
  <c r="R50" i="19"/>
  <c r="J52" i="20"/>
  <c r="S52" i="20"/>
  <c r="Q52" i="3"/>
  <c r="K52" i="3"/>
  <c r="Q52" i="20"/>
  <c r="I52" i="20"/>
  <c r="T52" i="20"/>
  <c r="L52" i="20"/>
  <c r="P52" i="20"/>
  <c r="J52" i="3"/>
  <c r="O52" i="3"/>
  <c r="X52" i="3"/>
  <c r="L52" i="3"/>
  <c r="I49" i="22"/>
  <c r="J49" i="23"/>
  <c r="H49" i="23"/>
  <c r="I49" i="21"/>
  <c r="O49" i="21"/>
  <c r="M49" i="21"/>
  <c r="P49" i="21"/>
  <c r="H49" i="21"/>
  <c r="K49" i="21"/>
  <c r="AB49" i="21"/>
  <c r="L49" i="21"/>
  <c r="J49" i="21"/>
  <c r="R49" i="21"/>
  <c r="Q49" i="21"/>
  <c r="S49" i="20"/>
  <c r="Q49" i="20"/>
  <c r="Q49" i="19"/>
  <c r="J49" i="19"/>
  <c r="U49" i="19"/>
  <c r="V49" i="19"/>
  <c r="H49" i="19"/>
  <c r="P49" i="19"/>
  <c r="K49" i="19"/>
  <c r="M49" i="19"/>
  <c r="S49" i="18"/>
  <c r="R49" i="18"/>
  <c r="P49" i="18"/>
  <c r="U49" i="23"/>
  <c r="T49" i="21"/>
  <c r="W49" i="19"/>
  <c r="O49" i="19"/>
  <c r="L49" i="19"/>
  <c r="R49" i="19"/>
  <c r="I49" i="19"/>
  <c r="N49" i="19"/>
  <c r="Q49" i="23"/>
  <c r="S49" i="23"/>
  <c r="M49" i="23"/>
  <c r="AA49" i="23"/>
  <c r="L49" i="23"/>
  <c r="I49" i="23"/>
  <c r="R49" i="23"/>
  <c r="T49" i="23"/>
  <c r="P49" i="23"/>
  <c r="O49" i="23"/>
  <c r="Y49" i="23"/>
  <c r="X49" i="23"/>
  <c r="Z49" i="23"/>
  <c r="N49" i="23"/>
  <c r="N49" i="21"/>
  <c r="X49" i="21"/>
  <c r="Q48" i="21"/>
  <c r="O48" i="21"/>
  <c r="R48" i="21"/>
  <c r="L48" i="21"/>
  <c r="H48" i="21"/>
  <c r="K48" i="21"/>
  <c r="M48" i="22"/>
  <c r="L48" i="22"/>
  <c r="R48" i="19"/>
  <c r="M48" i="19"/>
  <c r="K48" i="19"/>
  <c r="N48" i="19"/>
  <c r="Q48" i="19"/>
  <c r="L48" i="19"/>
  <c r="J48" i="18"/>
  <c r="L48" i="18"/>
  <c r="H48" i="18"/>
  <c r="Q48" i="18"/>
  <c r="R48" i="18"/>
  <c r="AB48" i="3"/>
  <c r="L48" i="3"/>
  <c r="K48" i="3"/>
  <c r="T50" i="23"/>
  <c r="I50" i="23"/>
  <c r="H49" i="3"/>
  <c r="O49" i="3"/>
  <c r="H49" i="18"/>
  <c r="L49" i="22"/>
  <c r="J49" i="20"/>
  <c r="H47" i="3"/>
  <c r="AB50" i="3"/>
  <c r="L50" i="3"/>
  <c r="H46" i="3"/>
  <c r="V50" i="21"/>
  <c r="J48" i="22"/>
  <c r="M50" i="21"/>
  <c r="L50" i="18"/>
  <c r="K50" i="19"/>
  <c r="X50" i="23"/>
  <c r="AA47" i="23"/>
  <c r="X49" i="3"/>
  <c r="AB49" i="3"/>
  <c r="P49" i="3"/>
  <c r="Y49" i="3"/>
  <c r="Z49" i="3"/>
  <c r="J49" i="3"/>
  <c r="M49" i="18"/>
  <c r="M46" i="18"/>
  <c r="N50" i="23"/>
  <c r="H49" i="22"/>
  <c r="T49" i="20"/>
  <c r="O46" i="19"/>
  <c r="P50" i="3"/>
  <c r="N46" i="3"/>
  <c r="T46" i="3"/>
  <c r="L47" i="19"/>
  <c r="Z47" i="23"/>
  <c r="J50" i="19"/>
  <c r="K50" i="20"/>
  <c r="O50" i="23"/>
  <c r="Y50" i="23"/>
  <c r="N49" i="3"/>
  <c r="K49" i="3"/>
  <c r="M49" i="3"/>
  <c r="N49" i="18"/>
  <c r="H49" i="20"/>
  <c r="R50" i="23"/>
  <c r="I49" i="20"/>
  <c r="O46" i="20"/>
  <c r="I48" i="19"/>
  <c r="K49" i="20"/>
  <c r="O50" i="3"/>
  <c r="P50" i="20"/>
  <c r="M50" i="18"/>
  <c r="Y50" i="21"/>
  <c r="L47" i="21"/>
  <c r="W47" i="19"/>
  <c r="U50" i="20"/>
  <c r="L50" i="23"/>
  <c r="I47" i="23"/>
  <c r="T49" i="3"/>
  <c r="J49" i="18"/>
  <c r="J50" i="23"/>
  <c r="K46" i="19"/>
  <c r="U49" i="20"/>
  <c r="R50" i="21"/>
  <c r="J50" i="20"/>
  <c r="N50" i="22"/>
  <c r="Q50" i="20"/>
  <c r="L47" i="22"/>
  <c r="H46" i="22"/>
  <c r="M47" i="19"/>
  <c r="H47" i="22"/>
  <c r="H50" i="20"/>
  <c r="AA50" i="23"/>
  <c r="I49" i="3"/>
  <c r="Q49" i="18"/>
  <c r="N49" i="20"/>
  <c r="U50" i="23"/>
  <c r="Z50" i="3"/>
  <c r="P46" i="3"/>
  <c r="M50" i="23"/>
  <c r="H50" i="22"/>
  <c r="M52" i="22"/>
  <c r="L46" i="22"/>
  <c r="K49" i="18"/>
  <c r="T48" i="19"/>
  <c r="P49" i="20"/>
  <c r="L49" i="20"/>
  <c r="Y50" i="3"/>
  <c r="L46" i="3"/>
  <c r="Q50" i="23"/>
  <c r="H50" i="23"/>
  <c r="Q49" i="3"/>
  <c r="R49" i="3"/>
  <c r="L49" i="18"/>
  <c r="J49" i="22"/>
  <c r="K50" i="3"/>
  <c r="M49" i="20"/>
  <c r="O49" i="20"/>
  <c r="T50" i="3"/>
  <c r="O46" i="3"/>
  <c r="X46" i="3"/>
  <c r="N48" i="22"/>
  <c r="M50" i="20"/>
  <c r="L50" i="19"/>
  <c r="N50" i="20"/>
  <c r="Q50" i="18"/>
  <c r="H50" i="19"/>
  <c r="H46" i="23"/>
  <c r="J47" i="21"/>
  <c r="Z50" i="23"/>
  <c r="P50" i="23"/>
  <c r="AB47" i="23"/>
  <c r="L49" i="3"/>
  <c r="I49" i="18"/>
  <c r="L46" i="18"/>
  <c r="M49" i="22"/>
  <c r="S50" i="23"/>
  <c r="R49" i="20"/>
  <c r="Q46" i="3"/>
  <c r="X50" i="3"/>
  <c r="R50" i="3"/>
  <c r="P47" i="3"/>
  <c r="I48" i="22"/>
  <c r="I48" i="21"/>
  <c r="J48" i="21"/>
  <c r="X48" i="23"/>
  <c r="N48" i="23"/>
  <c r="H48" i="23"/>
  <c r="I48" i="23"/>
  <c r="T48" i="20"/>
  <c r="S48" i="20"/>
  <c r="K48" i="20"/>
  <c r="M48" i="20"/>
  <c r="J48" i="20"/>
  <c r="U48" i="20"/>
  <c r="H48" i="20"/>
  <c r="P48" i="20"/>
  <c r="L48" i="20"/>
  <c r="N48" i="20"/>
  <c r="I48" i="20"/>
  <c r="Q48" i="20"/>
  <c r="R48" i="20"/>
  <c r="M47" i="23"/>
  <c r="Y47" i="23"/>
  <c r="T47" i="23"/>
  <c r="U47" i="23"/>
  <c r="Q47" i="23"/>
  <c r="P47" i="23"/>
  <c r="O47" i="23"/>
  <c r="R47" i="23"/>
  <c r="L47" i="23"/>
  <c r="K47" i="23"/>
  <c r="S47" i="23"/>
  <c r="X47" i="23"/>
  <c r="N47" i="23"/>
  <c r="H47" i="23"/>
  <c r="J47" i="23"/>
  <c r="N47" i="22"/>
  <c r="I47" i="22"/>
  <c r="K47" i="22"/>
  <c r="J47" i="22"/>
  <c r="M47" i="22"/>
  <c r="H47" i="21"/>
  <c r="K47" i="21"/>
  <c r="P47" i="21"/>
  <c r="R47" i="21"/>
  <c r="Y47" i="21"/>
  <c r="Q47" i="21"/>
  <c r="I47" i="21"/>
  <c r="AB47" i="21"/>
  <c r="U47" i="20"/>
  <c r="I47" i="19"/>
  <c r="P47" i="19"/>
  <c r="J47" i="19"/>
  <c r="O47" i="19"/>
  <c r="H47" i="19"/>
  <c r="N47" i="19"/>
  <c r="U47" i="19"/>
  <c r="R47" i="19"/>
  <c r="V47" i="19"/>
  <c r="Q47" i="19"/>
  <c r="K47" i="19"/>
  <c r="T47" i="19"/>
  <c r="S47" i="18"/>
  <c r="L47" i="18"/>
  <c r="I47" i="18"/>
  <c r="M47" i="18"/>
  <c r="O47" i="21"/>
  <c r="X47" i="21"/>
  <c r="S47" i="19"/>
  <c r="J47" i="18"/>
  <c r="N47" i="18"/>
  <c r="H47" i="18"/>
  <c r="N50" i="18"/>
  <c r="K50" i="18"/>
  <c r="T50" i="18"/>
  <c r="I50" i="18"/>
  <c r="P50" i="18"/>
  <c r="S50" i="18"/>
  <c r="J52" i="22"/>
  <c r="Q52" i="21"/>
  <c r="L52" i="21"/>
  <c r="K52" i="21"/>
  <c r="H52" i="21"/>
  <c r="N52" i="21"/>
  <c r="M52" i="21"/>
  <c r="T52" i="21"/>
  <c r="I52" i="21"/>
  <c r="J52" i="21"/>
  <c r="P52" i="21"/>
  <c r="Y52" i="21"/>
  <c r="R52" i="21"/>
  <c r="O52" i="21"/>
  <c r="T52" i="23"/>
  <c r="M52" i="23"/>
  <c r="Y52" i="23"/>
  <c r="R52" i="23"/>
  <c r="AA52" i="23"/>
  <c r="X52" i="23"/>
  <c r="H52" i="23"/>
  <c r="P52" i="23"/>
  <c r="L52" i="23"/>
  <c r="I52" i="23"/>
  <c r="Q52" i="23"/>
  <c r="O52" i="23"/>
  <c r="U52" i="23"/>
  <c r="N52" i="23"/>
  <c r="Z52" i="23"/>
  <c r="J52" i="23"/>
  <c r="X52" i="21"/>
  <c r="L52" i="19"/>
  <c r="Q52" i="18"/>
  <c r="H52" i="22"/>
  <c r="I52" i="22"/>
  <c r="L52" i="22"/>
  <c r="P52" i="19"/>
  <c r="H52" i="19"/>
  <c r="N52" i="19"/>
  <c r="O52" i="19"/>
  <c r="M52" i="19"/>
  <c r="I52" i="19"/>
  <c r="J52" i="19"/>
  <c r="K52" i="19"/>
  <c r="R52" i="19"/>
  <c r="Q52" i="19"/>
  <c r="R52" i="18"/>
  <c r="K52" i="18"/>
  <c r="I52" i="18"/>
  <c r="M52" i="18"/>
  <c r="S52" i="18"/>
  <c r="P52" i="18"/>
  <c r="J52" i="18"/>
  <c r="L52" i="18"/>
  <c r="N52" i="18"/>
  <c r="Y52" i="3"/>
  <c r="H52" i="18"/>
  <c r="M52" i="20"/>
  <c r="H52" i="20"/>
  <c r="Y5" i="3"/>
  <c r="H5" i="3"/>
  <c r="X5" i="3"/>
  <c r="L5" i="3"/>
  <c r="T5" i="3"/>
  <c r="N5" i="3"/>
  <c r="J5" i="3"/>
  <c r="Q5" i="3"/>
  <c r="I5" i="3"/>
  <c r="O5" i="3"/>
  <c r="K5" i="3"/>
  <c r="M5" i="3"/>
  <c r="P5" i="3"/>
  <c r="K36" i="10"/>
  <c r="AU68" i="3" s="1"/>
  <c r="K13" i="10"/>
  <c r="X68" i="3" s="1"/>
  <c r="K48" i="10"/>
  <c r="BG68" i="3" s="1"/>
  <c r="K51" i="10"/>
  <c r="BJ68" i="3" s="1"/>
  <c r="K14" i="10"/>
  <c r="Y68" i="3" s="1"/>
  <c r="K21" i="10"/>
  <c r="AF68" i="3" s="1"/>
  <c r="K7" i="10"/>
  <c r="R68" i="3" s="1"/>
  <c r="K59" i="10"/>
  <c r="BR68" i="3" s="1"/>
  <c r="K17" i="10"/>
  <c r="AB68" i="3" s="1"/>
  <c r="K40" i="10"/>
  <c r="AY68" i="3" s="1"/>
  <c r="K8" i="10"/>
  <c r="S68" i="3" s="1"/>
  <c r="K6" i="10"/>
  <c r="Q68" i="3" s="1"/>
  <c r="K45" i="10"/>
  <c r="BD68" i="3" s="1"/>
  <c r="K35" i="10"/>
  <c r="AT68" i="3" s="1"/>
  <c r="K33" i="10"/>
  <c r="AR68" i="3" s="1"/>
  <c r="K29" i="10"/>
  <c r="AN68" i="3" s="1"/>
  <c r="K60" i="10"/>
  <c r="BS68" i="3" s="1"/>
  <c r="K54" i="10"/>
  <c r="BM68" i="3" s="1"/>
  <c r="K55" i="10"/>
  <c r="BN68" i="3" s="1"/>
  <c r="K42" i="10"/>
  <c r="BA68" i="3" s="1"/>
  <c r="K50" i="10"/>
  <c r="BI68" i="3" s="1"/>
  <c r="K32" i="10"/>
  <c r="AQ68" i="3" s="1"/>
  <c r="K62" i="10"/>
  <c r="BU68" i="3" s="1"/>
  <c r="K22" i="10"/>
  <c r="AG68" i="3" s="1"/>
  <c r="K16" i="10"/>
  <c r="AA68" i="3" s="1"/>
  <c r="K24" i="10"/>
  <c r="AI68" i="3" s="1"/>
  <c r="K28" i="10"/>
  <c r="AM68" i="3" s="1"/>
  <c r="K37" i="10"/>
  <c r="AV68" i="3" s="1"/>
  <c r="K18" i="10"/>
  <c r="AC68" i="3" s="1"/>
  <c r="K26" i="10"/>
  <c r="AK68" i="3" s="1"/>
  <c r="C7" i="25"/>
  <c r="K38" i="10"/>
  <c r="AW68" i="3" s="1"/>
  <c r="K10" i="10"/>
  <c r="U68" i="3" s="1"/>
  <c r="K64" i="10"/>
  <c r="BW68" i="3" s="1"/>
  <c r="K20" i="10"/>
  <c r="AE68" i="3" s="1"/>
  <c r="K49" i="10"/>
  <c r="BH68" i="3" s="1"/>
  <c r="K61" i="10"/>
  <c r="BT68" i="3" s="1"/>
  <c r="C71" i="10"/>
  <c r="K34" i="10"/>
  <c r="AS68" i="3" s="1"/>
  <c r="K19" i="10"/>
  <c r="AD68" i="3" s="1"/>
  <c r="K65" i="10"/>
  <c r="K31" i="10"/>
  <c r="AP68" i="3" s="1"/>
  <c r="K9" i="10"/>
  <c r="T68" i="3" s="1"/>
  <c r="K39" i="10"/>
  <c r="AX68" i="3" s="1"/>
  <c r="K46" i="10"/>
  <c r="BE68" i="3" s="1"/>
  <c r="K23" i="10"/>
  <c r="AH68" i="3" s="1"/>
  <c r="K53" i="10"/>
  <c r="BL68" i="3" s="1"/>
  <c r="K63" i="10"/>
  <c r="BV68" i="3" s="1"/>
  <c r="K30" i="10"/>
  <c r="AO68" i="3" s="1"/>
  <c r="K56" i="10"/>
  <c r="BO68" i="3" s="1"/>
  <c r="K15" i="10"/>
  <c r="Z68" i="3" s="1"/>
  <c r="K5" i="10"/>
  <c r="K25" i="10"/>
  <c r="AJ68" i="3" s="1"/>
  <c r="K52" i="10"/>
  <c r="BK68" i="3" s="1"/>
  <c r="K43" i="10"/>
  <c r="BB68" i="3" s="1"/>
  <c r="K11" i="10"/>
  <c r="V68" i="3" s="1"/>
  <c r="M39" i="10"/>
  <c r="AX68" i="19" s="1"/>
  <c r="K58" i="10"/>
  <c r="BQ68" i="3" s="1"/>
  <c r="K12" i="10"/>
  <c r="W68" i="3" s="1"/>
  <c r="K27" i="10"/>
  <c r="AL68" i="3" s="1"/>
  <c r="K44" i="10"/>
  <c r="BC68" i="3" s="1"/>
  <c r="K41" i="10"/>
  <c r="AZ68" i="3" s="1"/>
  <c r="K57" i="10"/>
  <c r="BP68" i="3" s="1"/>
  <c r="T5" i="21"/>
  <c r="K5" i="19"/>
  <c r="M5" i="19"/>
  <c r="K5" i="18"/>
  <c r="H5" i="23"/>
  <c r="M5" i="23"/>
  <c r="O5" i="23"/>
  <c r="P5" i="23"/>
  <c r="L5" i="20"/>
  <c r="Q5" i="19"/>
  <c r="N5" i="19"/>
  <c r="J5" i="19"/>
  <c r="P5" i="19"/>
  <c r="Q5" i="18"/>
  <c r="R5" i="18"/>
  <c r="S5" i="18"/>
  <c r="N5" i="18"/>
  <c r="P5" i="18"/>
  <c r="AG9" i="2"/>
  <c r="E2" i="2"/>
  <c r="T5" i="23"/>
  <c r="Q5" i="23"/>
  <c r="N5" i="23"/>
  <c r="I5" i="19"/>
  <c r="Q5" i="20"/>
  <c r="X5" i="23"/>
  <c r="Y5" i="23"/>
  <c r="M5" i="21"/>
  <c r="P5" i="21"/>
  <c r="N5" i="21"/>
  <c r="X5" i="21"/>
  <c r="I5" i="20"/>
  <c r="L5" i="23"/>
  <c r="Z5" i="23"/>
  <c r="K5" i="21"/>
  <c r="O5" i="21"/>
  <c r="R5" i="21"/>
  <c r="O5" i="20"/>
  <c r="R5" i="20"/>
  <c r="H5" i="20"/>
  <c r="J5" i="20"/>
  <c r="O5" i="19"/>
  <c r="H5" i="19"/>
  <c r="R5" i="19"/>
  <c r="L5" i="19"/>
  <c r="I5" i="18"/>
  <c r="J5" i="18"/>
  <c r="L5" i="18"/>
  <c r="J5" i="21"/>
  <c r="J5" i="22"/>
  <c r="H5" i="22"/>
  <c r="M5" i="22"/>
  <c r="I5" i="23"/>
  <c r="J5" i="23"/>
  <c r="L5" i="22"/>
  <c r="I5" i="22"/>
  <c r="N5" i="20"/>
  <c r="M5" i="18"/>
  <c r="H5" i="18"/>
  <c r="I5" i="21"/>
  <c r="Q5" i="21"/>
  <c r="L5" i="21"/>
  <c r="H5" i="21"/>
  <c r="P5" i="20"/>
  <c r="M5" i="20"/>
  <c r="AJ77" i="2"/>
  <c r="AO59" i="2"/>
  <c r="AQ59" i="2" s="1"/>
  <c r="AK77" i="2"/>
  <c r="AL77" i="2"/>
  <c r="AI77" i="2"/>
  <c r="AH77" i="2"/>
  <c r="AM77" i="2"/>
  <c r="N21" i="10"/>
  <c r="AF68" i="20" s="1"/>
  <c r="N27" i="10"/>
  <c r="AL68" i="20" s="1"/>
  <c r="N22" i="10"/>
  <c r="AG68" i="20" s="1"/>
  <c r="N34" i="10"/>
  <c r="AS68" i="20" s="1"/>
  <c r="N13" i="10"/>
  <c r="X68" i="20" s="1"/>
  <c r="N32" i="10"/>
  <c r="AQ68" i="20" s="1"/>
  <c r="N56" i="10"/>
  <c r="BO68" i="20" s="1"/>
  <c r="N41" i="10"/>
  <c r="AZ68" i="20" s="1"/>
  <c r="N37" i="10"/>
  <c r="AV68" i="20" s="1"/>
  <c r="N52" i="10"/>
  <c r="BK68" i="20" s="1"/>
  <c r="N28" i="10"/>
  <c r="AM68" i="20" s="1"/>
  <c r="N61" i="10"/>
  <c r="BT68" i="20" s="1"/>
  <c r="N14" i="10"/>
  <c r="Y68" i="20" s="1"/>
  <c r="N51" i="10"/>
  <c r="BJ68" i="20" s="1"/>
  <c r="N6" i="10"/>
  <c r="Q68" i="20" s="1"/>
  <c r="P63" i="10"/>
  <c r="BV68" i="22" s="1"/>
  <c r="P6" i="10"/>
  <c r="Q68" i="22" s="1"/>
  <c r="P10" i="10"/>
  <c r="U68" i="22" s="1"/>
  <c r="P55" i="10"/>
  <c r="BN68" i="22" s="1"/>
  <c r="P12" i="10"/>
  <c r="W68" i="22" s="1"/>
  <c r="P61" i="10"/>
  <c r="BT68" i="22" s="1"/>
  <c r="P53" i="10"/>
  <c r="BL68" i="22" s="1"/>
  <c r="P18" i="10"/>
  <c r="AC68" i="22" s="1"/>
  <c r="O26" i="10"/>
  <c r="AK68" i="21" s="1"/>
  <c r="O51" i="10"/>
  <c r="BJ68" i="21" s="1"/>
  <c r="O31" i="10"/>
  <c r="AP68" i="21" s="1"/>
  <c r="O44" i="10"/>
  <c r="BC68" i="21" s="1"/>
  <c r="O63" i="10"/>
  <c r="BV68" i="21" s="1"/>
  <c r="O7" i="10"/>
  <c r="R68" i="21" s="1"/>
  <c r="O35" i="10"/>
  <c r="AT68" i="21" s="1"/>
  <c r="O48" i="10"/>
  <c r="BG68" i="21" s="1"/>
  <c r="O12" i="10"/>
  <c r="W68" i="21" s="1"/>
  <c r="O59" i="10"/>
  <c r="BR68" i="21" s="1"/>
  <c r="O10" i="10"/>
  <c r="U68" i="21" s="1"/>
  <c r="O47" i="10"/>
  <c r="BF68" i="21" s="1"/>
  <c r="O60" i="10"/>
  <c r="BS68" i="21" s="1"/>
  <c r="O14" i="10"/>
  <c r="Y68" i="21" s="1"/>
  <c r="O54" i="10"/>
  <c r="BM68" i="21" s="1"/>
  <c r="O36" i="10"/>
  <c r="AU68" i="21" s="1"/>
  <c r="O30" i="10"/>
  <c r="AO68" i="21" s="1"/>
  <c r="O53" i="10"/>
  <c r="BL68" i="21" s="1"/>
  <c r="O28" i="10"/>
  <c r="AM68" i="21" s="1"/>
  <c r="G7" i="25"/>
  <c r="O9" i="10"/>
  <c r="T68" i="21" s="1"/>
  <c r="O6" i="10"/>
  <c r="Q68" i="21" s="1"/>
  <c r="O38" i="10"/>
  <c r="AW68" i="21" s="1"/>
  <c r="O16" i="10"/>
  <c r="AA68" i="21" s="1"/>
  <c r="O49" i="10"/>
  <c r="BH68" i="21" s="1"/>
  <c r="O37" i="10"/>
  <c r="AV68" i="21" s="1"/>
  <c r="O20" i="10"/>
  <c r="AE68" i="21" s="1"/>
  <c r="O65" i="10"/>
  <c r="O27" i="10"/>
  <c r="AL68" i="21" s="1"/>
  <c r="O25" i="10"/>
  <c r="AJ68" i="21" s="1"/>
  <c r="O17" i="10"/>
  <c r="AB68" i="21" s="1"/>
  <c r="O23" i="10"/>
  <c r="AH68" i="21" s="1"/>
  <c r="O55" i="10"/>
  <c r="BN68" i="21" s="1"/>
  <c r="O22" i="10"/>
  <c r="AG68" i="21" s="1"/>
  <c r="O52" i="10"/>
  <c r="BK68" i="21" s="1"/>
  <c r="O32" i="10"/>
  <c r="AQ68" i="21" s="1"/>
  <c r="O61" i="10"/>
  <c r="BT68" i="21" s="1"/>
  <c r="O21" i="10"/>
  <c r="AF68" i="21" s="1"/>
  <c r="O41" i="10"/>
  <c r="AZ68" i="21" s="1"/>
  <c r="O62" i="10"/>
  <c r="BU68" i="21" s="1"/>
  <c r="O57" i="10"/>
  <c r="BP68" i="21" s="1"/>
  <c r="O8" i="10"/>
  <c r="S68" i="21" s="1"/>
  <c r="O42" i="10"/>
  <c r="BA68" i="21" s="1"/>
  <c r="O18" i="10"/>
  <c r="AC68" i="21" s="1"/>
  <c r="O33" i="10"/>
  <c r="AR68" i="21" s="1"/>
  <c r="O64" i="10"/>
  <c r="BW68" i="21" s="1"/>
  <c r="O11" i="10"/>
  <c r="V68" i="21" s="1"/>
  <c r="O39" i="10"/>
  <c r="AX68" i="21" s="1"/>
  <c r="O50" i="10"/>
  <c r="BI68" i="21" s="1"/>
  <c r="O15" i="10"/>
  <c r="Z68" i="21" s="1"/>
  <c r="O58" i="10"/>
  <c r="BQ68" i="21" s="1"/>
  <c r="O19" i="10"/>
  <c r="AD68" i="21" s="1"/>
  <c r="O46" i="10"/>
  <c r="BE68" i="21" s="1"/>
  <c r="O13" i="10"/>
  <c r="X68" i="21" s="1"/>
  <c r="O45" i="10"/>
  <c r="BD68" i="21" s="1"/>
  <c r="O43" i="10"/>
  <c r="BB68" i="21" s="1"/>
  <c r="O34" i="10"/>
  <c r="AS68" i="21" s="1"/>
  <c r="O40" i="10"/>
  <c r="AY68" i="21" s="1"/>
  <c r="G71" i="10"/>
  <c r="O24" i="10"/>
  <c r="AI68" i="21" s="1"/>
  <c r="L49" i="10"/>
  <c r="BH68" i="18" s="1"/>
  <c r="L30" i="10"/>
  <c r="AO68" i="18" s="1"/>
  <c r="L32" i="10"/>
  <c r="AQ68" i="18" s="1"/>
  <c r="L40" i="10"/>
  <c r="AY68" i="18" s="1"/>
  <c r="L25" i="10"/>
  <c r="AJ68" i="18" s="1"/>
  <c r="L6" i="10"/>
  <c r="Q68" i="18" s="1"/>
  <c r="L24" i="10"/>
  <c r="AI68" i="18" s="1"/>
  <c r="L63" i="10"/>
  <c r="BV68" i="18" s="1"/>
  <c r="L5" i="10"/>
  <c r="L62" i="10"/>
  <c r="BU68" i="18" s="1"/>
  <c r="L26" i="10"/>
  <c r="AK68" i="18" s="1"/>
  <c r="L15" i="10"/>
  <c r="Z68" i="18" s="1"/>
  <c r="L23" i="10"/>
  <c r="AH68" i="18" s="1"/>
  <c r="L36" i="10"/>
  <c r="AU68" i="18" s="1"/>
  <c r="L27" i="10"/>
  <c r="AL68" i="18" s="1"/>
  <c r="L52" i="10"/>
  <c r="BK68" i="18" s="1"/>
  <c r="L11" i="10"/>
  <c r="V68" i="18" s="1"/>
  <c r="L9" i="10"/>
  <c r="T68" i="18" s="1"/>
  <c r="L56" i="10"/>
  <c r="BO68" i="18" s="1"/>
  <c r="L39" i="10"/>
  <c r="AX68" i="18" s="1"/>
  <c r="L31" i="10"/>
  <c r="AP68" i="18" s="1"/>
  <c r="L47" i="10"/>
  <c r="BF68" i="18" s="1"/>
  <c r="L41" i="10"/>
  <c r="AZ68" i="18" s="1"/>
  <c r="L42" i="10"/>
  <c r="BA68" i="18" s="1"/>
  <c r="L10" i="10"/>
  <c r="U68" i="18" s="1"/>
  <c r="L17" i="10"/>
  <c r="AB68" i="18" s="1"/>
  <c r="L54" i="10"/>
  <c r="BM68" i="18" s="1"/>
  <c r="L35" i="10"/>
  <c r="AT68" i="18" s="1"/>
  <c r="L45" i="10"/>
  <c r="BD68" i="18" s="1"/>
  <c r="L65" i="10"/>
  <c r="L59" i="10"/>
  <c r="BR68" i="18" s="1"/>
  <c r="L21" i="10"/>
  <c r="AF68" i="18" s="1"/>
  <c r="L37" i="10"/>
  <c r="AV68" i="18" s="1"/>
  <c r="L64" i="10"/>
  <c r="BW68" i="18" s="1"/>
  <c r="L51" i="10"/>
  <c r="BJ68" i="18" s="1"/>
  <c r="L58" i="10"/>
  <c r="BQ68" i="18" s="1"/>
  <c r="L19" i="10"/>
  <c r="AD68" i="18" s="1"/>
  <c r="L16" i="10"/>
  <c r="AA68" i="18" s="1"/>
  <c r="L44" i="10"/>
  <c r="BC68" i="18" s="1"/>
  <c r="L57" i="10"/>
  <c r="BP68" i="18" s="1"/>
  <c r="L7" i="10"/>
  <c r="R68" i="18" s="1"/>
  <c r="L61" i="10"/>
  <c r="BT68" i="18" s="1"/>
  <c r="L53" i="10"/>
  <c r="BL68" i="18" s="1"/>
  <c r="L60" i="10"/>
  <c r="BS68" i="18" s="1"/>
  <c r="L13" i="10"/>
  <c r="X68" i="18" s="1"/>
  <c r="D71" i="10"/>
  <c r="L12" i="10"/>
  <c r="W68" i="18" s="1"/>
  <c r="L55" i="10"/>
  <c r="BN68" i="18" s="1"/>
  <c r="L20" i="10"/>
  <c r="AE68" i="18" s="1"/>
  <c r="L34" i="10"/>
  <c r="AS68" i="18" s="1"/>
  <c r="L46" i="10"/>
  <c r="BE68" i="18" s="1"/>
  <c r="L8" i="10"/>
  <c r="S68" i="18" s="1"/>
  <c r="L18" i="10"/>
  <c r="AC68" i="18" s="1"/>
  <c r="L43" i="10"/>
  <c r="BB68" i="18" s="1"/>
  <c r="L22" i="10"/>
  <c r="AG68" i="18" s="1"/>
  <c r="L14" i="10"/>
  <c r="Y68" i="18" s="1"/>
  <c r="L33" i="10"/>
  <c r="AR68" i="18" s="1"/>
  <c r="L29" i="10"/>
  <c r="AN68" i="18" s="1"/>
  <c r="L48" i="10"/>
  <c r="BG68" i="18" s="1"/>
  <c r="L38" i="10"/>
  <c r="AW68" i="18" s="1"/>
  <c r="L28" i="10"/>
  <c r="AM68" i="18" s="1"/>
  <c r="D7" i="25"/>
  <c r="E71" i="10"/>
  <c r="M49" i="10"/>
  <c r="BH68" i="19" s="1"/>
  <c r="M36" i="10"/>
  <c r="AU68" i="19" s="1"/>
  <c r="M16" i="10"/>
  <c r="AA68" i="19" s="1"/>
  <c r="M30" i="10"/>
  <c r="AO68" i="19" s="1"/>
  <c r="M19" i="10"/>
  <c r="AD68" i="19" s="1"/>
  <c r="M40" i="10"/>
  <c r="AY68" i="19" s="1"/>
  <c r="M34" i="10"/>
  <c r="AS68" i="19" s="1"/>
  <c r="M23" i="10"/>
  <c r="AH68" i="19" s="1"/>
  <c r="M25" i="10"/>
  <c r="AJ68" i="19" s="1"/>
  <c r="M58" i="10"/>
  <c r="BQ68" i="19" s="1"/>
  <c r="M63" i="10"/>
  <c r="BV68" i="19" s="1"/>
  <c r="M61" i="10"/>
  <c r="BT68" i="19" s="1"/>
  <c r="M13" i="10"/>
  <c r="X68" i="19" s="1"/>
  <c r="M21" i="10"/>
  <c r="AF68" i="19" s="1"/>
  <c r="M53" i="10"/>
  <c r="BL68" i="19" s="1"/>
  <c r="M60" i="10"/>
  <c r="BS68" i="19" s="1"/>
  <c r="M31" i="10"/>
  <c r="AP68" i="19" s="1"/>
  <c r="M10" i="10"/>
  <c r="U68" i="19" s="1"/>
  <c r="M41" i="10"/>
  <c r="AZ68" i="19" s="1"/>
  <c r="M45" i="10"/>
  <c r="BD68" i="19" s="1"/>
  <c r="M22" i="10"/>
  <c r="AG68" i="19" s="1"/>
  <c r="M54" i="10"/>
  <c r="BM68" i="19" s="1"/>
  <c r="M33" i="10"/>
  <c r="AR68" i="19" s="1"/>
  <c r="M44" i="10"/>
  <c r="BC68" i="19" s="1"/>
  <c r="M52" i="10"/>
  <c r="BK68" i="19" s="1"/>
  <c r="M6" i="10"/>
  <c r="Q68" i="19" s="1"/>
  <c r="M38" i="10"/>
  <c r="AW68" i="19" s="1"/>
  <c r="M65" i="10"/>
  <c r="M14" i="10"/>
  <c r="Y68" i="19" s="1"/>
  <c r="M35" i="10"/>
  <c r="AT68" i="19" s="1"/>
  <c r="M55" i="10"/>
  <c r="BN68" i="19" s="1"/>
  <c r="M18" i="10"/>
  <c r="AC68" i="19" s="1"/>
  <c r="M48" i="10"/>
  <c r="BG68" i="19" s="1"/>
  <c r="M12" i="10"/>
  <c r="W68" i="19" s="1"/>
  <c r="M24" i="10"/>
  <c r="AI68" i="19" s="1"/>
  <c r="M50" i="10"/>
  <c r="BI68" i="19" s="1"/>
  <c r="M56" i="10"/>
  <c r="BO68" i="19" s="1"/>
  <c r="M15" i="10"/>
  <c r="Z68" i="19" s="1"/>
  <c r="M46" i="10"/>
  <c r="BE68" i="19" s="1"/>
  <c r="M37" i="10"/>
  <c r="AV68" i="19" s="1"/>
  <c r="M26" i="10"/>
  <c r="AK68" i="19" s="1"/>
  <c r="M7" i="10"/>
  <c r="R68" i="19" s="1"/>
  <c r="M5" i="10"/>
  <c r="M62" i="10"/>
  <c r="BU68" i="19" s="1"/>
  <c r="M32" i="10"/>
  <c r="AQ68" i="19" s="1"/>
  <c r="M20" i="10"/>
  <c r="AE68" i="19" s="1"/>
  <c r="M11" i="10"/>
  <c r="V68" i="19" s="1"/>
  <c r="M59" i="10"/>
  <c r="BR68" i="19" s="1"/>
  <c r="M47" i="10"/>
  <c r="BF68" i="19" s="1"/>
  <c r="M42" i="10"/>
  <c r="BA68" i="19" s="1"/>
  <c r="M17" i="10"/>
  <c r="AB68" i="19" s="1"/>
  <c r="M57" i="10"/>
  <c r="BP68" i="19" s="1"/>
  <c r="M8" i="10"/>
  <c r="S68" i="19" s="1"/>
  <c r="M29" i="10"/>
  <c r="AN68" i="19" s="1"/>
  <c r="E7" i="25"/>
  <c r="M43" i="10"/>
  <c r="BB68" i="19" s="1"/>
  <c r="M64" i="10"/>
  <c r="BW68" i="19" s="1"/>
  <c r="M27" i="10"/>
  <c r="AL68" i="19" s="1"/>
  <c r="M9" i="10"/>
  <c r="T68" i="19" s="1"/>
  <c r="C79" i="2"/>
  <c r="D78" i="2"/>
  <c r="AB46" i="21" l="1"/>
  <c r="W46" i="19"/>
  <c r="U52" i="20"/>
  <c r="U46" i="3"/>
  <c r="R46" i="23"/>
  <c r="X53" i="20"/>
  <c r="R46" i="3"/>
  <c r="K52" i="20"/>
  <c r="U46" i="19"/>
  <c r="R53" i="3"/>
  <c r="S52" i="23"/>
  <c r="S49" i="19"/>
  <c r="K49" i="22"/>
  <c r="T49" i="18"/>
  <c r="K46" i="22"/>
  <c r="S5" i="20"/>
  <c r="T46" i="18"/>
  <c r="U46" i="21"/>
  <c r="O48" i="18"/>
  <c r="O52" i="18"/>
  <c r="K5" i="22"/>
  <c r="V5" i="21"/>
  <c r="V49" i="21"/>
  <c r="AB52" i="21"/>
  <c r="X49" i="20"/>
  <c r="U52" i="21"/>
  <c r="AB5" i="21"/>
  <c r="S5" i="23"/>
  <c r="V46" i="21"/>
  <c r="U48" i="21"/>
  <c r="S46" i="23"/>
  <c r="AB48" i="21"/>
  <c r="K52" i="22"/>
  <c r="V52" i="21"/>
  <c r="X52" i="20"/>
  <c r="O49" i="18"/>
  <c r="S5" i="19"/>
  <c r="U52" i="19"/>
  <c r="AB52" i="23"/>
  <c r="O5" i="10"/>
  <c r="O56" i="10"/>
  <c r="BO68" i="21" s="1"/>
  <c r="AA5" i="23"/>
  <c r="K48" i="22"/>
  <c r="S48" i="23"/>
  <c r="T5" i="20"/>
  <c r="W27" i="21"/>
  <c r="W38" i="21"/>
  <c r="W7" i="21"/>
  <c r="W35" i="21"/>
  <c r="W25" i="21"/>
  <c r="W28" i="21"/>
  <c r="W47" i="21" s="1"/>
  <c r="W42" i="21"/>
  <c r="W10" i="21"/>
  <c r="W31" i="21"/>
  <c r="W11" i="21"/>
  <c r="W40" i="21"/>
  <c r="W24" i="21"/>
  <c r="W29" i="21"/>
  <c r="W18" i="21"/>
  <c r="W37" i="21"/>
  <c r="W39" i="21"/>
  <c r="W30" i="21"/>
  <c r="W50" i="21" s="1"/>
  <c r="W23" i="21"/>
  <c r="W41" i="21"/>
  <c r="W51" i="21" s="1"/>
  <c r="W9" i="21"/>
  <c r="W13" i="21"/>
  <c r="W33" i="21"/>
  <c r="W45" i="21"/>
  <c r="W34" i="21"/>
  <c r="W19" i="21"/>
  <c r="W26" i="21"/>
  <c r="W32" i="21"/>
  <c r="W17" i="21"/>
  <c r="W21" i="21"/>
  <c r="W12" i="21"/>
  <c r="W8" i="21"/>
  <c r="W44" i="21"/>
  <c r="W15" i="21"/>
  <c r="W6" i="21"/>
  <c r="W43" i="21"/>
  <c r="W36" i="21"/>
  <c r="W20" i="21"/>
  <c r="W14" i="21"/>
  <c r="W16" i="21"/>
  <c r="W22" i="21"/>
  <c r="V21" i="23"/>
  <c r="R51" i="3"/>
  <c r="S53" i="23"/>
  <c r="U5" i="21"/>
  <c r="U53" i="23"/>
  <c r="V3" i="23"/>
  <c r="W38" i="23" s="1"/>
  <c r="T5" i="18"/>
  <c r="U7" i="2"/>
  <c r="Y7" i="2" s="1"/>
  <c r="R47" i="3"/>
  <c r="O46" i="18"/>
  <c r="V5" i="20"/>
  <c r="U48" i="3"/>
  <c r="V52" i="19"/>
  <c r="K50" i="23"/>
  <c r="U53" i="3"/>
  <c r="Z53" i="3"/>
  <c r="P51" i="22"/>
  <c r="K53" i="23"/>
  <c r="AB53" i="23"/>
  <c r="N53" i="22"/>
  <c r="W50" i="19"/>
  <c r="U49" i="3"/>
  <c r="K48" i="23"/>
  <c r="N46" i="22"/>
  <c r="P46" i="22"/>
  <c r="N49" i="22"/>
  <c r="W52" i="19"/>
  <c r="P48" i="22"/>
  <c r="S48" i="21"/>
  <c r="T49" i="19"/>
  <c r="S49" i="21"/>
  <c r="AB46" i="3"/>
  <c r="N12" i="10"/>
  <c r="W68" i="20" s="1"/>
  <c r="N11" i="10"/>
  <c r="V68" i="20" s="1"/>
  <c r="N35" i="10"/>
  <c r="AT68" i="20" s="1"/>
  <c r="N8" i="10"/>
  <c r="S68" i="20" s="1"/>
  <c r="N62" i="10"/>
  <c r="BU68" i="20" s="1"/>
  <c r="N10" i="10"/>
  <c r="U68" i="20" s="1"/>
  <c r="N58" i="10"/>
  <c r="BQ68" i="20" s="1"/>
  <c r="N45" i="10"/>
  <c r="BD68" i="20" s="1"/>
  <c r="N9" i="10"/>
  <c r="T68" i="20" s="1"/>
  <c r="N38" i="10"/>
  <c r="AW68" i="20" s="1"/>
  <c r="N23" i="10"/>
  <c r="AH68" i="20" s="1"/>
  <c r="N39" i="10"/>
  <c r="AX68" i="20" s="1"/>
  <c r="N57" i="10"/>
  <c r="BP68" i="20" s="1"/>
  <c r="F7" i="25"/>
  <c r="CF69" i="20" s="1"/>
  <c r="AI69" i="20" s="1"/>
  <c r="N49" i="10"/>
  <c r="BH68" i="20" s="1"/>
  <c r="N65" i="10"/>
  <c r="N36" i="10"/>
  <c r="AU68" i="20" s="1"/>
  <c r="N53" i="10"/>
  <c r="BL68" i="20" s="1"/>
  <c r="N42" i="10"/>
  <c r="BA68" i="20" s="1"/>
  <c r="N25" i="10"/>
  <c r="AJ68" i="20" s="1"/>
  <c r="N26" i="10"/>
  <c r="AK68" i="20" s="1"/>
  <c r="N5" i="10"/>
  <c r="N17" i="10"/>
  <c r="AB68" i="20" s="1"/>
  <c r="R52" i="3"/>
  <c r="P47" i="22"/>
  <c r="N31" i="10"/>
  <c r="AP68" i="20" s="1"/>
  <c r="N15" i="10"/>
  <c r="Z68" i="20" s="1"/>
  <c r="N48" i="10"/>
  <c r="BG68" i="20" s="1"/>
  <c r="N30" i="10"/>
  <c r="AO68" i="20" s="1"/>
  <c r="N50" i="10"/>
  <c r="BI68" i="20" s="1"/>
  <c r="N60" i="10"/>
  <c r="BS68" i="20" s="1"/>
  <c r="N7" i="10"/>
  <c r="R68" i="20" s="1"/>
  <c r="N46" i="10"/>
  <c r="BE68" i="20" s="1"/>
  <c r="T52" i="18"/>
  <c r="N43" i="10"/>
  <c r="BB68" i="20" s="1"/>
  <c r="N55" i="10"/>
  <c r="BN68" i="20" s="1"/>
  <c r="N54" i="10"/>
  <c r="BM68" i="20" s="1"/>
  <c r="N18" i="10"/>
  <c r="AC68" i="20" s="1"/>
  <c r="F71" i="10"/>
  <c r="N29" i="10"/>
  <c r="AN68" i="20" s="1"/>
  <c r="N40" i="10"/>
  <c r="AY68" i="20" s="1"/>
  <c r="N63" i="10"/>
  <c r="BV68" i="20" s="1"/>
  <c r="N44" i="10"/>
  <c r="BC68" i="20" s="1"/>
  <c r="N20" i="10"/>
  <c r="AE68" i="20" s="1"/>
  <c r="N16" i="10"/>
  <c r="AA68" i="20" s="1"/>
  <c r="N47" i="10"/>
  <c r="BF68" i="20" s="1"/>
  <c r="N19" i="10"/>
  <c r="AD68" i="20" s="1"/>
  <c r="N64" i="10"/>
  <c r="BW68" i="20" s="1"/>
  <c r="N33" i="10"/>
  <c r="AR68" i="20" s="1"/>
  <c r="N59" i="10"/>
  <c r="BR68" i="20" s="1"/>
  <c r="Y53" i="21"/>
  <c r="S53" i="20"/>
  <c r="V53" i="20"/>
  <c r="O53" i="18"/>
  <c r="S46" i="21"/>
  <c r="K52" i="23"/>
  <c r="P52" i="22"/>
  <c r="K5" i="23"/>
  <c r="X46" i="20"/>
  <c r="K46" i="23"/>
  <c r="K49" i="23"/>
  <c r="Z52" i="3"/>
  <c r="P50" i="22"/>
  <c r="S52" i="21"/>
  <c r="AB51" i="23"/>
  <c r="S51" i="21"/>
  <c r="AB52" i="3"/>
  <c r="P49" i="22"/>
  <c r="AB49" i="23"/>
  <c r="O5" i="18"/>
  <c r="AB46" i="23"/>
  <c r="P53" i="22"/>
  <c r="Y46" i="21"/>
  <c r="K5" i="20"/>
  <c r="P5" i="22"/>
  <c r="AB5" i="23"/>
  <c r="T5" i="19"/>
  <c r="U52" i="3"/>
  <c r="Z5" i="3"/>
  <c r="Y5" i="21"/>
  <c r="S5" i="21"/>
  <c r="U5" i="19"/>
  <c r="V5" i="19"/>
  <c r="X5" i="20"/>
  <c r="W5" i="19"/>
  <c r="N5" i="22"/>
  <c r="P29" i="10"/>
  <c r="AN68" i="22" s="1"/>
  <c r="P38" i="10"/>
  <c r="AW68" i="22" s="1"/>
  <c r="P7" i="10"/>
  <c r="R68" i="22" s="1"/>
  <c r="P30" i="10"/>
  <c r="AO68" i="22" s="1"/>
  <c r="P25" i="10"/>
  <c r="AJ68" i="22" s="1"/>
  <c r="P43" i="10"/>
  <c r="BB68" i="22" s="1"/>
  <c r="P37" i="10"/>
  <c r="AV68" i="22" s="1"/>
  <c r="P31" i="10"/>
  <c r="AP68" i="22" s="1"/>
  <c r="P36" i="10"/>
  <c r="AU68" i="22" s="1"/>
  <c r="P16" i="10"/>
  <c r="AA68" i="22" s="1"/>
  <c r="P14" i="10"/>
  <c r="Y68" i="22" s="1"/>
  <c r="P15" i="10"/>
  <c r="Z68" i="22" s="1"/>
  <c r="P27" i="10"/>
  <c r="AL68" i="22" s="1"/>
  <c r="P49" i="10"/>
  <c r="BH68" i="22" s="1"/>
  <c r="P44" i="10"/>
  <c r="BC68" i="22" s="1"/>
  <c r="P54" i="10"/>
  <c r="BM68" i="22" s="1"/>
  <c r="P42" i="10"/>
  <c r="BA68" i="22" s="1"/>
  <c r="P23" i="10"/>
  <c r="AH68" i="22" s="1"/>
  <c r="P46" i="10"/>
  <c r="BE68" i="22" s="1"/>
  <c r="P34" i="10"/>
  <c r="AS68" i="22" s="1"/>
  <c r="P19" i="10"/>
  <c r="AD68" i="22" s="1"/>
  <c r="AC3" i="23"/>
  <c r="AC19" i="23"/>
  <c r="AC43" i="23"/>
  <c r="AC45" i="23"/>
  <c r="AC11" i="23"/>
  <c r="AC16" i="23"/>
  <c r="AC34" i="23"/>
  <c r="AC26" i="23"/>
  <c r="AC15" i="23"/>
  <c r="AC17" i="23"/>
  <c r="AC20" i="23"/>
  <c r="AC18" i="23"/>
  <c r="AC21" i="23"/>
  <c r="AC13" i="23"/>
  <c r="AC6" i="23"/>
  <c r="AC7" i="23"/>
  <c r="AC29" i="23"/>
  <c r="AC42" i="23"/>
  <c r="AC8" i="23"/>
  <c r="AC27" i="23"/>
  <c r="AC37" i="23"/>
  <c r="AC39" i="23"/>
  <c r="AC36" i="23"/>
  <c r="AC33" i="23"/>
  <c r="AC41" i="23"/>
  <c r="AC30" i="23"/>
  <c r="AC38" i="23"/>
  <c r="AC9" i="23"/>
  <c r="AC35" i="23"/>
  <c r="AC25" i="23"/>
  <c r="AC32" i="23"/>
  <c r="AC40" i="23"/>
  <c r="AC10" i="23"/>
  <c r="AC14" i="23"/>
  <c r="AC31" i="23"/>
  <c r="AC23" i="23"/>
  <c r="AC44" i="23"/>
  <c r="AC12" i="23"/>
  <c r="AC28" i="23"/>
  <c r="AC22" i="23"/>
  <c r="AC24" i="23"/>
  <c r="H7" i="25"/>
  <c r="CF69" i="22" s="1"/>
  <c r="V69" i="22" s="1"/>
  <c r="P32" i="10"/>
  <c r="AQ68" i="22" s="1"/>
  <c r="P33" i="10"/>
  <c r="AR68" i="22" s="1"/>
  <c r="P59" i="10"/>
  <c r="BR68" i="22" s="1"/>
  <c r="P26" i="10"/>
  <c r="AK68" i="22" s="1"/>
  <c r="P22" i="10"/>
  <c r="AG68" i="22" s="1"/>
  <c r="P21" i="10"/>
  <c r="AF68" i="22" s="1"/>
  <c r="P62" i="10"/>
  <c r="BU68" i="22" s="1"/>
  <c r="P65" i="10"/>
  <c r="AI3" i="23"/>
  <c r="AF3" i="23"/>
  <c r="AF19" i="23"/>
  <c r="AF11" i="23"/>
  <c r="AF17" i="23"/>
  <c r="AF9" i="23"/>
  <c r="AF16" i="23"/>
  <c r="AF45" i="23"/>
  <c r="AF43" i="23"/>
  <c r="AF42" i="23"/>
  <c r="AF20" i="23"/>
  <c r="AF15" i="23"/>
  <c r="AF21" i="23"/>
  <c r="AF41" i="23"/>
  <c r="AF8" i="23"/>
  <c r="AF30" i="23"/>
  <c r="AF26" i="23"/>
  <c r="AF18" i="23"/>
  <c r="AF13" i="23"/>
  <c r="AF7" i="23"/>
  <c r="AF32" i="23"/>
  <c r="AF34" i="23"/>
  <c r="AF6" i="23"/>
  <c r="AF28" i="23"/>
  <c r="AF27" i="23"/>
  <c r="AF40" i="23"/>
  <c r="AF37" i="23"/>
  <c r="AF14" i="23"/>
  <c r="AF38" i="23"/>
  <c r="AF35" i="23"/>
  <c r="AF23" i="23"/>
  <c r="AF10" i="23"/>
  <c r="AF44" i="23"/>
  <c r="AF12" i="23"/>
  <c r="AF31" i="23"/>
  <c r="AF22" i="23"/>
  <c r="AF39" i="23"/>
  <c r="AF36" i="23"/>
  <c r="AF24" i="23"/>
  <c r="AF33" i="23"/>
  <c r="AF29" i="23"/>
  <c r="AF25" i="23"/>
  <c r="U3" i="18"/>
  <c r="U19" i="18"/>
  <c r="U16" i="18"/>
  <c r="U7" i="18"/>
  <c r="U18" i="18"/>
  <c r="U41" i="18"/>
  <c r="U33" i="18"/>
  <c r="U20" i="18"/>
  <c r="U45" i="18"/>
  <c r="U17" i="18"/>
  <c r="U11" i="18"/>
  <c r="U9" i="18"/>
  <c r="U29" i="18"/>
  <c r="U15" i="18"/>
  <c r="U44" i="18"/>
  <c r="U13" i="18"/>
  <c r="U43" i="18"/>
  <c r="U28" i="18"/>
  <c r="U10" i="18"/>
  <c r="U21" i="18"/>
  <c r="U22" i="18"/>
  <c r="U27" i="18"/>
  <c r="U37" i="18"/>
  <c r="U8" i="18"/>
  <c r="U26" i="18"/>
  <c r="U6" i="18"/>
  <c r="U34" i="18"/>
  <c r="U39" i="18"/>
  <c r="U12" i="18"/>
  <c r="U42" i="18"/>
  <c r="U23" i="18"/>
  <c r="U14" i="18"/>
  <c r="U40" i="18"/>
  <c r="U36" i="18"/>
  <c r="U38" i="18"/>
  <c r="U25" i="18"/>
  <c r="U31" i="18"/>
  <c r="U24" i="18"/>
  <c r="U35" i="18"/>
  <c r="U32" i="18"/>
  <c r="U30" i="18"/>
  <c r="P50" i="10"/>
  <c r="BI68" i="22" s="1"/>
  <c r="P20" i="10"/>
  <c r="AE68" i="22" s="1"/>
  <c r="P64" i="10"/>
  <c r="BW68" i="22" s="1"/>
  <c r="P13" i="10"/>
  <c r="X68" i="22" s="1"/>
  <c r="P58" i="10"/>
  <c r="BQ68" i="22" s="1"/>
  <c r="P52" i="10"/>
  <c r="BK68" i="22" s="1"/>
  <c r="P41" i="10"/>
  <c r="AZ68" i="22" s="1"/>
  <c r="P17" i="10"/>
  <c r="AB68" i="22" s="1"/>
  <c r="W3" i="22"/>
  <c r="T3" i="22"/>
  <c r="T20" i="22"/>
  <c r="T42" i="22"/>
  <c r="T22" i="22"/>
  <c r="T25" i="22"/>
  <c r="T21" i="22"/>
  <c r="T17" i="22"/>
  <c r="T45" i="22"/>
  <c r="T19" i="22"/>
  <c r="T31" i="22"/>
  <c r="T18" i="22"/>
  <c r="T16" i="22"/>
  <c r="T12" i="22"/>
  <c r="T9" i="22"/>
  <c r="T7" i="22"/>
  <c r="T33" i="22"/>
  <c r="T34" i="22"/>
  <c r="T11" i="22"/>
  <c r="T8" i="22"/>
  <c r="T23" i="22"/>
  <c r="T44" i="22"/>
  <c r="T29" i="22"/>
  <c r="T32" i="22"/>
  <c r="T41" i="22"/>
  <c r="T37" i="22"/>
  <c r="T13" i="22"/>
  <c r="T24" i="22"/>
  <c r="T38" i="22"/>
  <c r="T40" i="22"/>
  <c r="T28" i="22"/>
  <c r="T15" i="22"/>
  <c r="T14" i="22"/>
  <c r="T27" i="22"/>
  <c r="T39" i="22"/>
  <c r="T10" i="22"/>
  <c r="T26" i="22"/>
  <c r="T36" i="22"/>
  <c r="T30" i="22"/>
  <c r="T50" i="22" s="1"/>
  <c r="T35" i="22"/>
  <c r="T6" i="22"/>
  <c r="T43" i="22"/>
  <c r="V17" i="23"/>
  <c r="V15" i="23"/>
  <c r="V16" i="23"/>
  <c r="V34" i="23"/>
  <c r="V43" i="23"/>
  <c r="V28" i="23"/>
  <c r="V45" i="23"/>
  <c r="V26" i="23"/>
  <c r="V20" i="23"/>
  <c r="V42" i="23"/>
  <c r="V39" i="23"/>
  <c r="V11" i="23"/>
  <c r="V8" i="23"/>
  <c r="V36" i="23"/>
  <c r="V6" i="23"/>
  <c r="V29" i="23"/>
  <c r="V27" i="23"/>
  <c r="V18" i="23"/>
  <c r="V13" i="23"/>
  <c r="V7" i="23"/>
  <c r="V41" i="23"/>
  <c r="V32" i="23"/>
  <c r="V14" i="23"/>
  <c r="V37" i="23"/>
  <c r="V40" i="23"/>
  <c r="V44" i="23"/>
  <c r="V35" i="23"/>
  <c r="V30" i="23"/>
  <c r="V9" i="23"/>
  <c r="V38" i="23"/>
  <c r="V22" i="23"/>
  <c r="V25" i="23"/>
  <c r="V12" i="23"/>
  <c r="V23" i="23"/>
  <c r="V10" i="23"/>
  <c r="V31" i="23"/>
  <c r="V24" i="23"/>
  <c r="V33" i="23"/>
  <c r="AA3" i="18"/>
  <c r="X26" i="18"/>
  <c r="X19" i="18"/>
  <c r="X45" i="18"/>
  <c r="X16" i="18"/>
  <c r="X33" i="18"/>
  <c r="X42" i="18"/>
  <c r="X3" i="18"/>
  <c r="X17" i="18"/>
  <c r="X18" i="18"/>
  <c r="X34" i="18"/>
  <c r="X14" i="18"/>
  <c r="X29" i="18"/>
  <c r="X41" i="18"/>
  <c r="X23" i="18"/>
  <c r="X8" i="18"/>
  <c r="X6" i="18"/>
  <c r="X10" i="18"/>
  <c r="X12" i="18"/>
  <c r="X7" i="18"/>
  <c r="X44" i="18"/>
  <c r="X11" i="18"/>
  <c r="X39" i="18"/>
  <c r="X20" i="18"/>
  <c r="X28" i="18"/>
  <c r="X13" i="18"/>
  <c r="X43" i="18"/>
  <c r="X21" i="18"/>
  <c r="X25" i="18"/>
  <c r="X40" i="18"/>
  <c r="X37" i="18"/>
  <c r="X15" i="18"/>
  <c r="X27" i="18"/>
  <c r="X31" i="18"/>
  <c r="X9" i="18"/>
  <c r="X36" i="18"/>
  <c r="X35" i="18"/>
  <c r="X32" i="18"/>
  <c r="X22" i="18"/>
  <c r="X24" i="18"/>
  <c r="X38" i="18"/>
  <c r="X30" i="18"/>
  <c r="X50" i="18" s="1"/>
  <c r="Q3" i="22"/>
  <c r="Q21" i="22"/>
  <c r="Q16" i="22"/>
  <c r="Q20" i="22"/>
  <c r="Q37" i="22"/>
  <c r="Q25" i="22"/>
  <c r="Q17" i="22"/>
  <c r="Q18" i="22"/>
  <c r="Q45" i="22"/>
  <c r="Q33" i="22"/>
  <c r="Q11" i="22"/>
  <c r="Q26" i="22"/>
  <c r="Q7" i="22"/>
  <c r="Q22" i="22"/>
  <c r="Q19" i="22"/>
  <c r="Q44" i="22"/>
  <c r="Q34" i="22"/>
  <c r="Q29" i="22"/>
  <c r="Q12" i="22"/>
  <c r="Q13" i="22"/>
  <c r="Q28" i="22"/>
  <c r="Q24" i="22"/>
  <c r="Q38" i="22"/>
  <c r="Q9" i="22"/>
  <c r="Q40" i="22"/>
  <c r="Q23" i="22"/>
  <c r="Q8" i="22"/>
  <c r="Q41" i="22"/>
  <c r="Q39" i="22"/>
  <c r="Q15" i="22"/>
  <c r="Q10" i="22"/>
  <c r="Q27" i="22"/>
  <c r="Q30" i="22"/>
  <c r="Q32" i="22"/>
  <c r="Q6" i="22"/>
  <c r="Q43" i="22"/>
  <c r="Q36" i="22"/>
  <c r="Q14" i="22"/>
  <c r="Q35" i="22"/>
  <c r="Q31" i="22"/>
  <c r="Q42" i="22"/>
  <c r="P60" i="10"/>
  <c r="BS68" i="22" s="1"/>
  <c r="P40" i="10"/>
  <c r="AY68" i="22" s="1"/>
  <c r="P57" i="10"/>
  <c r="BP68" i="22" s="1"/>
  <c r="P5" i="10"/>
  <c r="P51" i="10"/>
  <c r="BJ68" i="22" s="1"/>
  <c r="P39" i="10"/>
  <c r="AX68" i="22" s="1"/>
  <c r="P35" i="10"/>
  <c r="AT68" i="22" s="1"/>
  <c r="P48" i="10"/>
  <c r="BG68" i="22" s="1"/>
  <c r="B67" i="10"/>
  <c r="F69" i="10" s="1"/>
  <c r="P56" i="10"/>
  <c r="BO68" i="22" s="1"/>
  <c r="P45" i="10"/>
  <c r="BD68" i="22" s="1"/>
  <c r="P47" i="10"/>
  <c r="BF68" i="22" s="1"/>
  <c r="P8" i="10"/>
  <c r="S68" i="22" s="1"/>
  <c r="P9" i="10"/>
  <c r="T68" i="22" s="1"/>
  <c r="P24" i="10"/>
  <c r="AI68" i="22" s="1"/>
  <c r="P28" i="10"/>
  <c r="AM68" i="22" s="1"/>
  <c r="H71" i="10"/>
  <c r="R5" i="3"/>
  <c r="X17" i="19"/>
  <c r="X38" i="19"/>
  <c r="X21" i="19"/>
  <c r="X45" i="19"/>
  <c r="X11" i="19"/>
  <c r="X16" i="19"/>
  <c r="X27" i="19"/>
  <c r="X30" i="19"/>
  <c r="X6" i="19"/>
  <c r="X42" i="19"/>
  <c r="X34" i="19"/>
  <c r="X7" i="19"/>
  <c r="X22" i="19"/>
  <c r="X26" i="19"/>
  <c r="X43" i="19"/>
  <c r="X15" i="19"/>
  <c r="X8" i="19"/>
  <c r="X10" i="19"/>
  <c r="X14" i="19"/>
  <c r="X29" i="19"/>
  <c r="X13" i="19"/>
  <c r="X32" i="19"/>
  <c r="X28" i="19"/>
  <c r="X12" i="19"/>
  <c r="X39" i="19"/>
  <c r="X20" i="19"/>
  <c r="X9" i="19"/>
  <c r="X25" i="19"/>
  <c r="X23" i="19"/>
  <c r="X37" i="19"/>
  <c r="X41" i="19"/>
  <c r="X24" i="19"/>
  <c r="X44" i="19"/>
  <c r="X33" i="19"/>
  <c r="X40" i="19"/>
  <c r="X18" i="19"/>
  <c r="X36" i="19"/>
  <c r="X31" i="19"/>
  <c r="X35" i="19"/>
  <c r="U5" i="3"/>
  <c r="AL60" i="2"/>
  <c r="H9" i="25" s="1"/>
  <c r="AK60" i="2"/>
  <c r="G9" i="25" s="1"/>
  <c r="G11" i="25" s="1"/>
  <c r="AK7" i="2" s="1"/>
  <c r="AN56" i="2"/>
  <c r="AK74" i="2" s="1"/>
  <c r="M28" i="10"/>
  <c r="AM68" i="19" s="1"/>
  <c r="AI60" i="2"/>
  <c r="E9" i="25" s="1"/>
  <c r="E11" i="25" s="1"/>
  <c r="AI7" i="2" s="1"/>
  <c r="AN53" i="2"/>
  <c r="AG71" i="2" s="1"/>
  <c r="AN51" i="2"/>
  <c r="AK69" i="2" s="1"/>
  <c r="AH60" i="2"/>
  <c r="D9" i="25" s="1"/>
  <c r="D11" i="25" s="1"/>
  <c r="AH7" i="2" s="1"/>
  <c r="AJ60" i="2"/>
  <c r="F9" i="25" s="1"/>
  <c r="F11" i="25" s="1"/>
  <c r="AJ7" i="2" s="1"/>
  <c r="AN58" i="2"/>
  <c r="AM76" i="2" s="1"/>
  <c r="AN54" i="2"/>
  <c r="AL72" i="2" s="1"/>
  <c r="AN52" i="2"/>
  <c r="AK70" i="2" s="1"/>
  <c r="AN57" i="2"/>
  <c r="AO57" i="2" s="1"/>
  <c r="AQ57" i="2" s="1"/>
  <c r="AM60" i="2"/>
  <c r="I9" i="25" s="1"/>
  <c r="AN55" i="2"/>
  <c r="AG73" i="2" s="1"/>
  <c r="AG60" i="2"/>
  <c r="C9" i="25" s="1"/>
  <c r="C11" i="25" s="1"/>
  <c r="AG7" i="2" s="1"/>
  <c r="Z46" i="3"/>
  <c r="AB5" i="3"/>
  <c r="Q61" i="10"/>
  <c r="BT68" i="23" s="1"/>
  <c r="Q51" i="10"/>
  <c r="BJ68" i="23" s="1"/>
  <c r="Q45" i="10"/>
  <c r="BD68" i="23" s="1"/>
  <c r="Q60" i="10"/>
  <c r="BS68" i="23" s="1"/>
  <c r="Q42" i="10"/>
  <c r="BA68" i="23" s="1"/>
  <c r="Q47" i="10"/>
  <c r="BF68" i="23" s="1"/>
  <c r="I71" i="10"/>
  <c r="Q9" i="10"/>
  <c r="T68" i="23" s="1"/>
  <c r="Q37" i="10"/>
  <c r="AV68" i="23" s="1"/>
  <c r="Q17" i="10"/>
  <c r="AB68" i="23" s="1"/>
  <c r="Q22" i="10"/>
  <c r="AG68" i="23" s="1"/>
  <c r="Q30" i="10"/>
  <c r="AO68" i="23" s="1"/>
  <c r="Q18" i="10"/>
  <c r="AC68" i="23" s="1"/>
  <c r="Q35" i="10"/>
  <c r="AT68" i="23" s="1"/>
  <c r="Q65" i="10"/>
  <c r="Q29" i="10"/>
  <c r="AN68" i="23" s="1"/>
  <c r="Q64" i="10"/>
  <c r="BW68" i="23" s="1"/>
  <c r="Q38" i="10"/>
  <c r="AW68" i="23" s="1"/>
  <c r="Q31" i="10"/>
  <c r="AP68" i="23" s="1"/>
  <c r="Q15" i="10"/>
  <c r="Z68" i="23" s="1"/>
  <c r="Q44" i="10"/>
  <c r="BC68" i="23" s="1"/>
  <c r="Q49" i="10"/>
  <c r="BH68" i="23" s="1"/>
  <c r="Q7" i="10"/>
  <c r="R68" i="23" s="1"/>
  <c r="Q43" i="10"/>
  <c r="BB68" i="23" s="1"/>
  <c r="Q39" i="10"/>
  <c r="AX68" i="23" s="1"/>
  <c r="Q8" i="10"/>
  <c r="S68" i="23" s="1"/>
  <c r="Q23" i="10"/>
  <c r="AH68" i="23" s="1"/>
  <c r="Q27" i="10"/>
  <c r="AL68" i="23" s="1"/>
  <c r="Q52" i="10"/>
  <c r="BK68" i="23" s="1"/>
  <c r="Q26" i="10"/>
  <c r="AK68" i="23" s="1"/>
  <c r="Q13" i="10"/>
  <c r="X68" i="23" s="1"/>
  <c r="Q32" i="10"/>
  <c r="AQ68" i="23" s="1"/>
  <c r="Q40" i="10"/>
  <c r="AY68" i="23" s="1"/>
  <c r="Q16" i="10"/>
  <c r="AA68" i="23" s="1"/>
  <c r="Q53" i="10"/>
  <c r="BL68" i="23" s="1"/>
  <c r="Q62" i="10"/>
  <c r="BU68" i="23" s="1"/>
  <c r="I7" i="25"/>
  <c r="Q58" i="10"/>
  <c r="BQ68" i="23" s="1"/>
  <c r="Q28" i="10"/>
  <c r="AM68" i="23" s="1"/>
  <c r="Q50" i="10"/>
  <c r="BI68" i="23" s="1"/>
  <c r="Q21" i="10"/>
  <c r="AF68" i="23" s="1"/>
  <c r="Q56" i="10"/>
  <c r="BO68" i="23" s="1"/>
  <c r="Q10" i="10"/>
  <c r="U68" i="23" s="1"/>
  <c r="Q48" i="10"/>
  <c r="BG68" i="23" s="1"/>
  <c r="Q24" i="10"/>
  <c r="AI68" i="23" s="1"/>
  <c r="Q19" i="10"/>
  <c r="AD68" i="23" s="1"/>
  <c r="Q34" i="10"/>
  <c r="AS68" i="23" s="1"/>
  <c r="Q54" i="10"/>
  <c r="BM68" i="23" s="1"/>
  <c r="Q55" i="10"/>
  <c r="BN68" i="23" s="1"/>
  <c r="Q46" i="10"/>
  <c r="BE68" i="23" s="1"/>
  <c r="Q63" i="10"/>
  <c r="BV68" i="23" s="1"/>
  <c r="Q12" i="10"/>
  <c r="W68" i="23" s="1"/>
  <c r="Q14" i="10"/>
  <c r="Y68" i="23" s="1"/>
  <c r="Q6" i="10"/>
  <c r="Q68" i="23" s="1"/>
  <c r="Q59" i="10"/>
  <c r="BR68" i="23" s="1"/>
  <c r="Q11" i="10"/>
  <c r="V68" i="23" s="1"/>
  <c r="Q41" i="10"/>
  <c r="AZ68" i="23" s="1"/>
  <c r="Q25" i="10"/>
  <c r="AJ68" i="23" s="1"/>
  <c r="Q20" i="10"/>
  <c r="AE68" i="23" s="1"/>
  <c r="Q5" i="10"/>
  <c r="Q36" i="10"/>
  <c r="AU68" i="23" s="1"/>
  <c r="Q57" i="10"/>
  <c r="BP68" i="23" s="1"/>
  <c r="S12" i="3"/>
  <c r="S16" i="3"/>
  <c r="S20" i="3"/>
  <c r="S8" i="3"/>
  <c r="S21" i="3"/>
  <c r="S24" i="3"/>
  <c r="S17" i="3"/>
  <c r="S28" i="3"/>
  <c r="S43" i="3"/>
  <c r="S9" i="3"/>
  <c r="S31" i="3"/>
  <c r="S29" i="3"/>
  <c r="S45" i="3"/>
  <c r="S11" i="3"/>
  <c r="S19" i="3"/>
  <c r="S39" i="3"/>
  <c r="S18" i="3"/>
  <c r="S10" i="3"/>
  <c r="S35" i="3"/>
  <c r="S6" i="3"/>
  <c r="S13" i="3"/>
  <c r="S36" i="3"/>
  <c r="S7" i="3"/>
  <c r="S44" i="3"/>
  <c r="S15" i="3"/>
  <c r="S40" i="3"/>
  <c r="S14" i="3"/>
  <c r="S32" i="3"/>
  <c r="S23" i="3"/>
  <c r="S27" i="3"/>
  <c r="S42" i="3"/>
  <c r="S38" i="3"/>
  <c r="S30" i="3"/>
  <c r="S26" i="3"/>
  <c r="S25" i="3"/>
  <c r="S22" i="3"/>
  <c r="S41" i="3"/>
  <c r="S37" i="3"/>
  <c r="S34" i="3"/>
  <c r="S33" i="3"/>
  <c r="V12" i="3"/>
  <c r="V3" i="3"/>
  <c r="V8" i="3"/>
  <c r="V20" i="3"/>
  <c r="V16" i="3"/>
  <c r="V24" i="3"/>
  <c r="V18" i="3"/>
  <c r="V36" i="3"/>
  <c r="V14" i="3"/>
  <c r="V17" i="3"/>
  <c r="V9" i="3"/>
  <c r="V45" i="3"/>
  <c r="V6" i="3"/>
  <c r="V19" i="3"/>
  <c r="V39" i="3"/>
  <c r="V13" i="3"/>
  <c r="V21" i="3"/>
  <c r="V35" i="3"/>
  <c r="V37" i="3"/>
  <c r="V11" i="3"/>
  <c r="V28" i="3"/>
  <c r="V10" i="3"/>
  <c r="V15" i="3"/>
  <c r="V43" i="3"/>
  <c r="V44" i="3"/>
  <c r="V40" i="3"/>
  <c r="V23" i="3"/>
  <c r="V31" i="3"/>
  <c r="V42" i="3"/>
  <c r="V32" i="3"/>
  <c r="V27" i="3"/>
  <c r="V7" i="3"/>
  <c r="V22" i="3"/>
  <c r="V38" i="3"/>
  <c r="V34" i="3"/>
  <c r="V30" i="3"/>
  <c r="V26" i="3"/>
  <c r="V25" i="3"/>
  <c r="V41" i="3"/>
  <c r="V29" i="3"/>
  <c r="V33" i="3"/>
  <c r="AA20" i="3"/>
  <c r="AA16" i="3"/>
  <c r="AA12" i="3"/>
  <c r="AA8" i="3"/>
  <c r="AA36" i="3"/>
  <c r="AA24" i="3"/>
  <c r="AA11" i="3"/>
  <c r="AA17" i="3"/>
  <c r="AA21" i="3"/>
  <c r="AA18" i="3"/>
  <c r="AA22" i="3"/>
  <c r="AA9" i="3"/>
  <c r="AA31" i="3"/>
  <c r="AA6" i="3"/>
  <c r="AA19" i="3"/>
  <c r="AA13" i="3"/>
  <c r="AA28" i="3"/>
  <c r="AA39" i="3"/>
  <c r="AA35" i="3"/>
  <c r="AA10" i="3"/>
  <c r="AA43" i="3"/>
  <c r="AA32" i="3"/>
  <c r="AA45" i="3"/>
  <c r="AA40" i="3"/>
  <c r="AA14" i="3"/>
  <c r="AA15" i="3"/>
  <c r="AA23" i="3"/>
  <c r="AA44" i="3"/>
  <c r="AA27" i="3"/>
  <c r="AA7" i="3"/>
  <c r="AA41" i="3"/>
  <c r="AA37" i="3"/>
  <c r="AA25" i="3"/>
  <c r="AA33" i="3"/>
  <c r="AA34" i="3"/>
  <c r="AA26" i="3"/>
  <c r="AA38" i="3"/>
  <c r="AA30" i="3"/>
  <c r="AA42" i="3"/>
  <c r="AA29" i="3"/>
  <c r="AB19" i="19"/>
  <c r="AB3" i="19"/>
  <c r="AE3" i="19"/>
  <c r="AB37" i="19"/>
  <c r="AB45" i="19"/>
  <c r="AB15" i="19"/>
  <c r="AB11" i="19"/>
  <c r="AB34" i="19"/>
  <c r="AB17" i="19"/>
  <c r="AB21" i="19"/>
  <c r="AB43" i="19"/>
  <c r="AB16" i="19"/>
  <c r="AB31" i="19"/>
  <c r="AB6" i="19"/>
  <c r="AB27" i="19"/>
  <c r="AB8" i="19"/>
  <c r="AB26" i="19"/>
  <c r="AB33" i="19"/>
  <c r="AB42" i="19"/>
  <c r="AB7" i="19"/>
  <c r="AB13" i="19"/>
  <c r="AB14" i="19"/>
  <c r="AB10" i="19"/>
  <c r="AB29" i="19"/>
  <c r="AB23" i="19"/>
  <c r="AB20" i="19"/>
  <c r="AB12" i="19"/>
  <c r="AB25" i="19"/>
  <c r="AB24" i="19"/>
  <c r="AB32" i="19"/>
  <c r="AB28" i="19"/>
  <c r="AB35" i="19"/>
  <c r="AB44" i="19"/>
  <c r="AB9" i="19"/>
  <c r="AB38" i="19"/>
  <c r="AB36" i="19"/>
  <c r="AB41" i="19"/>
  <c r="AB30" i="19"/>
  <c r="AB39" i="19"/>
  <c r="AB18" i="19"/>
  <c r="AB40" i="19"/>
  <c r="AB22" i="19"/>
  <c r="W35" i="23"/>
  <c r="W32" i="23"/>
  <c r="W26" i="23"/>
  <c r="W18" i="23"/>
  <c r="W7" i="23"/>
  <c r="W15" i="23"/>
  <c r="W13" i="23"/>
  <c r="W28" i="23"/>
  <c r="W24" i="23"/>
  <c r="W25" i="23"/>
  <c r="Y3" i="19"/>
  <c r="Y19" i="19"/>
  <c r="Y21" i="19"/>
  <c r="Y27" i="19"/>
  <c r="Y43" i="19"/>
  <c r="Y34" i="19"/>
  <c r="Y45" i="19"/>
  <c r="Y16" i="19"/>
  <c r="Y11" i="19"/>
  <c r="Y17" i="19"/>
  <c r="Y26" i="19"/>
  <c r="Y6" i="19"/>
  <c r="Y42" i="19"/>
  <c r="Y8" i="19"/>
  <c r="Y13" i="19"/>
  <c r="Y32" i="19"/>
  <c r="Y25" i="19"/>
  <c r="Y10" i="19"/>
  <c r="Y29" i="19"/>
  <c r="Y14" i="19"/>
  <c r="Y28" i="19"/>
  <c r="Y23" i="19"/>
  <c r="Y15" i="19"/>
  <c r="Y7" i="19"/>
  <c r="Y40" i="19"/>
  <c r="Y38" i="19"/>
  <c r="Y44" i="19"/>
  <c r="Y20" i="19"/>
  <c r="Y12" i="19"/>
  <c r="Y18" i="19"/>
  <c r="Y9" i="19"/>
  <c r="Y41" i="19"/>
  <c r="Y36" i="19"/>
  <c r="Y39" i="19"/>
  <c r="Y30" i="19"/>
  <c r="Y37" i="19"/>
  <c r="Y33" i="19"/>
  <c r="Y35" i="19"/>
  <c r="Y24" i="19"/>
  <c r="Y31" i="19"/>
  <c r="Y22" i="19"/>
  <c r="AF3" i="21"/>
  <c r="AI3" i="21"/>
  <c r="AF17" i="21"/>
  <c r="AF34" i="21"/>
  <c r="AF20" i="21"/>
  <c r="AF19" i="21"/>
  <c r="AF21" i="21"/>
  <c r="AF16" i="21"/>
  <c r="AF41" i="21"/>
  <c r="AF45" i="21"/>
  <c r="AF42" i="21"/>
  <c r="AF11" i="21"/>
  <c r="AF28" i="21"/>
  <c r="AF33" i="21"/>
  <c r="AF38" i="21"/>
  <c r="AF9" i="21"/>
  <c r="AF27" i="21"/>
  <c r="AF10" i="21"/>
  <c r="AF30" i="21"/>
  <c r="AF40" i="21"/>
  <c r="AF7" i="21"/>
  <c r="AF12" i="21"/>
  <c r="AF32" i="21"/>
  <c r="AF8" i="21"/>
  <c r="AF6" i="21"/>
  <c r="AF13" i="21"/>
  <c r="AF44" i="21"/>
  <c r="AF14" i="21"/>
  <c r="AF24" i="21"/>
  <c r="AF15" i="21"/>
  <c r="AF26" i="21"/>
  <c r="AF37" i="21"/>
  <c r="AF18" i="21"/>
  <c r="AF22" i="21"/>
  <c r="AF23" i="21"/>
  <c r="AF29" i="21"/>
  <c r="AF36" i="21"/>
  <c r="AF39" i="21"/>
  <c r="AF31" i="21"/>
  <c r="AF35" i="21"/>
  <c r="AF43" i="21"/>
  <c r="AF25" i="21"/>
  <c r="AB3" i="20"/>
  <c r="AE3" i="20"/>
  <c r="AB34" i="20"/>
  <c r="AB17" i="20"/>
  <c r="AB40" i="20"/>
  <c r="AB16" i="20"/>
  <c r="AB45" i="20"/>
  <c r="AB20" i="20"/>
  <c r="AB29" i="20"/>
  <c r="AB19" i="20"/>
  <c r="AB18" i="20"/>
  <c r="AB21" i="20"/>
  <c r="AB8" i="20"/>
  <c r="AB9" i="20"/>
  <c r="AB32" i="20"/>
  <c r="AB14" i="20"/>
  <c r="AB28" i="20"/>
  <c r="AB43" i="20"/>
  <c r="AB31" i="20"/>
  <c r="AB10" i="20"/>
  <c r="AB15" i="20"/>
  <c r="AB42" i="20"/>
  <c r="AB23" i="20"/>
  <c r="AB13" i="20"/>
  <c r="AB30" i="20"/>
  <c r="AB12" i="20"/>
  <c r="AB41" i="20"/>
  <c r="AB22" i="20"/>
  <c r="AB33" i="20"/>
  <c r="AB11" i="20"/>
  <c r="AB7" i="20"/>
  <c r="AB37" i="20"/>
  <c r="AB6" i="20"/>
  <c r="AB35" i="20"/>
  <c r="AB39" i="20"/>
  <c r="AB26" i="20"/>
  <c r="AB44" i="20"/>
  <c r="AB25" i="20"/>
  <c r="AB38" i="20"/>
  <c r="AB24" i="20"/>
  <c r="AB36" i="20"/>
  <c r="AB27" i="20"/>
  <c r="Z3" i="21"/>
  <c r="Z19" i="21"/>
  <c r="Z45" i="21"/>
  <c r="Z7" i="21"/>
  <c r="Z16" i="21"/>
  <c r="Z41" i="21"/>
  <c r="Z20" i="21"/>
  <c r="Z33" i="21"/>
  <c r="Z21" i="21"/>
  <c r="Z17" i="21"/>
  <c r="Z11" i="21"/>
  <c r="Z34" i="21"/>
  <c r="Z32" i="21"/>
  <c r="Z42" i="21"/>
  <c r="Z9" i="21"/>
  <c r="Z13" i="21"/>
  <c r="Z8" i="21"/>
  <c r="Z44" i="21"/>
  <c r="Z30" i="21"/>
  <c r="Z27" i="21"/>
  <c r="Z28" i="21"/>
  <c r="Z24" i="21"/>
  <c r="Z22" i="21"/>
  <c r="Z12" i="21"/>
  <c r="Z6" i="21"/>
  <c r="Z39" i="21"/>
  <c r="Z15" i="21"/>
  <c r="Z40" i="21"/>
  <c r="Z26" i="21"/>
  <c r="Z23" i="21"/>
  <c r="Z35" i="21"/>
  <c r="Z37" i="21"/>
  <c r="Z29" i="21"/>
  <c r="Z10" i="21"/>
  <c r="Z14" i="21"/>
  <c r="Z18" i="21"/>
  <c r="Z31" i="21"/>
  <c r="Z36" i="21"/>
  <c r="Z25" i="21"/>
  <c r="Z43" i="21"/>
  <c r="Z38" i="21"/>
  <c r="AC21" i="21"/>
  <c r="AC3" i="21"/>
  <c r="AC17" i="21"/>
  <c r="AC19" i="21"/>
  <c r="AC11" i="21"/>
  <c r="AC45" i="21"/>
  <c r="AC41" i="21"/>
  <c r="AC20" i="21"/>
  <c r="AC16" i="21"/>
  <c r="AC34" i="21"/>
  <c r="AC9" i="21"/>
  <c r="AC42" i="21"/>
  <c r="AC33" i="21"/>
  <c r="AC28" i="21"/>
  <c r="AC12" i="21"/>
  <c r="AC32" i="21"/>
  <c r="AC44" i="21"/>
  <c r="AC6" i="21"/>
  <c r="AC7" i="21"/>
  <c r="AC30" i="21"/>
  <c r="AC8" i="21"/>
  <c r="AC27" i="21"/>
  <c r="AC13" i="21"/>
  <c r="AC40" i="21"/>
  <c r="AC18" i="21"/>
  <c r="AC39" i="21"/>
  <c r="AC24" i="21"/>
  <c r="AC31" i="21"/>
  <c r="AC22" i="21"/>
  <c r="AC15" i="21"/>
  <c r="AC38" i="21"/>
  <c r="AC26" i="21"/>
  <c r="AC37" i="21"/>
  <c r="AC23" i="21"/>
  <c r="AC35" i="21"/>
  <c r="AC14" i="21"/>
  <c r="AC25" i="21"/>
  <c r="AC43" i="21"/>
  <c r="AC36" i="21"/>
  <c r="AC29" i="21"/>
  <c r="AC10" i="21"/>
  <c r="Y45" i="20"/>
  <c r="Y19" i="20"/>
  <c r="Y3" i="20"/>
  <c r="Y21" i="20"/>
  <c r="Y30" i="20"/>
  <c r="Y16" i="20"/>
  <c r="Y17" i="20"/>
  <c r="Y28" i="20"/>
  <c r="Y34" i="20"/>
  <c r="Y18" i="20"/>
  <c r="Y44" i="20"/>
  <c r="Y29" i="20"/>
  <c r="Y32" i="20"/>
  <c r="Y9" i="20"/>
  <c r="Y24" i="20"/>
  <c r="Y15" i="20"/>
  <c r="Y8" i="20"/>
  <c r="Y12" i="20"/>
  <c r="Y10" i="20"/>
  <c r="Y13" i="20"/>
  <c r="Y33" i="20"/>
  <c r="Y43" i="20"/>
  <c r="Y22" i="20"/>
  <c r="Y25" i="20"/>
  <c r="Y11" i="20"/>
  <c r="Y20" i="20"/>
  <c r="Y39" i="20"/>
  <c r="Y36" i="20"/>
  <c r="Y14" i="20"/>
  <c r="Y37" i="20"/>
  <c r="Y7" i="20"/>
  <c r="Y31" i="20"/>
  <c r="Y35" i="20"/>
  <c r="Y41" i="20"/>
  <c r="Y26" i="20"/>
  <c r="Y40" i="20"/>
  <c r="Y23" i="20"/>
  <c r="Y27" i="20"/>
  <c r="Y38" i="20"/>
  <c r="Y6" i="20"/>
  <c r="Y42" i="20"/>
  <c r="W21" i="20"/>
  <c r="W19" i="20"/>
  <c r="W45" i="20"/>
  <c r="W17" i="20"/>
  <c r="W29" i="20"/>
  <c r="W32" i="20"/>
  <c r="W16" i="20"/>
  <c r="W18" i="20"/>
  <c r="W34" i="20"/>
  <c r="W9" i="20"/>
  <c r="W11" i="20"/>
  <c r="W28" i="20"/>
  <c r="W14" i="20"/>
  <c r="W44" i="20"/>
  <c r="W43" i="20"/>
  <c r="W10" i="20"/>
  <c r="W15" i="20"/>
  <c r="W13" i="20"/>
  <c r="W12" i="20"/>
  <c r="W31" i="20"/>
  <c r="W22" i="20"/>
  <c r="W8" i="20"/>
  <c r="W40" i="20"/>
  <c r="W39" i="20"/>
  <c r="W7" i="20"/>
  <c r="W30" i="20"/>
  <c r="W36" i="20"/>
  <c r="W35" i="20"/>
  <c r="W33" i="20"/>
  <c r="W20" i="20"/>
  <c r="W37" i="20"/>
  <c r="W26" i="20"/>
  <c r="W41" i="20"/>
  <c r="W42" i="20"/>
  <c r="W23" i="20"/>
  <c r="W6" i="20"/>
  <c r="W24" i="20"/>
  <c r="W38" i="20"/>
  <c r="W27" i="20"/>
  <c r="W25" i="20"/>
  <c r="AF3" i="3"/>
  <c r="AF12" i="3"/>
  <c r="AF20" i="3"/>
  <c r="AF16" i="3"/>
  <c r="AI3" i="3"/>
  <c r="AF31" i="3"/>
  <c r="AF41" i="3"/>
  <c r="AF17" i="3"/>
  <c r="AF13" i="3"/>
  <c r="AF6" i="3"/>
  <c r="AF21" i="3"/>
  <c r="AF9" i="3"/>
  <c r="AF45" i="3"/>
  <c r="AF18" i="3"/>
  <c r="AF11" i="3"/>
  <c r="AF8" i="3"/>
  <c r="AF39" i="3"/>
  <c r="AF10" i="3"/>
  <c r="AF40" i="3"/>
  <c r="AF19" i="3"/>
  <c r="AF35" i="3"/>
  <c r="AF28" i="3"/>
  <c r="AF24" i="3"/>
  <c r="AF15" i="3"/>
  <c r="AF44" i="3"/>
  <c r="AF43" i="3"/>
  <c r="AF23" i="3"/>
  <c r="AF36" i="3"/>
  <c r="AF7" i="3"/>
  <c r="AF14" i="3"/>
  <c r="AF32" i="3"/>
  <c r="AF25" i="3"/>
  <c r="AF27" i="3"/>
  <c r="AF33" i="3"/>
  <c r="AF34" i="3"/>
  <c r="AF30" i="3"/>
  <c r="AF29" i="3"/>
  <c r="AF22" i="3"/>
  <c r="AF26" i="3"/>
  <c r="AF42" i="3"/>
  <c r="AF38" i="3"/>
  <c r="AF37" i="3"/>
  <c r="O21" i="22"/>
  <c r="O16" i="22"/>
  <c r="O45" i="22"/>
  <c r="O17" i="22"/>
  <c r="O18" i="22"/>
  <c r="O20" i="22"/>
  <c r="O9" i="22"/>
  <c r="O34" i="22"/>
  <c r="O22" i="22"/>
  <c r="O42" i="22"/>
  <c r="O25" i="22"/>
  <c r="O19" i="22"/>
  <c r="O33" i="22"/>
  <c r="O29" i="22"/>
  <c r="O12" i="22"/>
  <c r="O11" i="22"/>
  <c r="O23" i="22"/>
  <c r="O39" i="22"/>
  <c r="O28" i="22"/>
  <c r="O8" i="22"/>
  <c r="O32" i="22"/>
  <c r="O7" i="22"/>
  <c r="O44" i="22"/>
  <c r="O41" i="22"/>
  <c r="O40" i="22"/>
  <c r="O38" i="22"/>
  <c r="O26" i="22"/>
  <c r="O37" i="22"/>
  <c r="O13" i="22"/>
  <c r="O43" i="22"/>
  <c r="O24" i="22"/>
  <c r="O36" i="22"/>
  <c r="O35" i="22"/>
  <c r="O15" i="22"/>
  <c r="O10" i="22"/>
  <c r="O30" i="22"/>
  <c r="O27" i="22"/>
  <c r="O6" i="22"/>
  <c r="O14" i="22"/>
  <c r="O31" i="22"/>
  <c r="AC19" i="3"/>
  <c r="AC20" i="3"/>
  <c r="AC3" i="3"/>
  <c r="AC8" i="3"/>
  <c r="AC12" i="3"/>
  <c r="AC16" i="3"/>
  <c r="AC24" i="3"/>
  <c r="AC28" i="3"/>
  <c r="AC17" i="3"/>
  <c r="AC13" i="3"/>
  <c r="AC15" i="3"/>
  <c r="AC41" i="3"/>
  <c r="AC23" i="3"/>
  <c r="AC18" i="3"/>
  <c r="AC10" i="3"/>
  <c r="AC21" i="3"/>
  <c r="AC43" i="3"/>
  <c r="AC11" i="3"/>
  <c r="AC45" i="3"/>
  <c r="AC35" i="3"/>
  <c r="AC9" i="3"/>
  <c r="AC40" i="3"/>
  <c r="AC44" i="3"/>
  <c r="AC36" i="3"/>
  <c r="AC39" i="3"/>
  <c r="AC6" i="3"/>
  <c r="AC31" i="3"/>
  <c r="AC27" i="3"/>
  <c r="AC32" i="3"/>
  <c r="AC14" i="3"/>
  <c r="AC7" i="3"/>
  <c r="AC42" i="3"/>
  <c r="AC37" i="3"/>
  <c r="AC29" i="3"/>
  <c r="AC38" i="3"/>
  <c r="AC25" i="3"/>
  <c r="AC34" i="3"/>
  <c r="AC26" i="3"/>
  <c r="AC22" i="3"/>
  <c r="AC33" i="3"/>
  <c r="AC30" i="3"/>
  <c r="P68" i="3"/>
  <c r="K67" i="10"/>
  <c r="C4" i="25"/>
  <c r="CF69" i="3"/>
  <c r="BF69" i="3" s="1"/>
  <c r="O67" i="10"/>
  <c r="P68" i="21"/>
  <c r="F4" i="25"/>
  <c r="P68" i="20"/>
  <c r="CF69" i="18"/>
  <c r="BI69" i="18" s="1"/>
  <c r="D4" i="25"/>
  <c r="P68" i="22"/>
  <c r="G69" i="10"/>
  <c r="U69" i="10"/>
  <c r="X69" i="10"/>
  <c r="Z69" i="10"/>
  <c r="E4" i="25"/>
  <c r="CF69" i="19"/>
  <c r="T69" i="19" s="1"/>
  <c r="M67" i="10"/>
  <c r="P68" i="19"/>
  <c r="L67" i="10"/>
  <c r="P68" i="18"/>
  <c r="G4" i="25"/>
  <c r="CF69" i="21"/>
  <c r="AN69" i="21" s="1"/>
  <c r="C80" i="2"/>
  <c r="D79" i="2"/>
  <c r="S47" i="3" l="1"/>
  <c r="H4" i="25"/>
  <c r="W29" i="23"/>
  <c r="W49" i="21"/>
  <c r="K7" i="25"/>
  <c r="H8" i="25" s="1"/>
  <c r="W23" i="23"/>
  <c r="W44" i="23"/>
  <c r="W11" i="23"/>
  <c r="W48" i="21"/>
  <c r="W36" i="23"/>
  <c r="W43" i="23"/>
  <c r="W6" i="23"/>
  <c r="W33" i="23"/>
  <c r="W17" i="23"/>
  <c r="H11" i="25"/>
  <c r="AL7" i="2" s="1"/>
  <c r="W10" i="23"/>
  <c r="W41" i="23"/>
  <c r="W51" i="23" s="1"/>
  <c r="U8" i="2"/>
  <c r="AK9" i="2" s="1"/>
  <c r="W12" i="23"/>
  <c r="W21" i="23"/>
  <c r="W30" i="23"/>
  <c r="W22" i="23"/>
  <c r="W42" i="23"/>
  <c r="W39" i="23"/>
  <c r="W49" i="23" s="1"/>
  <c r="W20" i="23"/>
  <c r="W53" i="23" s="1"/>
  <c r="W5" i="21"/>
  <c r="W53" i="21"/>
  <c r="W8" i="23"/>
  <c r="Y51" i="19"/>
  <c r="W31" i="23"/>
  <c r="W45" i="23"/>
  <c r="W40" i="23"/>
  <c r="W27" i="23"/>
  <c r="W37" i="23"/>
  <c r="W16" i="23"/>
  <c r="W52" i="21"/>
  <c r="W9" i="23"/>
  <c r="W34" i="23"/>
  <c r="W14" i="23"/>
  <c r="W19" i="23"/>
  <c r="W46" i="21"/>
  <c r="AB51" i="19"/>
  <c r="N67" i="10"/>
  <c r="AF53" i="23"/>
  <c r="AA53" i="3"/>
  <c r="Y47" i="20"/>
  <c r="AC53" i="23"/>
  <c r="X53" i="19"/>
  <c r="X53" i="18"/>
  <c r="U53" i="18"/>
  <c r="V51" i="3"/>
  <c r="AC51" i="3"/>
  <c r="Z51" i="21"/>
  <c r="U50" i="18"/>
  <c r="V46" i="23"/>
  <c r="X46" i="19"/>
  <c r="U48" i="18"/>
  <c r="W51" i="20"/>
  <c r="AF48" i="23"/>
  <c r="AC48" i="23"/>
  <c r="V48" i="23"/>
  <c r="T48" i="22"/>
  <c r="T46" i="22"/>
  <c r="Q46" i="22"/>
  <c r="AF46" i="23"/>
  <c r="T70" i="19"/>
  <c r="Q51" i="22"/>
  <c r="Q47" i="22"/>
  <c r="T51" i="22"/>
  <c r="T47" i="22"/>
  <c r="Y51" i="20"/>
  <c r="AA51" i="3"/>
  <c r="V47" i="3"/>
  <c r="Q50" i="22"/>
  <c r="Q49" i="22"/>
  <c r="V52" i="23"/>
  <c r="AF49" i="23"/>
  <c r="AC46" i="23"/>
  <c r="V51" i="23"/>
  <c r="V47" i="23"/>
  <c r="AC51" i="21"/>
  <c r="AB51" i="20"/>
  <c r="X49" i="19"/>
  <c r="Q53" i="22"/>
  <c r="Q48" i="22"/>
  <c r="V53" i="23"/>
  <c r="T53" i="22"/>
  <c r="T52" i="22"/>
  <c r="AF52" i="23"/>
  <c r="AF51" i="23"/>
  <c r="AF47" i="23"/>
  <c r="O51" i="22"/>
  <c r="W53" i="20"/>
  <c r="S51" i="3"/>
  <c r="X50" i="19"/>
  <c r="Q52" i="22"/>
  <c r="AF50" i="23"/>
  <c r="AC50" i="23"/>
  <c r="AC51" i="23"/>
  <c r="AC47" i="23"/>
  <c r="AF51" i="3"/>
  <c r="AF51" i="21"/>
  <c r="Y49" i="19"/>
  <c r="V50" i="23"/>
  <c r="V49" i="23"/>
  <c r="T49" i="22"/>
  <c r="AC52" i="23"/>
  <c r="AC49" i="23"/>
  <c r="X52" i="19"/>
  <c r="U49" i="18"/>
  <c r="X49" i="18"/>
  <c r="AB50" i="19"/>
  <c r="X51" i="19"/>
  <c r="X47" i="19"/>
  <c r="X51" i="18"/>
  <c r="X47" i="18"/>
  <c r="U51" i="18"/>
  <c r="U47" i="18"/>
  <c r="X48" i="19"/>
  <c r="AB48" i="19"/>
  <c r="X48" i="18"/>
  <c r="X46" i="18"/>
  <c r="U46" i="18"/>
  <c r="X52" i="18"/>
  <c r="U52" i="18"/>
  <c r="S48" i="3"/>
  <c r="V53" i="3"/>
  <c r="AO56" i="2"/>
  <c r="AQ56" i="2" s="1"/>
  <c r="M69" i="10"/>
  <c r="T69" i="10"/>
  <c r="H69" i="10"/>
  <c r="W69" i="10"/>
  <c r="O69" i="10"/>
  <c r="E69" i="10"/>
  <c r="N69" i="10"/>
  <c r="D69" i="10"/>
  <c r="I69" i="10"/>
  <c r="K69" i="10"/>
  <c r="L69" i="10"/>
  <c r="C69" i="10"/>
  <c r="Y69" i="10"/>
  <c r="V69" i="10"/>
  <c r="AJ3" i="23"/>
  <c r="AM3" i="23"/>
  <c r="AJ20" i="23"/>
  <c r="AJ45" i="23"/>
  <c r="AJ41" i="23"/>
  <c r="AJ34" i="23"/>
  <c r="AJ21" i="23"/>
  <c r="AJ42" i="23"/>
  <c r="AJ28" i="23"/>
  <c r="AJ17" i="23"/>
  <c r="AJ16" i="23"/>
  <c r="AJ19" i="23"/>
  <c r="AJ13" i="23"/>
  <c r="AJ7" i="23"/>
  <c r="AJ6" i="23"/>
  <c r="AJ43" i="23"/>
  <c r="AJ14" i="23"/>
  <c r="AJ26" i="23"/>
  <c r="AJ8" i="23"/>
  <c r="AJ32" i="23"/>
  <c r="AJ11" i="23"/>
  <c r="AJ18" i="23"/>
  <c r="AJ27" i="23"/>
  <c r="AJ15" i="23"/>
  <c r="AJ29" i="23"/>
  <c r="AJ39" i="23"/>
  <c r="AJ30" i="23"/>
  <c r="AJ36" i="23"/>
  <c r="AJ37" i="23"/>
  <c r="AJ40" i="23"/>
  <c r="AJ9" i="23"/>
  <c r="AJ31" i="23"/>
  <c r="AJ12" i="23"/>
  <c r="AJ35" i="23"/>
  <c r="AJ22" i="23"/>
  <c r="AJ24" i="23"/>
  <c r="AJ44" i="23"/>
  <c r="AJ25" i="23"/>
  <c r="AJ38" i="23"/>
  <c r="AJ10" i="23"/>
  <c r="AJ23" i="23"/>
  <c r="AJ33" i="23"/>
  <c r="Q5" i="22"/>
  <c r="AF5" i="23"/>
  <c r="AD20" i="23"/>
  <c r="AD42" i="23"/>
  <c r="AD3" i="23"/>
  <c r="AD34" i="23"/>
  <c r="AD19" i="23"/>
  <c r="AD21" i="23"/>
  <c r="AD45" i="23"/>
  <c r="AD18" i="23"/>
  <c r="AD17" i="23"/>
  <c r="AD11" i="23"/>
  <c r="AD8" i="23"/>
  <c r="AD43" i="23"/>
  <c r="AD16" i="23"/>
  <c r="AD26" i="23"/>
  <c r="AD22" i="23"/>
  <c r="AD13" i="23"/>
  <c r="AD15" i="23"/>
  <c r="AD6" i="23"/>
  <c r="AD32" i="23"/>
  <c r="AD40" i="23"/>
  <c r="AD29" i="23"/>
  <c r="AD25" i="23"/>
  <c r="AD30" i="23"/>
  <c r="AD27" i="23"/>
  <c r="AD37" i="23"/>
  <c r="AD35" i="23"/>
  <c r="AD41" i="23"/>
  <c r="AD38" i="23"/>
  <c r="AD7" i="23"/>
  <c r="AD9" i="23"/>
  <c r="AD14" i="23"/>
  <c r="AD44" i="23"/>
  <c r="AD36" i="23"/>
  <c r="AD10" i="23"/>
  <c r="AD23" i="23"/>
  <c r="AD12" i="23"/>
  <c r="AD39" i="23"/>
  <c r="AD24" i="23"/>
  <c r="AD33" i="23"/>
  <c r="AD31" i="23"/>
  <c r="AD28" i="23"/>
  <c r="P67" i="10"/>
  <c r="P69" i="10" s="1"/>
  <c r="R3" i="22"/>
  <c r="R18" i="22"/>
  <c r="R20" i="22"/>
  <c r="R45" i="22"/>
  <c r="R16" i="22"/>
  <c r="R17" i="22"/>
  <c r="R21" i="22"/>
  <c r="R10" i="22"/>
  <c r="R22" i="22"/>
  <c r="R34" i="22"/>
  <c r="R25" i="22"/>
  <c r="R7" i="22"/>
  <c r="R9" i="22"/>
  <c r="R23" i="22"/>
  <c r="R31" i="22"/>
  <c r="R19" i="22"/>
  <c r="R11" i="22"/>
  <c r="R33" i="22"/>
  <c r="R12" i="22"/>
  <c r="R37" i="22"/>
  <c r="R32" i="22"/>
  <c r="R28" i="22"/>
  <c r="R15" i="22"/>
  <c r="R24" i="22"/>
  <c r="R8" i="22"/>
  <c r="R40" i="22"/>
  <c r="R13" i="22"/>
  <c r="R41" i="22"/>
  <c r="R39" i="22"/>
  <c r="R35" i="22"/>
  <c r="R30" i="22"/>
  <c r="R50" i="22" s="1"/>
  <c r="R42" i="22"/>
  <c r="R26" i="22"/>
  <c r="R36" i="22"/>
  <c r="R29" i="22"/>
  <c r="R14" i="22"/>
  <c r="R6" i="22"/>
  <c r="R43" i="22"/>
  <c r="R27" i="22"/>
  <c r="R44" i="22"/>
  <c r="R38" i="22"/>
  <c r="U3" i="22"/>
  <c r="U17" i="22"/>
  <c r="U42" i="22"/>
  <c r="U19" i="22"/>
  <c r="U34" i="22"/>
  <c r="U20" i="22"/>
  <c r="U41" i="22"/>
  <c r="U33" i="22"/>
  <c r="U16" i="22"/>
  <c r="U45" i="22"/>
  <c r="U8" i="22"/>
  <c r="U29" i="22"/>
  <c r="U44" i="22"/>
  <c r="U18" i="22"/>
  <c r="U21" i="22"/>
  <c r="U12" i="22"/>
  <c r="U7" i="22"/>
  <c r="U22" i="22"/>
  <c r="U25" i="22"/>
  <c r="U39" i="22"/>
  <c r="U23" i="22"/>
  <c r="U11" i="22"/>
  <c r="U9" i="22"/>
  <c r="U13" i="22"/>
  <c r="U40" i="22"/>
  <c r="U24" i="22"/>
  <c r="U28" i="22"/>
  <c r="U26" i="22"/>
  <c r="U6" i="22"/>
  <c r="U37" i="22"/>
  <c r="U36" i="22"/>
  <c r="U35" i="22"/>
  <c r="U30" i="22"/>
  <c r="U27" i="22"/>
  <c r="U38" i="22"/>
  <c r="U10" i="22"/>
  <c r="U32" i="22"/>
  <c r="U15" i="22"/>
  <c r="U43" i="22"/>
  <c r="U14" i="22"/>
  <c r="U31" i="22"/>
  <c r="AC5" i="23"/>
  <c r="X5" i="19"/>
  <c r="AC69" i="22"/>
  <c r="X69" i="22"/>
  <c r="X5" i="18"/>
  <c r="AB17" i="18"/>
  <c r="AB11" i="18"/>
  <c r="AB45" i="18"/>
  <c r="AB32" i="18"/>
  <c r="AB3" i="18"/>
  <c r="AB18" i="18"/>
  <c r="AE3" i="18"/>
  <c r="AB20" i="18"/>
  <c r="AB41" i="18"/>
  <c r="AB19" i="18"/>
  <c r="AB16" i="18"/>
  <c r="AB33" i="18"/>
  <c r="AB12" i="18"/>
  <c r="AB15" i="18"/>
  <c r="AB6" i="18"/>
  <c r="AB8" i="18"/>
  <c r="AB28" i="18"/>
  <c r="AB44" i="18"/>
  <c r="AB7" i="18"/>
  <c r="AB9" i="18"/>
  <c r="AB14" i="18"/>
  <c r="AB21" i="18"/>
  <c r="AB26" i="18"/>
  <c r="AB27" i="18"/>
  <c r="AB23" i="18"/>
  <c r="AB29" i="18"/>
  <c r="AB43" i="18"/>
  <c r="AB34" i="18"/>
  <c r="AB13" i="18"/>
  <c r="AB39" i="18"/>
  <c r="AB37" i="18"/>
  <c r="AB35" i="18"/>
  <c r="AB36" i="18"/>
  <c r="AB42" i="18"/>
  <c r="AB40" i="18"/>
  <c r="AB38" i="18"/>
  <c r="AB24" i="18"/>
  <c r="AB25" i="18"/>
  <c r="AB31" i="18"/>
  <c r="AB10" i="18"/>
  <c r="AB22" i="18"/>
  <c r="AB30" i="18"/>
  <c r="V5" i="23"/>
  <c r="T5" i="22"/>
  <c r="AA3" i="22"/>
  <c r="X21" i="22"/>
  <c r="X3" i="22"/>
  <c r="X19" i="22"/>
  <c r="X17" i="22"/>
  <c r="X18" i="22"/>
  <c r="X16" i="22"/>
  <c r="X22" i="22"/>
  <c r="X33" i="22"/>
  <c r="X29" i="22"/>
  <c r="X34" i="22"/>
  <c r="X12" i="22"/>
  <c r="X11" i="22"/>
  <c r="X20" i="22"/>
  <c r="X25" i="22"/>
  <c r="X8" i="22"/>
  <c r="X44" i="22"/>
  <c r="X42" i="22"/>
  <c r="X9" i="22"/>
  <c r="X7" i="22"/>
  <c r="X45" i="22"/>
  <c r="X26" i="22"/>
  <c r="X23" i="22"/>
  <c r="X24" i="22"/>
  <c r="X31" i="22"/>
  <c r="X28" i="22"/>
  <c r="X40" i="22"/>
  <c r="X39" i="22"/>
  <c r="X38" i="22"/>
  <c r="X37" i="22"/>
  <c r="X13" i="22"/>
  <c r="X32" i="22"/>
  <c r="X41" i="22"/>
  <c r="X35" i="22"/>
  <c r="X36" i="22"/>
  <c r="X14" i="22"/>
  <c r="X10" i="22"/>
  <c r="X30" i="22"/>
  <c r="X15" i="22"/>
  <c r="X6" i="22"/>
  <c r="X27" i="22"/>
  <c r="X43" i="22"/>
  <c r="U5" i="18"/>
  <c r="Y19" i="18"/>
  <c r="Y41" i="18"/>
  <c r="Y18" i="18"/>
  <c r="Y11" i="18"/>
  <c r="Y45" i="18"/>
  <c r="Y34" i="18"/>
  <c r="Y17" i="18"/>
  <c r="Y13" i="18"/>
  <c r="Y21" i="18"/>
  <c r="Y12" i="18"/>
  <c r="Y10" i="18"/>
  <c r="Y9" i="18"/>
  <c r="Y44" i="18"/>
  <c r="Y28" i="18"/>
  <c r="Y43" i="18"/>
  <c r="Y20" i="18"/>
  <c r="Y33" i="18"/>
  <c r="Y7" i="18"/>
  <c r="Y37" i="18"/>
  <c r="Y8" i="18"/>
  <c r="Y29" i="18"/>
  <c r="Y26" i="18"/>
  <c r="Y23" i="18"/>
  <c r="Y39" i="18"/>
  <c r="Y35" i="18"/>
  <c r="Y15" i="18"/>
  <c r="Y24" i="18"/>
  <c r="Y27" i="18"/>
  <c r="Y38" i="18"/>
  <c r="Y42" i="18"/>
  <c r="Y25" i="18"/>
  <c r="Y22" i="18"/>
  <c r="Y30" i="18"/>
  <c r="Y6" i="18"/>
  <c r="Y14" i="18"/>
  <c r="Y32" i="18"/>
  <c r="Y31" i="18"/>
  <c r="Y36" i="18"/>
  <c r="Y40" i="18"/>
  <c r="Y3" i="18"/>
  <c r="Y16" i="18"/>
  <c r="V3" i="18"/>
  <c r="V28" i="18"/>
  <c r="V41" i="18"/>
  <c r="V19" i="18"/>
  <c r="V33" i="18"/>
  <c r="V37" i="18"/>
  <c r="V17" i="18"/>
  <c r="V16" i="18"/>
  <c r="V15" i="18"/>
  <c r="V13" i="18"/>
  <c r="V10" i="18"/>
  <c r="V32" i="18"/>
  <c r="V44" i="18"/>
  <c r="V18" i="18"/>
  <c r="V45" i="18"/>
  <c r="V6" i="18"/>
  <c r="V23" i="18"/>
  <c r="V7" i="18"/>
  <c r="V20" i="18"/>
  <c r="V12" i="18"/>
  <c r="V11" i="18"/>
  <c r="V29" i="18"/>
  <c r="V21" i="18"/>
  <c r="V39" i="18"/>
  <c r="V34" i="18"/>
  <c r="V35" i="18"/>
  <c r="V8" i="18"/>
  <c r="V14" i="18"/>
  <c r="V43" i="18"/>
  <c r="V26" i="18"/>
  <c r="V9" i="18"/>
  <c r="V22" i="18"/>
  <c r="V24" i="18"/>
  <c r="V25" i="18"/>
  <c r="V38" i="18"/>
  <c r="V40" i="18"/>
  <c r="V36" i="18"/>
  <c r="V27" i="18"/>
  <c r="V31" i="18"/>
  <c r="V30" i="18"/>
  <c r="V42" i="18"/>
  <c r="AG3" i="23"/>
  <c r="AG19" i="23"/>
  <c r="AG23" i="23"/>
  <c r="AG42" i="23"/>
  <c r="AG6" i="23"/>
  <c r="AG16" i="23"/>
  <c r="AG43" i="23"/>
  <c r="AG45" i="23"/>
  <c r="AG11" i="23"/>
  <c r="AG28" i="23"/>
  <c r="AG21" i="23"/>
  <c r="AG34" i="23"/>
  <c r="AG26" i="23"/>
  <c r="AG18" i="23"/>
  <c r="AG15" i="23"/>
  <c r="AG31" i="23"/>
  <c r="AG25" i="23"/>
  <c r="AG8" i="23"/>
  <c r="AG41" i="23"/>
  <c r="AG20" i="23"/>
  <c r="AG13" i="23"/>
  <c r="AG7" i="23"/>
  <c r="AG35" i="23"/>
  <c r="AG29" i="23"/>
  <c r="AG30" i="23"/>
  <c r="AG27" i="23"/>
  <c r="AG9" i="23"/>
  <c r="AG14" i="23"/>
  <c r="AG32" i="23"/>
  <c r="AG36" i="23"/>
  <c r="AG40" i="23"/>
  <c r="AG17" i="23"/>
  <c r="AG37" i="23"/>
  <c r="AG38" i="23"/>
  <c r="AG39" i="23"/>
  <c r="AG44" i="23"/>
  <c r="AG12" i="23"/>
  <c r="AG22" i="23"/>
  <c r="AG24" i="23"/>
  <c r="AG33" i="23"/>
  <c r="AG10" i="23"/>
  <c r="AK76" i="2"/>
  <c r="AO58" i="2"/>
  <c r="AQ58" i="2" s="1"/>
  <c r="AH76" i="2"/>
  <c r="AJ74" i="2"/>
  <c r="AJ69" i="2"/>
  <c r="AI72" i="2"/>
  <c r="AO54" i="2"/>
  <c r="AQ54" i="2" s="1"/>
  <c r="AL74" i="2"/>
  <c r="AM74" i="2"/>
  <c r="AI74" i="2"/>
  <c r="AH74" i="2"/>
  <c r="AG74" i="2"/>
  <c r="AI69" i="2"/>
  <c r="AM69" i="2"/>
  <c r="AH69" i="2"/>
  <c r="AG69" i="2"/>
  <c r="AL69" i="2"/>
  <c r="AK71" i="2"/>
  <c r="AL71" i="2"/>
  <c r="AO51" i="2"/>
  <c r="AQ51" i="2" s="1"/>
  <c r="AL76" i="2"/>
  <c r="AI76" i="2"/>
  <c r="AG76" i="2"/>
  <c r="AJ76" i="2"/>
  <c r="AJ73" i="2"/>
  <c r="AK75" i="2"/>
  <c r="AJ75" i="2"/>
  <c r="AH75" i="2"/>
  <c r="AI71" i="2"/>
  <c r="AI75" i="2"/>
  <c r="AJ71" i="2"/>
  <c r="AG75" i="2"/>
  <c r="AL75" i="2"/>
  <c r="AH71" i="2"/>
  <c r="AM75" i="2"/>
  <c r="AM71" i="2"/>
  <c r="AO53" i="2"/>
  <c r="AQ53" i="2" s="1"/>
  <c r="AG70" i="2"/>
  <c r="AM70" i="2"/>
  <c r="AL70" i="2"/>
  <c r="AJ72" i="2"/>
  <c r="AJ70" i="2"/>
  <c r="AM72" i="2"/>
  <c r="AH70" i="2"/>
  <c r="AK72" i="2"/>
  <c r="AI70" i="2"/>
  <c r="AH72" i="2"/>
  <c r="AO52" i="2"/>
  <c r="AQ52" i="2" s="1"/>
  <c r="AG72" i="2"/>
  <c r="AJ69" i="22"/>
  <c r="BN69" i="22"/>
  <c r="AB69" i="3"/>
  <c r="AB70" i="3" s="1"/>
  <c r="AP69" i="3"/>
  <c r="AE69" i="22"/>
  <c r="U69" i="3"/>
  <c r="U70" i="3" s="1"/>
  <c r="BV69" i="3"/>
  <c r="V69" i="3"/>
  <c r="BM69" i="3"/>
  <c r="W69" i="22"/>
  <c r="AI69" i="3"/>
  <c r="BT69" i="22"/>
  <c r="BW69" i="3"/>
  <c r="Y69" i="22"/>
  <c r="AL69" i="3"/>
  <c r="I11" i="25"/>
  <c r="AM7" i="2" s="1"/>
  <c r="AA69" i="20"/>
  <c r="P69" i="18"/>
  <c r="P70" i="18" s="1"/>
  <c r="AE69" i="20"/>
  <c r="V69" i="20"/>
  <c r="V70" i="20" s="1"/>
  <c r="Z69" i="20"/>
  <c r="AL69" i="20"/>
  <c r="AL73" i="2"/>
  <c r="AK73" i="2"/>
  <c r="AH73" i="2"/>
  <c r="AM73" i="2"/>
  <c r="AO55" i="2"/>
  <c r="AQ55" i="2" s="1"/>
  <c r="AI73" i="2"/>
  <c r="K9" i="25"/>
  <c r="E10" i="25" s="1"/>
  <c r="AN60" i="2"/>
  <c r="AL78" i="2" s="1"/>
  <c r="W48" i="23"/>
  <c r="O53" i="22"/>
  <c r="S50" i="3"/>
  <c r="AF53" i="3"/>
  <c r="AF50" i="3"/>
  <c r="AC53" i="21"/>
  <c r="AB53" i="19"/>
  <c r="V50" i="3"/>
  <c r="V48" i="3"/>
  <c r="AC53" i="3"/>
  <c r="Y53" i="20"/>
  <c r="Z50" i="21"/>
  <c r="S53" i="3"/>
  <c r="AC47" i="3"/>
  <c r="W48" i="20"/>
  <c r="AF53" i="21"/>
  <c r="Y53" i="19"/>
  <c r="AC50" i="3"/>
  <c r="AC50" i="21"/>
  <c r="AB50" i="20"/>
  <c r="AB48" i="20"/>
  <c r="Z53" i="21"/>
  <c r="AB53" i="20"/>
  <c r="AC48" i="3"/>
  <c r="AF46" i="3"/>
  <c r="S46" i="3"/>
  <c r="BJ69" i="3"/>
  <c r="AY69" i="22"/>
  <c r="P69" i="20"/>
  <c r="P70" i="20" s="1"/>
  <c r="BL69" i="22"/>
  <c r="BE69" i="20"/>
  <c r="Z69" i="18"/>
  <c r="BC69" i="20"/>
  <c r="BV69" i="22"/>
  <c r="BH69" i="18"/>
  <c r="AD69" i="18"/>
  <c r="BJ69" i="20"/>
  <c r="AO69" i="20"/>
  <c r="AT69" i="20"/>
  <c r="U69" i="22"/>
  <c r="BG69" i="20"/>
  <c r="AY69" i="20"/>
  <c r="BR69" i="22"/>
  <c r="AF69" i="22"/>
  <c r="R69" i="22"/>
  <c r="AU69" i="20"/>
  <c r="AO69" i="3"/>
  <c r="AR69" i="3"/>
  <c r="BQ69" i="3"/>
  <c r="W69" i="3"/>
  <c r="AS69" i="3"/>
  <c r="BP69" i="3"/>
  <c r="BL69" i="3"/>
  <c r="BR69" i="20"/>
  <c r="BQ69" i="20"/>
  <c r="BU69" i="20"/>
  <c r="AV69" i="20"/>
  <c r="AR69" i="20"/>
  <c r="AD69" i="20"/>
  <c r="AS69" i="22"/>
  <c r="BI69" i="20"/>
  <c r="AH69" i="20"/>
  <c r="AF69" i="3"/>
  <c r="Q67" i="10"/>
  <c r="Q69" i="10" s="1"/>
  <c r="P68" i="23"/>
  <c r="I4" i="25"/>
  <c r="K4" i="25" s="1"/>
  <c r="B4" i="25" s="1"/>
  <c r="CF69" i="23"/>
  <c r="BF69" i="23" s="1"/>
  <c r="AI69" i="19"/>
  <c r="BO69" i="20"/>
  <c r="AM69" i="22"/>
  <c r="BF69" i="20"/>
  <c r="AI69" i="22"/>
  <c r="S69" i="20"/>
  <c r="S70" i="20" s="1"/>
  <c r="BK69" i="22"/>
  <c r="AN69" i="3"/>
  <c r="AT69" i="3"/>
  <c r="BB69" i="22"/>
  <c r="AD69" i="3"/>
  <c r="BE69" i="3"/>
  <c r="O46" i="22"/>
  <c r="Y46" i="19"/>
  <c r="W46" i="20"/>
  <c r="AU69" i="21"/>
  <c r="Y52" i="19"/>
  <c r="Y5" i="19"/>
  <c r="AB52" i="19"/>
  <c r="AB5" i="19"/>
  <c r="BK69" i="21"/>
  <c r="O5" i="22"/>
  <c r="O52" i="22"/>
  <c r="O47" i="22"/>
  <c r="Z3" i="20"/>
  <c r="Z21" i="20"/>
  <c r="Z29" i="20"/>
  <c r="Z17" i="20"/>
  <c r="Z19" i="20"/>
  <c r="Z18" i="20"/>
  <c r="Z16" i="20"/>
  <c r="Z32" i="20"/>
  <c r="Z9" i="20"/>
  <c r="Z44" i="20"/>
  <c r="Z30" i="20"/>
  <c r="Z45" i="20"/>
  <c r="Z14" i="20"/>
  <c r="Z28" i="20"/>
  <c r="Z8" i="20"/>
  <c r="Z34" i="20"/>
  <c r="Z12" i="20"/>
  <c r="Z10" i="20"/>
  <c r="Z15" i="20"/>
  <c r="Z13" i="20"/>
  <c r="Z43" i="20"/>
  <c r="Z31" i="20"/>
  <c r="Z20" i="20"/>
  <c r="Z39" i="20"/>
  <c r="Z22" i="20"/>
  <c r="Z35" i="20"/>
  <c r="Z36" i="20"/>
  <c r="Z40" i="20"/>
  <c r="Z26" i="20"/>
  <c r="Z37" i="20"/>
  <c r="Z11" i="20"/>
  <c r="Z7" i="20"/>
  <c r="Z42" i="20"/>
  <c r="Z41" i="20"/>
  <c r="Z6" i="20"/>
  <c r="Z24" i="20"/>
  <c r="Z25" i="20"/>
  <c r="Z23" i="20"/>
  <c r="Z33" i="20"/>
  <c r="Z38" i="20"/>
  <c r="Z27" i="20"/>
  <c r="AC49" i="21"/>
  <c r="AA49" i="3"/>
  <c r="Y52" i="20"/>
  <c r="Y5" i="20"/>
  <c r="AC46" i="3"/>
  <c r="AC48" i="21"/>
  <c r="Z47" i="21"/>
  <c r="AB49" i="20"/>
  <c r="W8" i="3"/>
  <c r="W12" i="3"/>
  <c r="W20" i="3"/>
  <c r="W16" i="3"/>
  <c r="W24" i="3"/>
  <c r="W17" i="3"/>
  <c r="W36" i="3"/>
  <c r="W40" i="3"/>
  <c r="W11" i="3"/>
  <c r="W13" i="3"/>
  <c r="W45" i="3"/>
  <c r="W18" i="3"/>
  <c r="W9" i="3"/>
  <c r="W35" i="3"/>
  <c r="W38" i="3"/>
  <c r="W21" i="3"/>
  <c r="W6" i="3"/>
  <c r="W19" i="3"/>
  <c r="W10" i="3"/>
  <c r="W39" i="3"/>
  <c r="W30" i="3"/>
  <c r="W28" i="3"/>
  <c r="W31" i="3"/>
  <c r="W43" i="3"/>
  <c r="W44" i="3"/>
  <c r="W32" i="3"/>
  <c r="W15" i="3"/>
  <c r="W7" i="3"/>
  <c r="W27" i="3"/>
  <c r="W14" i="3"/>
  <c r="W37" i="3"/>
  <c r="W23" i="3"/>
  <c r="W29" i="3"/>
  <c r="W26" i="3"/>
  <c r="W22" i="3"/>
  <c r="W33" i="3"/>
  <c r="W42" i="3"/>
  <c r="W34" i="3"/>
  <c r="W25" i="3"/>
  <c r="W41" i="3"/>
  <c r="AC17" i="20"/>
  <c r="AC3" i="20"/>
  <c r="AC21" i="20"/>
  <c r="AC45" i="20"/>
  <c r="AC19" i="20"/>
  <c r="AC29" i="20"/>
  <c r="AC38" i="20"/>
  <c r="AC16" i="20"/>
  <c r="AC30" i="20"/>
  <c r="AC18" i="20"/>
  <c r="AC9" i="20"/>
  <c r="AC32" i="20"/>
  <c r="AC28" i="20"/>
  <c r="AC24" i="20"/>
  <c r="AC43" i="20"/>
  <c r="AC14" i="20"/>
  <c r="AC26" i="20"/>
  <c r="AC34" i="20"/>
  <c r="AC13" i="20"/>
  <c r="AC12" i="20"/>
  <c r="AC15" i="20"/>
  <c r="AC10" i="20"/>
  <c r="AC41" i="20"/>
  <c r="AC22" i="20"/>
  <c r="AC31" i="20"/>
  <c r="AC37" i="20"/>
  <c r="AC8" i="20"/>
  <c r="AC20" i="20"/>
  <c r="AC36" i="20"/>
  <c r="AC39" i="20"/>
  <c r="AC7" i="20"/>
  <c r="AC40" i="20"/>
  <c r="AC11" i="20"/>
  <c r="AC35" i="20"/>
  <c r="AC6" i="20"/>
  <c r="AC33" i="20"/>
  <c r="AC27" i="20"/>
  <c r="AC25" i="20"/>
  <c r="AC44" i="20"/>
  <c r="AC23" i="20"/>
  <c r="AC42" i="20"/>
  <c r="W49" i="20"/>
  <c r="AF50" i="21"/>
  <c r="AB47" i="19"/>
  <c r="AA46" i="3"/>
  <c r="V52" i="3"/>
  <c r="V5" i="3"/>
  <c r="BK69" i="18"/>
  <c r="BV69" i="20"/>
  <c r="AG69" i="22"/>
  <c r="AJ69" i="18"/>
  <c r="AM69" i="20"/>
  <c r="W69" i="18"/>
  <c r="AF69" i="20"/>
  <c r="BL69" i="20"/>
  <c r="BO69" i="3"/>
  <c r="R69" i="3"/>
  <c r="R70" i="3" s="1"/>
  <c r="AF47" i="3"/>
  <c r="AJ3" i="3"/>
  <c r="AJ20" i="3"/>
  <c r="AM3" i="3"/>
  <c r="AJ8" i="3"/>
  <c r="AJ16" i="3"/>
  <c r="AJ12" i="3"/>
  <c r="AJ41" i="3"/>
  <c r="AJ24" i="3"/>
  <c r="AJ13" i="3"/>
  <c r="AJ9" i="3"/>
  <c r="AJ17" i="3"/>
  <c r="AJ19" i="3"/>
  <c r="AJ14" i="3"/>
  <c r="AJ21" i="3"/>
  <c r="AJ34" i="3"/>
  <c r="AJ11" i="3"/>
  <c r="AJ10" i="3"/>
  <c r="AJ6" i="3"/>
  <c r="AJ42" i="3"/>
  <c r="AJ18" i="3"/>
  <c r="AJ44" i="3"/>
  <c r="AJ43" i="3"/>
  <c r="AJ35" i="3"/>
  <c r="AJ39" i="3"/>
  <c r="AJ28" i="3"/>
  <c r="AJ15" i="3"/>
  <c r="AJ31" i="3"/>
  <c r="AJ40" i="3"/>
  <c r="AJ36" i="3"/>
  <c r="AJ45" i="3"/>
  <c r="AJ27" i="3"/>
  <c r="AJ32" i="3"/>
  <c r="AJ7" i="3"/>
  <c r="AJ23" i="3"/>
  <c r="AJ26" i="3"/>
  <c r="AJ37" i="3"/>
  <c r="AJ30" i="3"/>
  <c r="AJ22" i="3"/>
  <c r="AJ33" i="3"/>
  <c r="AJ29" i="3"/>
  <c r="AJ25" i="3"/>
  <c r="AJ38" i="3"/>
  <c r="AB52" i="20"/>
  <c r="AB5" i="20"/>
  <c r="AF46" i="21"/>
  <c r="AF47" i="21"/>
  <c r="W50" i="23"/>
  <c r="AA50" i="3"/>
  <c r="BQ69" i="21"/>
  <c r="BD69" i="18"/>
  <c r="BE69" i="18"/>
  <c r="AZ69" i="18"/>
  <c r="AF48" i="3"/>
  <c r="Z48" i="21"/>
  <c r="AM3" i="21"/>
  <c r="AJ21" i="21"/>
  <c r="AJ3" i="21"/>
  <c r="AJ34" i="21"/>
  <c r="AJ11" i="21"/>
  <c r="AJ25" i="21"/>
  <c r="AJ20" i="21"/>
  <c r="AJ17" i="21"/>
  <c r="AJ19" i="21"/>
  <c r="AJ45" i="21"/>
  <c r="AJ41" i="21"/>
  <c r="AJ16" i="21"/>
  <c r="AJ42" i="21"/>
  <c r="AJ33" i="21"/>
  <c r="AJ9" i="21"/>
  <c r="AJ39" i="21"/>
  <c r="AJ28" i="21"/>
  <c r="AJ7" i="21"/>
  <c r="AJ8" i="21"/>
  <c r="AJ30" i="21"/>
  <c r="AJ12" i="21"/>
  <c r="AJ32" i="21"/>
  <c r="AJ24" i="21"/>
  <c r="AJ27" i="21"/>
  <c r="AJ13" i="21"/>
  <c r="AJ40" i="21"/>
  <c r="AJ6" i="21"/>
  <c r="AJ38" i="21"/>
  <c r="AJ44" i="21"/>
  <c r="AJ26" i="21"/>
  <c r="AJ18" i="21"/>
  <c r="AJ15" i="21"/>
  <c r="AJ37" i="21"/>
  <c r="AJ36" i="21"/>
  <c r="AJ31" i="21"/>
  <c r="AJ10" i="21"/>
  <c r="AJ29" i="21"/>
  <c r="AJ14" i="21"/>
  <c r="AJ35" i="21"/>
  <c r="AJ23" i="21"/>
  <c r="AJ43" i="21"/>
  <c r="AJ22" i="21"/>
  <c r="AB46" i="19"/>
  <c r="S52" i="3"/>
  <c r="S5" i="3"/>
  <c r="AC3" i="19"/>
  <c r="AC19" i="19"/>
  <c r="AC17" i="19"/>
  <c r="AC27" i="19"/>
  <c r="AC41" i="19"/>
  <c r="AC21" i="19"/>
  <c r="AC16" i="19"/>
  <c r="AC34" i="19"/>
  <c r="AC38" i="19"/>
  <c r="AC45" i="19"/>
  <c r="AC6" i="19"/>
  <c r="AC29" i="19"/>
  <c r="AC7" i="19"/>
  <c r="AC33" i="19"/>
  <c r="AC11" i="19"/>
  <c r="AC43" i="19"/>
  <c r="AC42" i="19"/>
  <c r="AC25" i="19"/>
  <c r="AC26" i="19"/>
  <c r="AC22" i="19"/>
  <c r="AC15" i="19"/>
  <c r="AC14" i="19"/>
  <c r="AC13" i="19"/>
  <c r="AC8" i="19"/>
  <c r="AC10" i="19"/>
  <c r="AC23" i="19"/>
  <c r="AC28" i="19"/>
  <c r="AC32" i="19"/>
  <c r="AC20" i="19"/>
  <c r="AC40" i="19"/>
  <c r="AC18" i="19"/>
  <c r="AC9" i="19"/>
  <c r="AC30" i="19"/>
  <c r="AC12" i="19"/>
  <c r="AC37" i="19"/>
  <c r="AC35" i="19"/>
  <c r="AC44" i="19"/>
  <c r="AC39" i="19"/>
  <c r="AC24" i="19"/>
  <c r="AC36" i="19"/>
  <c r="AC31" i="19"/>
  <c r="AV69" i="18"/>
  <c r="BU69" i="3"/>
  <c r="AJ69" i="3"/>
  <c r="O50" i="22"/>
  <c r="Y49" i="20"/>
  <c r="Z5" i="21"/>
  <c r="Z52" i="21"/>
  <c r="AA30" i="21"/>
  <c r="AA45" i="21"/>
  <c r="AA21" i="21"/>
  <c r="AA16" i="21"/>
  <c r="AA17" i="21"/>
  <c r="AA19" i="21"/>
  <c r="AA20" i="21"/>
  <c r="AA41" i="21"/>
  <c r="AA34" i="21"/>
  <c r="AA26" i="21"/>
  <c r="AA9" i="21"/>
  <c r="AA11" i="21"/>
  <c r="AA42" i="21"/>
  <c r="AA44" i="21"/>
  <c r="AA12" i="21"/>
  <c r="AA33" i="21"/>
  <c r="AA32" i="21"/>
  <c r="AA38" i="21"/>
  <c r="AA7" i="21"/>
  <c r="AA8" i="21"/>
  <c r="AA28" i="21"/>
  <c r="AA6" i="21"/>
  <c r="AA24" i="21"/>
  <c r="AA13" i="21"/>
  <c r="AA15" i="21"/>
  <c r="AA39" i="21"/>
  <c r="AA37" i="21"/>
  <c r="AA31" i="21"/>
  <c r="AA40" i="21"/>
  <c r="AA18" i="21"/>
  <c r="AA22" i="21"/>
  <c r="AA23" i="21"/>
  <c r="AA27" i="21"/>
  <c r="AA14" i="21"/>
  <c r="AA43" i="21"/>
  <c r="AA10" i="21"/>
  <c r="AA35" i="21"/>
  <c r="AA29" i="21"/>
  <c r="AA25" i="21"/>
  <c r="AA36" i="21"/>
  <c r="AF52" i="21"/>
  <c r="AF5" i="21"/>
  <c r="AG3" i="21"/>
  <c r="AG45" i="21"/>
  <c r="AG17" i="21"/>
  <c r="AG42" i="21"/>
  <c r="AG34" i="21"/>
  <c r="AG41" i="21"/>
  <c r="AG11" i="21"/>
  <c r="AG33" i="21"/>
  <c r="AG16" i="21"/>
  <c r="AG19" i="21"/>
  <c r="AG21" i="21"/>
  <c r="AG25" i="21"/>
  <c r="AG20" i="21"/>
  <c r="AG7" i="21"/>
  <c r="AG44" i="21"/>
  <c r="AG8" i="21"/>
  <c r="AG9" i="21"/>
  <c r="AG38" i="21"/>
  <c r="AG30" i="21"/>
  <c r="AG12" i="21"/>
  <c r="AG28" i="21"/>
  <c r="AG24" i="21"/>
  <c r="AG32" i="21"/>
  <c r="AG13" i="21"/>
  <c r="AG37" i="21"/>
  <c r="AG10" i="21"/>
  <c r="AG39" i="21"/>
  <c r="AG22" i="21"/>
  <c r="AG6" i="21"/>
  <c r="AG15" i="21"/>
  <c r="AG18" i="21"/>
  <c r="AG40" i="21"/>
  <c r="AG26" i="21"/>
  <c r="AG31" i="21"/>
  <c r="AG27" i="21"/>
  <c r="AG23" i="21"/>
  <c r="AG43" i="21"/>
  <c r="AG14" i="21"/>
  <c r="AG36" i="21"/>
  <c r="AG29" i="21"/>
  <c r="AG35" i="21"/>
  <c r="W47" i="23"/>
  <c r="V46" i="3"/>
  <c r="W50" i="20"/>
  <c r="Y50" i="20"/>
  <c r="AC47" i="21"/>
  <c r="Z49" i="21"/>
  <c r="AD3" i="3"/>
  <c r="AD19" i="3"/>
  <c r="AD20" i="3"/>
  <c r="AD8" i="3"/>
  <c r="AD12" i="3"/>
  <c r="AD18" i="3"/>
  <c r="AD17" i="3"/>
  <c r="AD21" i="3"/>
  <c r="AD24" i="3"/>
  <c r="AD28" i="3"/>
  <c r="AD32" i="3"/>
  <c r="AD13" i="3"/>
  <c r="AD9" i="3"/>
  <c r="AD10" i="3"/>
  <c r="AD35" i="3"/>
  <c r="AD11" i="3"/>
  <c r="AD16" i="3"/>
  <c r="AD45" i="3"/>
  <c r="AD6" i="3"/>
  <c r="AD22" i="3"/>
  <c r="AD34" i="3"/>
  <c r="AD40" i="3"/>
  <c r="AD36" i="3"/>
  <c r="AD44" i="3"/>
  <c r="AD43" i="3"/>
  <c r="AD31" i="3"/>
  <c r="AD15" i="3"/>
  <c r="AD39" i="3"/>
  <c r="AD14" i="3"/>
  <c r="AD27" i="3"/>
  <c r="AD42" i="3"/>
  <c r="AD7" i="3"/>
  <c r="AD26" i="3"/>
  <c r="AD23" i="3"/>
  <c r="AD41" i="3"/>
  <c r="AD30" i="3"/>
  <c r="AD38" i="3"/>
  <c r="AD29" i="3"/>
  <c r="AD25" i="3"/>
  <c r="AD33" i="3"/>
  <c r="AD37" i="3"/>
  <c r="AG12" i="3"/>
  <c r="AG20" i="3"/>
  <c r="AG8" i="3"/>
  <c r="AG19" i="3"/>
  <c r="AG3" i="3"/>
  <c r="AG16" i="3"/>
  <c r="AG21" i="3"/>
  <c r="AG40" i="3"/>
  <c r="AG13" i="3"/>
  <c r="AG45" i="3"/>
  <c r="AG9" i="3"/>
  <c r="AG17" i="3"/>
  <c r="AG10" i="3"/>
  <c r="AG36" i="3"/>
  <c r="AG35" i="3"/>
  <c r="AG11" i="3"/>
  <c r="AG18" i="3"/>
  <c r="AG39" i="3"/>
  <c r="AG38" i="3"/>
  <c r="AG6" i="3"/>
  <c r="AG24" i="3"/>
  <c r="AG43" i="3"/>
  <c r="AG28" i="3"/>
  <c r="AG15" i="3"/>
  <c r="AG44" i="3"/>
  <c r="AG14" i="3"/>
  <c r="AG30" i="3"/>
  <c r="AG31" i="3"/>
  <c r="AG23" i="3"/>
  <c r="AG7" i="3"/>
  <c r="AG42" i="3"/>
  <c r="AG34" i="3"/>
  <c r="AG32" i="3"/>
  <c r="AG25" i="3"/>
  <c r="AG26" i="3"/>
  <c r="AG22" i="3"/>
  <c r="AG33" i="3"/>
  <c r="AG27" i="3"/>
  <c r="AG41" i="3"/>
  <c r="AG37" i="3"/>
  <c r="AG29" i="3"/>
  <c r="AC5" i="21"/>
  <c r="AC52" i="21"/>
  <c r="AF48" i="21"/>
  <c r="AA48" i="3"/>
  <c r="S49" i="3"/>
  <c r="S69" i="18"/>
  <c r="S70" i="18" s="1"/>
  <c r="AW69" i="18"/>
  <c r="BH69" i="22"/>
  <c r="BB69" i="3"/>
  <c r="P69" i="3"/>
  <c r="AC52" i="3"/>
  <c r="AC5" i="3"/>
  <c r="AC49" i="3"/>
  <c r="O48" i="22"/>
  <c r="W47" i="20"/>
  <c r="Y46" i="20"/>
  <c r="Z46" i="21"/>
  <c r="AB46" i="20"/>
  <c r="AA52" i="3"/>
  <c r="AA5" i="3"/>
  <c r="V49" i="3"/>
  <c r="AD3" i="21"/>
  <c r="AD16" i="21"/>
  <c r="AD34" i="21"/>
  <c r="AD45" i="21"/>
  <c r="AD17" i="21"/>
  <c r="AD33" i="21"/>
  <c r="AD20" i="21"/>
  <c r="AD21" i="21"/>
  <c r="AD38" i="21"/>
  <c r="AD19" i="21"/>
  <c r="AD41" i="21"/>
  <c r="AD11" i="21"/>
  <c r="AD9" i="21"/>
  <c r="AD42" i="21"/>
  <c r="AD39" i="21"/>
  <c r="AD32" i="21"/>
  <c r="AD7" i="21"/>
  <c r="AD44" i="21"/>
  <c r="AD10" i="21"/>
  <c r="AD30" i="21"/>
  <c r="AD24" i="21"/>
  <c r="AD8" i="21"/>
  <c r="AD28" i="21"/>
  <c r="AD12" i="21"/>
  <c r="AD43" i="21"/>
  <c r="AD27" i="21"/>
  <c r="AD18" i="21"/>
  <c r="AD15" i="21"/>
  <c r="AD6" i="21"/>
  <c r="AD37" i="21"/>
  <c r="AD40" i="21"/>
  <c r="AD22" i="21"/>
  <c r="AD26" i="21"/>
  <c r="AD13" i="21"/>
  <c r="AD25" i="21"/>
  <c r="AD35" i="21"/>
  <c r="AD23" i="21"/>
  <c r="AD29" i="21"/>
  <c r="AD14" i="21"/>
  <c r="AD31" i="21"/>
  <c r="AD36" i="21"/>
  <c r="AF49" i="3"/>
  <c r="BW69" i="20"/>
  <c r="W69" i="20"/>
  <c r="AQ69" i="22"/>
  <c r="AO69" i="19"/>
  <c r="BD69" i="20"/>
  <c r="Z69" i="22"/>
  <c r="AW69" i="22"/>
  <c r="AU69" i="3"/>
  <c r="BR69" i="3"/>
  <c r="BG69" i="3"/>
  <c r="O49" i="22"/>
  <c r="AB47" i="20"/>
  <c r="AF49" i="21"/>
  <c r="Y50" i="19"/>
  <c r="Y47" i="19"/>
  <c r="AB49" i="19"/>
  <c r="AA47" i="3"/>
  <c r="AK69" i="21"/>
  <c r="Z69" i="3"/>
  <c r="Z70" i="3" s="1"/>
  <c r="AF52" i="3"/>
  <c r="AF5" i="3"/>
  <c r="W52" i="20"/>
  <c r="W5" i="20"/>
  <c r="Y48" i="20"/>
  <c r="AC46" i="21"/>
  <c r="AF21" i="20"/>
  <c r="AI3" i="20"/>
  <c r="AF17" i="20"/>
  <c r="AF16" i="20"/>
  <c r="AF3" i="20"/>
  <c r="AF30" i="20"/>
  <c r="AF19" i="20"/>
  <c r="AF20" i="20"/>
  <c r="AF18" i="20"/>
  <c r="AF40" i="20"/>
  <c r="AF45" i="20"/>
  <c r="AF9" i="20"/>
  <c r="AF29" i="20"/>
  <c r="AF32" i="20"/>
  <c r="AF28" i="20"/>
  <c r="AF14" i="20"/>
  <c r="AF12" i="20"/>
  <c r="AF15" i="20"/>
  <c r="AF43" i="20"/>
  <c r="AF13" i="20"/>
  <c r="AF8" i="20"/>
  <c r="AF10" i="20"/>
  <c r="AF31" i="20"/>
  <c r="AF7" i="20"/>
  <c r="AF41" i="20"/>
  <c r="AF34" i="20"/>
  <c r="AF22" i="20"/>
  <c r="AF11" i="20"/>
  <c r="AF39" i="20"/>
  <c r="AF26" i="20"/>
  <c r="AF37" i="20"/>
  <c r="AF33" i="20"/>
  <c r="AF23" i="20"/>
  <c r="AF25" i="20"/>
  <c r="AF35" i="20"/>
  <c r="AF24" i="20"/>
  <c r="AF44" i="20"/>
  <c r="AF36" i="20"/>
  <c r="AF6" i="20"/>
  <c r="AF38" i="20"/>
  <c r="AF27" i="20"/>
  <c r="AF42" i="20"/>
  <c r="Y48" i="19"/>
  <c r="Z19" i="19"/>
  <c r="Z3" i="19"/>
  <c r="Z17" i="19"/>
  <c r="Z27" i="19"/>
  <c r="Z25" i="19"/>
  <c r="Z42" i="19"/>
  <c r="Z16" i="19"/>
  <c r="Z34" i="19"/>
  <c r="Z21" i="19"/>
  <c r="Z45" i="19"/>
  <c r="Z32" i="19"/>
  <c r="Z43" i="19"/>
  <c r="Z33" i="19"/>
  <c r="Z6" i="19"/>
  <c r="Z11" i="19"/>
  <c r="Z23" i="19"/>
  <c r="Z7" i="19"/>
  <c r="Z8" i="19"/>
  <c r="Z10" i="19"/>
  <c r="Z14" i="19"/>
  <c r="Z28" i="19"/>
  <c r="Z15" i="19"/>
  <c r="Z29" i="19"/>
  <c r="Z26" i="19"/>
  <c r="Z13" i="19"/>
  <c r="Z20" i="19"/>
  <c r="Z12" i="19"/>
  <c r="Z44" i="19"/>
  <c r="Z40" i="19"/>
  <c r="Z37" i="19"/>
  <c r="Z9" i="19"/>
  <c r="Z36" i="19"/>
  <c r="Z41" i="19"/>
  <c r="Z39" i="19"/>
  <c r="Z18" i="19"/>
  <c r="Z30" i="19"/>
  <c r="Z38" i="19"/>
  <c r="Z35" i="19"/>
  <c r="Z31" i="19"/>
  <c r="Z24" i="19"/>
  <c r="Z22" i="19"/>
  <c r="AF3" i="19"/>
  <c r="AF19" i="19"/>
  <c r="AI3" i="19"/>
  <c r="AF27" i="19"/>
  <c r="AF45" i="19"/>
  <c r="AF38" i="19"/>
  <c r="AF16" i="19"/>
  <c r="AF21" i="19"/>
  <c r="AF43" i="19"/>
  <c r="AF34" i="19"/>
  <c r="AF6" i="19"/>
  <c r="AF31" i="19"/>
  <c r="AF11" i="19"/>
  <c r="AF7" i="19"/>
  <c r="AF33" i="19"/>
  <c r="AF25" i="19"/>
  <c r="AF42" i="19"/>
  <c r="AF26" i="19"/>
  <c r="AF41" i="19"/>
  <c r="AF10" i="19"/>
  <c r="AF13" i="19"/>
  <c r="AF32" i="19"/>
  <c r="AF28" i="19"/>
  <c r="AF8" i="19"/>
  <c r="AF29" i="19"/>
  <c r="AF14" i="19"/>
  <c r="AF15" i="19"/>
  <c r="AF23" i="19"/>
  <c r="AF20" i="19"/>
  <c r="AF12" i="19"/>
  <c r="AF40" i="19"/>
  <c r="AF37" i="19"/>
  <c r="AF44" i="19"/>
  <c r="AF17" i="19"/>
  <c r="AF36" i="19"/>
  <c r="AF30" i="19"/>
  <c r="AF39" i="19"/>
  <c r="AF35" i="19"/>
  <c r="AF18" i="19"/>
  <c r="AF24" i="19"/>
  <c r="AF9" i="19"/>
  <c r="AF22" i="19"/>
  <c r="BF69" i="21"/>
  <c r="V69" i="21"/>
  <c r="V70" i="21" s="1"/>
  <c r="AE69" i="21"/>
  <c r="BA69" i="21"/>
  <c r="V69" i="19"/>
  <c r="V70" i="19" s="1"/>
  <c r="AD69" i="22"/>
  <c r="BE69" i="22"/>
  <c r="AK69" i="22"/>
  <c r="AR69" i="22"/>
  <c r="BC69" i="21"/>
  <c r="AA69" i="21"/>
  <c r="AZ69" i="21"/>
  <c r="BE69" i="21"/>
  <c r="AP69" i="18"/>
  <c r="R69" i="18"/>
  <c r="R70" i="18" s="1"/>
  <c r="AH69" i="19"/>
  <c r="BE69" i="19"/>
  <c r="P69" i="19"/>
  <c r="P70" i="19" s="1"/>
  <c r="R69" i="20"/>
  <c r="R70" i="20" s="1"/>
  <c r="BK69" i="20"/>
  <c r="Q69" i="22"/>
  <c r="AN69" i="22"/>
  <c r="AA69" i="22"/>
  <c r="AX69" i="18"/>
  <c r="AG69" i="20"/>
  <c r="BP69" i="20"/>
  <c r="AB69" i="22"/>
  <c r="AL69" i="22"/>
  <c r="BP69" i="22"/>
  <c r="BS69" i="22"/>
  <c r="BB69" i="18"/>
  <c r="BH69" i="20"/>
  <c r="AQ69" i="3"/>
  <c r="BT69" i="3"/>
  <c r="AX69" i="3"/>
  <c r="T69" i="3"/>
  <c r="T70" i="3" s="1"/>
  <c r="AB69" i="21"/>
  <c r="AB70" i="21" s="1"/>
  <c r="BC69" i="19"/>
  <c r="AB69" i="19"/>
  <c r="BG69" i="21"/>
  <c r="AS69" i="21"/>
  <c r="BT69" i="19"/>
  <c r="BU69" i="22"/>
  <c r="BQ69" i="22"/>
  <c r="BW69" i="22"/>
  <c r="BI69" i="22"/>
  <c r="BS69" i="18"/>
  <c r="AS69" i="20"/>
  <c r="AX69" i="20"/>
  <c r="AZ69" i="22"/>
  <c r="BJ69" i="22"/>
  <c r="AO69" i="22"/>
  <c r="BM69" i="18"/>
  <c r="AN69" i="18"/>
  <c r="BO69" i="18"/>
  <c r="AS69" i="18"/>
  <c r="BV69" i="18"/>
  <c r="BP69" i="18"/>
  <c r="AL69" i="18"/>
  <c r="BA69" i="20"/>
  <c r="BB69" i="20"/>
  <c r="U69" i="18"/>
  <c r="Y69" i="18"/>
  <c r="BN69" i="19"/>
  <c r="G8" i="25"/>
  <c r="AP69" i="20"/>
  <c r="Q69" i="20"/>
  <c r="Q70" i="20" s="1"/>
  <c r="AY69" i="18"/>
  <c r="BQ69" i="18"/>
  <c r="AZ69" i="20"/>
  <c r="AK69" i="18"/>
  <c r="BL69" i="18"/>
  <c r="AJ69" i="20"/>
  <c r="BN69" i="20"/>
  <c r="BC69" i="3"/>
  <c r="AC69" i="3"/>
  <c r="BH69" i="3"/>
  <c r="AE69" i="3"/>
  <c r="AF69" i="18"/>
  <c r="AI69" i="18"/>
  <c r="BC69" i="18"/>
  <c r="AK69" i="20"/>
  <c r="BM69" i="20"/>
  <c r="BK69" i="3"/>
  <c r="BI69" i="3"/>
  <c r="AV69" i="3"/>
  <c r="AM69" i="3"/>
  <c r="V69" i="18"/>
  <c r="BN69" i="18"/>
  <c r="BD69" i="19"/>
  <c r="BS69" i="20"/>
  <c r="Y69" i="20"/>
  <c r="AT69" i="18"/>
  <c r="BG69" i="18"/>
  <c r="AQ69" i="20"/>
  <c r="T69" i="20"/>
  <c r="T70" i="20" s="1"/>
  <c r="AQ69" i="18"/>
  <c r="BJ69" i="18"/>
  <c r="AB69" i="20"/>
  <c r="AC69" i="20"/>
  <c r="AY69" i="3"/>
  <c r="AA69" i="3"/>
  <c r="AW69" i="3"/>
  <c r="AH69" i="3"/>
  <c r="BD69" i="3"/>
  <c r="BA69" i="3"/>
  <c r="BN69" i="3"/>
  <c r="AH69" i="18"/>
  <c r="X69" i="18"/>
  <c r="BS69" i="19"/>
  <c r="E8" i="25"/>
  <c r="U69" i="20"/>
  <c r="U70" i="20" s="1"/>
  <c r="BT69" i="20"/>
  <c r="BA69" i="18"/>
  <c r="AG69" i="18"/>
  <c r="X69" i="20"/>
  <c r="X70" i="20" s="1"/>
  <c r="AW69" i="20"/>
  <c r="BR69" i="18"/>
  <c r="AN69" i="20"/>
  <c r="X69" i="3"/>
  <c r="X70" i="3" s="1"/>
  <c r="AZ69" i="3"/>
  <c r="BS69" i="3"/>
  <c r="AG69" i="3"/>
  <c r="AK69" i="3"/>
  <c r="Y69" i="3"/>
  <c r="Y70" i="3" s="1"/>
  <c r="Q69" i="3"/>
  <c r="S69" i="3"/>
  <c r="Y8" i="2"/>
  <c r="AL9" i="2" s="1"/>
  <c r="AC7" i="2"/>
  <c r="AC8" i="2" s="1"/>
  <c r="AM9" i="2" s="1"/>
  <c r="AP69" i="21"/>
  <c r="AM69" i="21"/>
  <c r="AG69" i="21"/>
  <c r="Z69" i="21"/>
  <c r="AS69" i="19"/>
  <c r="AR69" i="19"/>
  <c r="Z69" i="19"/>
  <c r="AN69" i="19"/>
  <c r="BJ69" i="21"/>
  <c r="BL69" i="21"/>
  <c r="BN69" i="21"/>
  <c r="BI69" i="21"/>
  <c r="BQ69" i="19"/>
  <c r="Q69" i="19"/>
  <c r="Q70" i="19" s="1"/>
  <c r="AK69" i="19"/>
  <c r="BW69" i="19"/>
  <c r="BG69" i="22"/>
  <c r="AX69" i="22"/>
  <c r="S69" i="22"/>
  <c r="BD69" i="22"/>
  <c r="W69" i="21"/>
  <c r="BO69" i="21"/>
  <c r="AC69" i="21"/>
  <c r="AO69" i="18"/>
  <c r="T69" i="18"/>
  <c r="T70" i="18" s="1"/>
  <c r="AA69" i="18"/>
  <c r="AR69" i="18"/>
  <c r="AJ69" i="19"/>
  <c r="BK69" i="19"/>
  <c r="BU69" i="19"/>
  <c r="F8" i="25"/>
  <c r="BJ69" i="19"/>
  <c r="AX69" i="19"/>
  <c r="AM69" i="19"/>
  <c r="BM69" i="21"/>
  <c r="AJ69" i="21"/>
  <c r="BW69" i="21"/>
  <c r="AI69" i="21"/>
  <c r="AA69" i="19"/>
  <c r="AZ69" i="19"/>
  <c r="W69" i="19"/>
  <c r="W70" i="19" s="1"/>
  <c r="BA69" i="19"/>
  <c r="Y69" i="21"/>
  <c r="Y70" i="21" s="1"/>
  <c r="AL69" i="21"/>
  <c r="AR69" i="21"/>
  <c r="AY69" i="19"/>
  <c r="BM69" i="19"/>
  <c r="BO69" i="19"/>
  <c r="S69" i="19"/>
  <c r="S70" i="19" s="1"/>
  <c r="AP69" i="22"/>
  <c r="AH69" i="22"/>
  <c r="BM69" i="22"/>
  <c r="BV69" i="21"/>
  <c r="T69" i="21"/>
  <c r="T70" i="21" s="1"/>
  <c r="BU69" i="21"/>
  <c r="AY69" i="21"/>
  <c r="AU69" i="18"/>
  <c r="BW69" i="18"/>
  <c r="AC69" i="18"/>
  <c r="AD69" i="19"/>
  <c r="AG69" i="19"/>
  <c r="AV69" i="19"/>
  <c r="BB69" i="19"/>
  <c r="P69" i="21"/>
  <c r="P70" i="21" s="1"/>
  <c r="K8" i="25"/>
  <c r="C8" i="25"/>
  <c r="I8" i="25"/>
  <c r="U69" i="21"/>
  <c r="U70" i="21" s="1"/>
  <c r="AV69" i="21"/>
  <c r="S69" i="21"/>
  <c r="S70" i="21" s="1"/>
  <c r="BB69" i="21"/>
  <c r="BL69" i="19"/>
  <c r="AT69" i="19"/>
  <c r="AE69" i="19"/>
  <c r="BR69" i="21"/>
  <c r="BH69" i="21"/>
  <c r="BP69" i="21"/>
  <c r="BD69" i="21"/>
  <c r="AU69" i="19"/>
  <c r="U69" i="19"/>
  <c r="U70" i="19" s="1"/>
  <c r="BG69" i="19"/>
  <c r="BF69" i="19"/>
  <c r="AT69" i="22"/>
  <c r="T69" i="22"/>
  <c r="BF69" i="22"/>
  <c r="BO69" i="22"/>
  <c r="AO69" i="21"/>
  <c r="AQ69" i="21"/>
  <c r="X69" i="21"/>
  <c r="X70" i="21" s="1"/>
  <c r="BU69" i="18"/>
  <c r="AB69" i="18"/>
  <c r="AE69" i="18"/>
  <c r="BH69" i="19"/>
  <c r="AP69" i="19"/>
  <c r="BI69" i="19"/>
  <c r="BP69" i="19"/>
  <c r="AT69" i="21"/>
  <c r="AW69" i="21"/>
  <c r="AF69" i="21"/>
  <c r="AD69" i="21"/>
  <c r="BV69" i="19"/>
  <c r="AW69" i="19"/>
  <c r="R69" i="19"/>
  <c r="R70" i="19" s="1"/>
  <c r="AL69" i="19"/>
  <c r="R69" i="21"/>
  <c r="R70" i="21" s="1"/>
  <c r="Q69" i="21"/>
  <c r="Q70" i="21" s="1"/>
  <c r="BT69" i="21"/>
  <c r="AF69" i="19"/>
  <c r="Y69" i="19"/>
  <c r="AQ69" i="19"/>
  <c r="P69" i="22"/>
  <c r="P70" i="22" s="1"/>
  <c r="D8" i="25"/>
  <c r="AU69" i="22"/>
  <c r="AV69" i="22"/>
  <c r="BA69" i="22"/>
  <c r="BC69" i="22"/>
  <c r="BS69" i="21"/>
  <c r="AH69" i="21"/>
  <c r="AX69" i="21"/>
  <c r="Q69" i="18"/>
  <c r="Q70" i="18" s="1"/>
  <c r="BF69" i="18"/>
  <c r="BT69" i="18"/>
  <c r="AM69" i="18"/>
  <c r="X69" i="19"/>
  <c r="AC69" i="19"/>
  <c r="BR69" i="19"/>
  <c r="D80" i="2"/>
  <c r="C81" i="2"/>
  <c r="W46" i="23" l="1"/>
  <c r="X70" i="19"/>
  <c r="W52" i="23"/>
  <c r="Z47" i="19"/>
  <c r="W5" i="23"/>
  <c r="V70" i="3"/>
  <c r="W70" i="21"/>
  <c r="AF51" i="19"/>
  <c r="AG48" i="23"/>
  <c r="AF70" i="3"/>
  <c r="AB53" i="18"/>
  <c r="V53" i="18"/>
  <c r="AD48" i="23"/>
  <c r="Q70" i="22"/>
  <c r="AG53" i="23"/>
  <c r="U53" i="22"/>
  <c r="U70" i="18"/>
  <c r="AC51" i="19"/>
  <c r="AF50" i="20"/>
  <c r="AJ51" i="3"/>
  <c r="AD51" i="3"/>
  <c r="AB70" i="20"/>
  <c r="AG51" i="3"/>
  <c r="AC51" i="20"/>
  <c r="AG50" i="23"/>
  <c r="V50" i="18"/>
  <c r="Z47" i="20"/>
  <c r="AJ50" i="23"/>
  <c r="X48" i="22"/>
  <c r="AD53" i="23"/>
  <c r="R53" i="22"/>
  <c r="T70" i="22"/>
  <c r="AA51" i="21"/>
  <c r="X50" i="22"/>
  <c r="AJ46" i="23"/>
  <c r="AJ53" i="21"/>
  <c r="AD51" i="23"/>
  <c r="AD47" i="23"/>
  <c r="AJ51" i="23"/>
  <c r="AJ47" i="23"/>
  <c r="AF51" i="20"/>
  <c r="Y50" i="18"/>
  <c r="X52" i="22"/>
  <c r="U51" i="22"/>
  <c r="U47" i="22"/>
  <c r="Z51" i="19"/>
  <c r="AJ51" i="21"/>
  <c r="Z48" i="20"/>
  <c r="AG49" i="23"/>
  <c r="Y48" i="18"/>
  <c r="AB48" i="18"/>
  <c r="U48" i="22"/>
  <c r="U52" i="22"/>
  <c r="R48" i="22"/>
  <c r="AJ49" i="23"/>
  <c r="X51" i="22"/>
  <c r="X47" i="22"/>
  <c r="AD51" i="21"/>
  <c r="AG51" i="21"/>
  <c r="W51" i="3"/>
  <c r="Z51" i="20"/>
  <c r="X46" i="22"/>
  <c r="AB50" i="18"/>
  <c r="R52" i="22"/>
  <c r="AD50" i="23"/>
  <c r="AD52" i="23"/>
  <c r="AJ52" i="23"/>
  <c r="AG51" i="23"/>
  <c r="AG47" i="23"/>
  <c r="R51" i="22"/>
  <c r="R47" i="22"/>
  <c r="AD50" i="21"/>
  <c r="AG53" i="21"/>
  <c r="AG47" i="21"/>
  <c r="AG52" i="23"/>
  <c r="AG46" i="23"/>
  <c r="X53" i="22"/>
  <c r="X49" i="22"/>
  <c r="U50" i="22"/>
  <c r="U46" i="22"/>
  <c r="U49" i="22"/>
  <c r="R49" i="22"/>
  <c r="R46" i="22"/>
  <c r="AD46" i="23"/>
  <c r="AD49" i="23"/>
  <c r="AJ48" i="23"/>
  <c r="AJ53" i="23"/>
  <c r="AN74" i="2"/>
  <c r="Y49" i="18"/>
  <c r="V49" i="18"/>
  <c r="AB49" i="18"/>
  <c r="AC50" i="19"/>
  <c r="Y51" i="18"/>
  <c r="Y47" i="18"/>
  <c r="AB51" i="18"/>
  <c r="AB47" i="18"/>
  <c r="V51" i="18"/>
  <c r="V47" i="18"/>
  <c r="V48" i="18"/>
  <c r="V46" i="18"/>
  <c r="Y46" i="18"/>
  <c r="AB46" i="18"/>
  <c r="Y52" i="18"/>
  <c r="AB52" i="18"/>
  <c r="V52" i="18"/>
  <c r="X70" i="18"/>
  <c r="Y53" i="18"/>
  <c r="AN72" i="2"/>
  <c r="AN71" i="2"/>
  <c r="AN73" i="2"/>
  <c r="AN70" i="2"/>
  <c r="AN69" i="2"/>
  <c r="AN75" i="2"/>
  <c r="AN76" i="2"/>
  <c r="AH19" i="23"/>
  <c r="AH3" i="23"/>
  <c r="AH42" i="23"/>
  <c r="AH16" i="23"/>
  <c r="AH45" i="23"/>
  <c r="AH17" i="23"/>
  <c r="AH20" i="23"/>
  <c r="AH41" i="23"/>
  <c r="AH22" i="23"/>
  <c r="AH21" i="23"/>
  <c r="AH34" i="23"/>
  <c r="AH37" i="23"/>
  <c r="AH25" i="23"/>
  <c r="AH35" i="23"/>
  <c r="AH14" i="23"/>
  <c r="AH18" i="23"/>
  <c r="AH8" i="23"/>
  <c r="AH11" i="23"/>
  <c r="AH9" i="23"/>
  <c r="AH6" i="23"/>
  <c r="AH26" i="23"/>
  <c r="AH43" i="23"/>
  <c r="AH28" i="23"/>
  <c r="AH36" i="23"/>
  <c r="AH13" i="23"/>
  <c r="AH32" i="23"/>
  <c r="AH27" i="23"/>
  <c r="AH39" i="23"/>
  <c r="AH15" i="23"/>
  <c r="AH7" i="23"/>
  <c r="AH12" i="23"/>
  <c r="AH29" i="23"/>
  <c r="AH23" i="23"/>
  <c r="AH30" i="23"/>
  <c r="AH38" i="23"/>
  <c r="AH24" i="23"/>
  <c r="AH31" i="23"/>
  <c r="AH10" i="23"/>
  <c r="AH33" i="23"/>
  <c r="AH40" i="23"/>
  <c r="AH44" i="23"/>
  <c r="V3" i="22"/>
  <c r="V16" i="22"/>
  <c r="V42" i="22"/>
  <c r="V11" i="22"/>
  <c r="V17" i="22"/>
  <c r="V18" i="22"/>
  <c r="V45" i="22"/>
  <c r="V34" i="22"/>
  <c r="V20" i="22"/>
  <c r="V25" i="22"/>
  <c r="V41" i="22"/>
  <c r="V19" i="22"/>
  <c r="V21" i="22"/>
  <c r="V33" i="22"/>
  <c r="V29" i="22"/>
  <c r="V31" i="22"/>
  <c r="V24" i="22"/>
  <c r="V9" i="22"/>
  <c r="V12" i="22"/>
  <c r="V32" i="22"/>
  <c r="V22" i="22"/>
  <c r="V28" i="22"/>
  <c r="V39" i="22"/>
  <c r="V8" i="22"/>
  <c r="V44" i="22"/>
  <c r="V26" i="22"/>
  <c r="V36" i="22"/>
  <c r="V7" i="22"/>
  <c r="V23" i="22"/>
  <c r="V38" i="22"/>
  <c r="V13" i="22"/>
  <c r="V40" i="22"/>
  <c r="V37" i="22"/>
  <c r="V14" i="22"/>
  <c r="V6" i="22"/>
  <c r="V15" i="22"/>
  <c r="V10" i="22"/>
  <c r="V27" i="22"/>
  <c r="V35" i="22"/>
  <c r="V43" i="22"/>
  <c r="V30" i="22"/>
  <c r="S23" i="22"/>
  <c r="S45" i="22"/>
  <c r="S20" i="22"/>
  <c r="S29" i="22"/>
  <c r="S21" i="22"/>
  <c r="S34" i="22"/>
  <c r="S18" i="22"/>
  <c r="S19" i="22"/>
  <c r="S17" i="22"/>
  <c r="S33" i="22"/>
  <c r="S28" i="22"/>
  <c r="S22" i="22"/>
  <c r="S9" i="22"/>
  <c r="S16" i="22"/>
  <c r="S31" i="22"/>
  <c r="S12" i="22"/>
  <c r="S8" i="22"/>
  <c r="S7" i="22"/>
  <c r="S25" i="22"/>
  <c r="S14" i="22"/>
  <c r="S11" i="22"/>
  <c r="S26" i="22"/>
  <c r="S44" i="22"/>
  <c r="S38" i="22"/>
  <c r="S13" i="22"/>
  <c r="S41" i="22"/>
  <c r="S40" i="22"/>
  <c r="S24" i="22"/>
  <c r="S39" i="22"/>
  <c r="S37" i="22"/>
  <c r="S35" i="22"/>
  <c r="S27" i="22"/>
  <c r="S43" i="22"/>
  <c r="S42" i="22"/>
  <c r="S36" i="22"/>
  <c r="S32" i="22"/>
  <c r="S10" i="22"/>
  <c r="S15" i="22"/>
  <c r="S30" i="22"/>
  <c r="S50" i="22" s="1"/>
  <c r="S6" i="22"/>
  <c r="AE17" i="23"/>
  <c r="AE20" i="23"/>
  <c r="AE23" i="23"/>
  <c r="AE21" i="23"/>
  <c r="AE11" i="23"/>
  <c r="AE28" i="23"/>
  <c r="AE34" i="23"/>
  <c r="AE45" i="23"/>
  <c r="AE42" i="23"/>
  <c r="AE43" i="23"/>
  <c r="AE26" i="23"/>
  <c r="AE6" i="23"/>
  <c r="AE18" i="23"/>
  <c r="AE13" i="23"/>
  <c r="AE15" i="23"/>
  <c r="AE10" i="23"/>
  <c r="AE41" i="23"/>
  <c r="AE8" i="23"/>
  <c r="AE14" i="23"/>
  <c r="AE32" i="23"/>
  <c r="AE37" i="23"/>
  <c r="AE35" i="23"/>
  <c r="AE40" i="23"/>
  <c r="AE7" i="23"/>
  <c r="AE30" i="23"/>
  <c r="AE29" i="23"/>
  <c r="AE27" i="23"/>
  <c r="AE39" i="23"/>
  <c r="AE12" i="23"/>
  <c r="AE38" i="23"/>
  <c r="AE24" i="23"/>
  <c r="AE31" i="23"/>
  <c r="AE33" i="23"/>
  <c r="AE9" i="23"/>
  <c r="AE22" i="23"/>
  <c r="AE25" i="23"/>
  <c r="AE36" i="23"/>
  <c r="AE44" i="23"/>
  <c r="AE16" i="23"/>
  <c r="AE19" i="23"/>
  <c r="AJ5" i="23"/>
  <c r="W21" i="18"/>
  <c r="W41" i="18"/>
  <c r="W18" i="18"/>
  <c r="W20" i="18"/>
  <c r="W16" i="18"/>
  <c r="W7" i="18"/>
  <c r="W11" i="18"/>
  <c r="W17" i="18"/>
  <c r="W19" i="18"/>
  <c r="W27" i="18"/>
  <c r="W10" i="18"/>
  <c r="W33" i="18"/>
  <c r="W45" i="18"/>
  <c r="W6" i="18"/>
  <c r="W28" i="18"/>
  <c r="W44" i="18"/>
  <c r="W34" i="18"/>
  <c r="W8" i="18"/>
  <c r="W43" i="18"/>
  <c r="W12" i="18"/>
  <c r="W29" i="18"/>
  <c r="W13" i="18"/>
  <c r="W40" i="18"/>
  <c r="W39" i="18"/>
  <c r="W37" i="18"/>
  <c r="W26" i="18"/>
  <c r="W14" i="18"/>
  <c r="W15" i="18"/>
  <c r="W35" i="18"/>
  <c r="W22" i="18"/>
  <c r="W30" i="18"/>
  <c r="W23" i="18"/>
  <c r="W24" i="18"/>
  <c r="W25" i="18"/>
  <c r="W9" i="18"/>
  <c r="W31" i="18"/>
  <c r="W32" i="18"/>
  <c r="W38" i="18"/>
  <c r="W42" i="18"/>
  <c r="W36" i="18"/>
  <c r="Y5" i="18"/>
  <c r="Y70" i="18" s="1"/>
  <c r="AD5" i="23"/>
  <c r="V5" i="18"/>
  <c r="V70" i="18" s="1"/>
  <c r="AG5" i="23"/>
  <c r="Z3" i="18"/>
  <c r="Z34" i="18"/>
  <c r="Z7" i="18"/>
  <c r="Z43" i="18"/>
  <c r="Z35" i="18"/>
  <c r="Z30" i="18"/>
  <c r="Z45" i="18"/>
  <c r="Z15" i="18"/>
  <c r="Z10" i="18"/>
  <c r="Z14" i="18"/>
  <c r="Z24" i="18"/>
  <c r="Z17" i="18"/>
  <c r="Z20" i="18"/>
  <c r="Z8" i="18"/>
  <c r="Z27" i="18"/>
  <c r="Z42" i="18"/>
  <c r="Z16" i="18"/>
  <c r="Z41" i="18"/>
  <c r="Z9" i="18"/>
  <c r="Z29" i="18"/>
  <c r="Z39" i="18"/>
  <c r="Z25" i="18"/>
  <c r="Z6" i="18"/>
  <c r="Z26" i="18"/>
  <c r="Z11" i="18"/>
  <c r="Z23" i="18"/>
  <c r="Z13" i="18"/>
  <c r="Z32" i="18"/>
  <c r="Z19" i="18"/>
  <c r="Z12" i="18"/>
  <c r="Z44" i="18"/>
  <c r="Z40" i="18"/>
  <c r="Z36" i="18"/>
  <c r="Z28" i="18"/>
  <c r="Z18" i="18"/>
  <c r="Z33" i="18"/>
  <c r="Z21" i="18"/>
  <c r="Z37" i="18"/>
  <c r="Z22" i="18"/>
  <c r="Z31" i="18"/>
  <c r="Z38" i="18"/>
  <c r="Y3" i="22"/>
  <c r="Y20" i="22"/>
  <c r="Y45" i="22"/>
  <c r="Y21" i="22"/>
  <c r="Y17" i="22"/>
  <c r="Y34" i="22"/>
  <c r="Y19" i="22"/>
  <c r="Y16" i="22"/>
  <c r="Y18" i="22"/>
  <c r="Y31" i="22"/>
  <c r="Y42" i="22"/>
  <c r="Y11" i="22"/>
  <c r="Y44" i="22"/>
  <c r="Y41" i="22"/>
  <c r="Y43" i="22"/>
  <c r="Y12" i="22"/>
  <c r="Y9" i="22"/>
  <c r="Y25" i="22"/>
  <c r="Y23" i="22"/>
  <c r="Y29" i="22"/>
  <c r="Y7" i="22"/>
  <c r="Y22" i="22"/>
  <c r="Y33" i="22"/>
  <c r="Y39" i="22"/>
  <c r="Y8" i="22"/>
  <c r="Y28" i="22"/>
  <c r="Y40" i="22"/>
  <c r="Y32" i="22"/>
  <c r="Y24" i="22"/>
  <c r="Y38" i="22"/>
  <c r="Y10" i="22"/>
  <c r="Y14" i="22"/>
  <c r="Y37" i="22"/>
  <c r="Y36" i="22"/>
  <c r="Y6" i="22"/>
  <c r="Y26" i="22"/>
  <c r="Y27" i="22"/>
  <c r="Y15" i="22"/>
  <c r="Y30" i="22"/>
  <c r="Y35" i="22"/>
  <c r="Y13" i="22"/>
  <c r="AB5" i="18"/>
  <c r="AB70" i="18" s="1"/>
  <c r="AF11" i="18"/>
  <c r="AF18" i="18"/>
  <c r="AF37" i="18"/>
  <c r="AF12" i="18"/>
  <c r="AF33" i="18"/>
  <c r="AF17" i="18"/>
  <c r="AF19" i="18"/>
  <c r="AF25" i="18"/>
  <c r="AF34" i="18"/>
  <c r="AF44" i="18"/>
  <c r="AF10" i="18"/>
  <c r="AF27" i="18"/>
  <c r="AF7" i="18"/>
  <c r="AF6" i="18"/>
  <c r="AF9" i="18"/>
  <c r="AF20" i="18"/>
  <c r="AF13" i="18"/>
  <c r="AF28" i="18"/>
  <c r="AF21" i="18"/>
  <c r="AF22" i="18"/>
  <c r="AF15" i="18"/>
  <c r="AF41" i="18"/>
  <c r="AF40" i="18"/>
  <c r="AF8" i="18"/>
  <c r="AF29" i="18"/>
  <c r="AF43" i="18"/>
  <c r="AF26" i="18"/>
  <c r="AF23" i="18"/>
  <c r="AF35" i="18"/>
  <c r="AF14" i="18"/>
  <c r="AF36" i="18"/>
  <c r="AF30" i="18"/>
  <c r="AF38" i="18"/>
  <c r="AF39" i="18"/>
  <c r="AF42" i="18"/>
  <c r="AF32" i="18"/>
  <c r="AF31" i="18"/>
  <c r="AF24" i="18"/>
  <c r="AF16" i="18"/>
  <c r="AI3" i="18"/>
  <c r="AF3" i="18"/>
  <c r="AF45" i="18"/>
  <c r="U5" i="22"/>
  <c r="U70" i="22" s="1"/>
  <c r="AE69" i="23"/>
  <c r="R5" i="22"/>
  <c r="R70" i="22" s="1"/>
  <c r="AB17" i="22"/>
  <c r="AB15" i="22"/>
  <c r="AB21" i="22"/>
  <c r="AB18" i="22"/>
  <c r="AB16" i="22"/>
  <c r="AB33" i="22"/>
  <c r="AB45" i="22"/>
  <c r="AB42" i="22"/>
  <c r="AB3" i="22"/>
  <c r="AE3" i="22"/>
  <c r="AB19" i="22"/>
  <c r="AB11" i="22"/>
  <c r="AB26" i="22"/>
  <c r="AB34" i="22"/>
  <c r="AB8" i="22"/>
  <c r="AB44" i="22"/>
  <c r="AB32" i="22"/>
  <c r="AB20" i="22"/>
  <c r="AB22" i="22"/>
  <c r="AB31" i="22"/>
  <c r="AB29" i="22"/>
  <c r="AB25" i="22"/>
  <c r="AB12" i="22"/>
  <c r="AB13" i="22"/>
  <c r="AB40" i="22"/>
  <c r="AB7" i="22"/>
  <c r="AB36" i="22"/>
  <c r="AB23" i="22"/>
  <c r="AB38" i="22"/>
  <c r="AB41" i="22"/>
  <c r="AB28" i="22"/>
  <c r="AB35" i="22"/>
  <c r="AB9" i="22"/>
  <c r="AB30" i="22"/>
  <c r="AB14" i="22"/>
  <c r="AB43" i="22"/>
  <c r="AB24" i="22"/>
  <c r="AB37" i="22"/>
  <c r="AB6" i="22"/>
  <c r="AB39" i="22"/>
  <c r="AB10" i="22"/>
  <c r="AB27" i="22"/>
  <c r="AC20" i="18"/>
  <c r="AC41" i="18"/>
  <c r="AC45" i="18"/>
  <c r="AC18" i="18"/>
  <c r="AC17" i="18"/>
  <c r="AC9" i="18"/>
  <c r="AC28" i="18"/>
  <c r="AC6" i="18"/>
  <c r="AC8" i="18"/>
  <c r="AC12" i="18"/>
  <c r="AC23" i="18"/>
  <c r="AC33" i="18"/>
  <c r="AC7" i="18"/>
  <c r="AC11" i="18"/>
  <c r="AC44" i="18"/>
  <c r="AC29" i="18"/>
  <c r="AC15" i="18"/>
  <c r="AC10" i="18"/>
  <c r="AC22" i="18"/>
  <c r="AC32" i="18"/>
  <c r="AC16" i="18"/>
  <c r="AC37" i="18"/>
  <c r="AC27" i="18"/>
  <c r="AC39" i="18"/>
  <c r="AC26" i="18"/>
  <c r="AC13" i="18"/>
  <c r="AC38" i="18"/>
  <c r="AC34" i="18"/>
  <c r="AC14" i="18"/>
  <c r="AC35" i="18"/>
  <c r="AC40" i="18"/>
  <c r="AC36" i="18"/>
  <c r="AC30" i="18"/>
  <c r="AC42" i="18"/>
  <c r="AC31" i="18"/>
  <c r="AC24" i="18"/>
  <c r="AC43" i="18"/>
  <c r="AC25" i="18"/>
  <c r="AC19" i="18"/>
  <c r="AC21" i="18"/>
  <c r="AC3" i="18"/>
  <c r="AQ3" i="23"/>
  <c r="AN3" i="23"/>
  <c r="AN20" i="23"/>
  <c r="AN42" i="23"/>
  <c r="AN41" i="23"/>
  <c r="AN34" i="23"/>
  <c r="AN21" i="23"/>
  <c r="AN11" i="23"/>
  <c r="AN17" i="23"/>
  <c r="AN16" i="23"/>
  <c r="AN45" i="23"/>
  <c r="AN18" i="23"/>
  <c r="AN19" i="23"/>
  <c r="AN6" i="23"/>
  <c r="AN29" i="23"/>
  <c r="AN43" i="23"/>
  <c r="AN7" i="23"/>
  <c r="AN32" i="23"/>
  <c r="AN28" i="23"/>
  <c r="AN47" i="23" s="1"/>
  <c r="AN26" i="23"/>
  <c r="AN35" i="23"/>
  <c r="AN13" i="23"/>
  <c r="AN8" i="23"/>
  <c r="AN14" i="23"/>
  <c r="AN15" i="23"/>
  <c r="AN38" i="23"/>
  <c r="AN36" i="23"/>
  <c r="AN30" i="23"/>
  <c r="AN40" i="23"/>
  <c r="AN39" i="23"/>
  <c r="AN9" i="23"/>
  <c r="AN37" i="23"/>
  <c r="AN27" i="23"/>
  <c r="AN22" i="23"/>
  <c r="AN10" i="23"/>
  <c r="AN44" i="23"/>
  <c r="AN12" i="23"/>
  <c r="AN24" i="23"/>
  <c r="AN33" i="23"/>
  <c r="AN31" i="23"/>
  <c r="AN23" i="23"/>
  <c r="AN25" i="23"/>
  <c r="X5" i="22"/>
  <c r="X70" i="22" s="1"/>
  <c r="AK3" i="23"/>
  <c r="AK18" i="23"/>
  <c r="AK20" i="23"/>
  <c r="AK19" i="23"/>
  <c r="AK21" i="23"/>
  <c r="AK28" i="23"/>
  <c r="AK47" i="23" s="1"/>
  <c r="AK8" i="23"/>
  <c r="AK16" i="23"/>
  <c r="AK42" i="23"/>
  <c r="AK45" i="23"/>
  <c r="AK15" i="23"/>
  <c r="AK26" i="23"/>
  <c r="AK32" i="23"/>
  <c r="AK34" i="23"/>
  <c r="AK43" i="23"/>
  <c r="AK7" i="23"/>
  <c r="AK11" i="23"/>
  <c r="AK29" i="23"/>
  <c r="AK6" i="23"/>
  <c r="AK36" i="23"/>
  <c r="AK33" i="23"/>
  <c r="AK38" i="23"/>
  <c r="AK37" i="23"/>
  <c r="AK27" i="23"/>
  <c r="AK13" i="23"/>
  <c r="AK39" i="23"/>
  <c r="AK14" i="23"/>
  <c r="AK41" i="23"/>
  <c r="AK25" i="23"/>
  <c r="AK17" i="23"/>
  <c r="AK9" i="23"/>
  <c r="AK24" i="23"/>
  <c r="AK30" i="23"/>
  <c r="AK35" i="23"/>
  <c r="AK12" i="23"/>
  <c r="AK44" i="23"/>
  <c r="AK40" i="23"/>
  <c r="AK31" i="23"/>
  <c r="AK10" i="23"/>
  <c r="AK23" i="23"/>
  <c r="AK22" i="23"/>
  <c r="AF70" i="21"/>
  <c r="AC70" i="21"/>
  <c r="AM78" i="2"/>
  <c r="AH78" i="2"/>
  <c r="AO60" i="2"/>
  <c r="AQ60" i="2" s="1"/>
  <c r="AG78" i="2"/>
  <c r="Y70" i="20"/>
  <c r="AJ78" i="2"/>
  <c r="AK78" i="2"/>
  <c r="AI78" i="2"/>
  <c r="C10" i="25"/>
  <c r="Y70" i="19"/>
  <c r="AB70" i="19"/>
  <c r="F10" i="25"/>
  <c r="K11" i="25"/>
  <c r="AN7" i="2" s="1"/>
  <c r="H10" i="25"/>
  <c r="D10" i="25"/>
  <c r="K10" i="25"/>
  <c r="I10" i="25"/>
  <c r="S70" i="3"/>
  <c r="G10" i="25"/>
  <c r="AC70" i="3"/>
  <c r="BT69" i="23"/>
  <c r="Z70" i="21"/>
  <c r="AA47" i="21"/>
  <c r="Z50" i="20"/>
  <c r="AG48" i="21"/>
  <c r="W53" i="3"/>
  <c r="Z53" i="20"/>
  <c r="AG50" i="21"/>
  <c r="AG50" i="3"/>
  <c r="AC48" i="20"/>
  <c r="AJ53" i="3"/>
  <c r="Z50" i="19"/>
  <c r="AD53" i="21"/>
  <c r="AG53" i="3"/>
  <c r="AC53" i="19"/>
  <c r="AC47" i="19"/>
  <c r="AJ47" i="21"/>
  <c r="AF48" i="20"/>
  <c r="AF53" i="20"/>
  <c r="AD48" i="21"/>
  <c r="AD53" i="3"/>
  <c r="Z53" i="19"/>
  <c r="AC48" i="19"/>
  <c r="AC53" i="20"/>
  <c r="AF53" i="19"/>
  <c r="AA53" i="21"/>
  <c r="AJ47" i="3"/>
  <c r="W48" i="3"/>
  <c r="Z48" i="19"/>
  <c r="AA70" i="3"/>
  <c r="AT69" i="23"/>
  <c r="BO69" i="23"/>
  <c r="AW69" i="23"/>
  <c r="BL69" i="23"/>
  <c r="AO69" i="23"/>
  <c r="AK69" i="23"/>
  <c r="S69" i="23"/>
  <c r="S70" i="23" s="1"/>
  <c r="W69" i="23"/>
  <c r="AN69" i="23"/>
  <c r="U69" i="23"/>
  <c r="U70" i="23" s="1"/>
  <c r="AC69" i="23"/>
  <c r="AC70" i="23" s="1"/>
  <c r="AY69" i="23"/>
  <c r="AV69" i="23"/>
  <c r="V69" i="23"/>
  <c r="V70" i="23" s="1"/>
  <c r="BB69" i="23"/>
  <c r="Q69" i="23"/>
  <c r="Q70" i="23" s="1"/>
  <c r="BG69" i="23"/>
  <c r="BR69" i="23"/>
  <c r="BW69" i="23"/>
  <c r="AH69" i="23"/>
  <c r="BA69" i="23"/>
  <c r="AX69" i="23"/>
  <c r="BK69" i="23"/>
  <c r="BQ69" i="23"/>
  <c r="BI69" i="23"/>
  <c r="BJ69" i="23"/>
  <c r="AF69" i="23"/>
  <c r="AF70" i="23" s="1"/>
  <c r="BC69" i="23"/>
  <c r="BM69" i="23"/>
  <c r="BD69" i="23"/>
  <c r="BP69" i="23"/>
  <c r="R69" i="23"/>
  <c r="R70" i="23" s="1"/>
  <c r="AR69" i="23"/>
  <c r="AU69" i="23"/>
  <c r="AP69" i="23"/>
  <c r="BE69" i="23"/>
  <c r="BU69" i="23"/>
  <c r="BN69" i="23"/>
  <c r="X69" i="23"/>
  <c r="X70" i="23" s="1"/>
  <c r="P69" i="23"/>
  <c r="P70" i="23" s="1"/>
  <c r="AI69" i="23"/>
  <c r="AM69" i="23"/>
  <c r="AZ69" i="23"/>
  <c r="BV69" i="23"/>
  <c r="BH69" i="23"/>
  <c r="AA69" i="23"/>
  <c r="AA70" i="23" s="1"/>
  <c r="BS69" i="23"/>
  <c r="T69" i="23"/>
  <c r="T70" i="23" s="1"/>
  <c r="AB69" i="23"/>
  <c r="AB70" i="23" s="1"/>
  <c r="AG69" i="23"/>
  <c r="AL69" i="23"/>
  <c r="Z69" i="23"/>
  <c r="Z70" i="23" s="1"/>
  <c r="AD69" i="23"/>
  <c r="AS69" i="23"/>
  <c r="Y69" i="23"/>
  <c r="Y70" i="23" s="1"/>
  <c r="AQ69" i="23"/>
  <c r="AJ69" i="23"/>
  <c r="W70" i="20"/>
  <c r="AC46" i="20"/>
  <c r="AF46" i="20"/>
  <c r="AC46" i="19"/>
  <c r="AD50" i="3"/>
  <c r="AF52" i="19"/>
  <c r="AF5" i="19"/>
  <c r="AF70" i="19" s="1"/>
  <c r="AD19" i="19"/>
  <c r="AD3" i="19"/>
  <c r="AD16" i="19"/>
  <c r="AD27" i="19"/>
  <c r="AD31" i="19"/>
  <c r="AD45" i="19"/>
  <c r="AD41" i="19"/>
  <c r="AD26" i="19"/>
  <c r="AD25" i="19"/>
  <c r="AD21" i="19"/>
  <c r="AD17" i="19"/>
  <c r="AD34" i="19"/>
  <c r="AD43" i="19"/>
  <c r="AD7" i="19"/>
  <c r="AD6" i="19"/>
  <c r="AD11" i="19"/>
  <c r="AD8" i="19"/>
  <c r="AD42" i="19"/>
  <c r="AD33" i="19"/>
  <c r="AD29" i="19"/>
  <c r="AD10" i="19"/>
  <c r="AD32" i="19"/>
  <c r="AD28" i="19"/>
  <c r="AD13" i="19"/>
  <c r="AD15" i="19"/>
  <c r="AD14" i="19"/>
  <c r="AD39" i="19"/>
  <c r="AD36" i="19"/>
  <c r="AD44" i="19"/>
  <c r="AD9" i="19"/>
  <c r="AD20" i="19"/>
  <c r="AD35" i="19"/>
  <c r="AD30" i="19"/>
  <c r="AD12" i="19"/>
  <c r="AD37" i="19"/>
  <c r="AD23" i="19"/>
  <c r="AD38" i="19"/>
  <c r="AD40" i="19"/>
  <c r="AD18" i="19"/>
  <c r="AD24" i="19"/>
  <c r="AD22" i="19"/>
  <c r="AF46" i="19"/>
  <c r="Z46" i="19"/>
  <c r="AD47" i="21"/>
  <c r="AG52" i="3"/>
  <c r="AG5" i="3"/>
  <c r="AG70" i="3" s="1"/>
  <c r="AD47" i="3"/>
  <c r="AE12" i="3"/>
  <c r="AE8" i="3"/>
  <c r="AE16" i="3"/>
  <c r="AE17" i="3"/>
  <c r="AE24" i="3"/>
  <c r="AE11" i="3"/>
  <c r="AE21" i="3"/>
  <c r="AE10" i="3"/>
  <c r="AE45" i="3"/>
  <c r="AE9" i="3"/>
  <c r="AE13" i="3"/>
  <c r="AE43" i="3"/>
  <c r="AE31" i="3"/>
  <c r="AE30" i="3"/>
  <c r="AE34" i="3"/>
  <c r="AE38" i="3"/>
  <c r="AE18" i="3"/>
  <c r="AE20" i="3"/>
  <c r="AE19" i="3"/>
  <c r="AE39" i="3"/>
  <c r="AE28" i="3"/>
  <c r="AE6" i="3"/>
  <c r="AE15" i="3"/>
  <c r="AE35" i="3"/>
  <c r="AE44" i="3"/>
  <c r="AE37" i="3"/>
  <c r="AE36" i="3"/>
  <c r="AE40" i="3"/>
  <c r="AE26" i="3"/>
  <c r="AE25" i="3"/>
  <c r="AE7" i="3"/>
  <c r="AE27" i="3"/>
  <c r="AE14" i="3"/>
  <c r="AE23" i="3"/>
  <c r="AE32" i="3"/>
  <c r="AE41" i="3"/>
  <c r="AE42" i="3"/>
  <c r="AE33" i="3"/>
  <c r="AE29" i="3"/>
  <c r="AE22" i="3"/>
  <c r="AG49" i="21"/>
  <c r="AA50" i="21"/>
  <c r="AA48" i="21"/>
  <c r="AJ46" i="21"/>
  <c r="AN9" i="3"/>
  <c r="AQ3" i="3"/>
  <c r="AN20" i="3"/>
  <c r="AN3" i="3"/>
  <c r="AN8" i="3"/>
  <c r="AN19" i="3"/>
  <c r="AN12" i="3"/>
  <c r="AN16" i="3"/>
  <c r="AN21" i="3"/>
  <c r="AN29" i="3"/>
  <c r="AN13" i="3"/>
  <c r="AN18" i="3"/>
  <c r="AN28" i="3"/>
  <c r="AN39" i="3"/>
  <c r="AN11" i="3"/>
  <c r="AN17" i="3"/>
  <c r="AN6" i="3"/>
  <c r="AN42" i="3"/>
  <c r="AN10" i="3"/>
  <c r="AN36" i="3"/>
  <c r="AN45" i="3"/>
  <c r="AN40" i="3"/>
  <c r="AN35" i="3"/>
  <c r="AN24" i="3"/>
  <c r="AN38" i="3"/>
  <c r="AN43" i="3"/>
  <c r="AN14" i="3"/>
  <c r="AN44" i="3"/>
  <c r="AN15" i="3"/>
  <c r="AN26" i="3"/>
  <c r="AN31" i="3"/>
  <c r="AN23" i="3"/>
  <c r="AN32" i="3"/>
  <c r="AN27" i="3"/>
  <c r="AN41" i="3"/>
  <c r="AN34" i="3"/>
  <c r="AN7" i="3"/>
  <c r="AN25" i="3"/>
  <c r="AN37" i="3"/>
  <c r="AN30" i="3"/>
  <c r="AN22" i="3"/>
  <c r="AN33" i="3"/>
  <c r="AD3" i="20"/>
  <c r="AD21" i="20"/>
  <c r="AD29" i="20"/>
  <c r="AD41" i="20"/>
  <c r="AD45" i="20"/>
  <c r="AD16" i="20"/>
  <c r="AD17" i="20"/>
  <c r="AD19" i="20"/>
  <c r="AD24" i="20"/>
  <c r="AD40" i="20"/>
  <c r="AD9" i="20"/>
  <c r="AD34" i="20"/>
  <c r="AD18" i="20"/>
  <c r="AD14" i="20"/>
  <c r="AD25" i="20"/>
  <c r="AD32" i="20"/>
  <c r="AD43" i="20"/>
  <c r="AD8" i="20"/>
  <c r="AD28" i="20"/>
  <c r="AD12" i="20"/>
  <c r="AD15" i="20"/>
  <c r="AD13" i="20"/>
  <c r="AD30" i="20"/>
  <c r="AD39" i="20"/>
  <c r="AD22" i="20"/>
  <c r="AD31" i="20"/>
  <c r="AD20" i="20"/>
  <c r="AD36" i="20"/>
  <c r="AD7" i="20"/>
  <c r="AD10" i="20"/>
  <c r="AD6" i="20"/>
  <c r="AD26" i="20"/>
  <c r="AD11" i="20"/>
  <c r="AD35" i="20"/>
  <c r="AD33" i="20"/>
  <c r="AD37" i="20"/>
  <c r="AD23" i="20"/>
  <c r="AD44" i="20"/>
  <c r="AD38" i="20"/>
  <c r="AD27" i="20"/>
  <c r="AD42" i="20"/>
  <c r="Z52" i="19"/>
  <c r="Z5" i="19"/>
  <c r="Z70" i="19" s="1"/>
  <c r="AA19" i="19"/>
  <c r="AA26" i="19"/>
  <c r="AA27" i="19"/>
  <c r="AA31" i="19"/>
  <c r="AA43" i="19"/>
  <c r="AA16" i="19"/>
  <c r="AA45" i="19"/>
  <c r="AA34" i="19"/>
  <c r="AA17" i="19"/>
  <c r="AA21" i="19"/>
  <c r="AA7" i="19"/>
  <c r="AA11" i="19"/>
  <c r="AA40" i="19"/>
  <c r="AA6" i="19"/>
  <c r="AA42" i="19"/>
  <c r="AA8" i="19"/>
  <c r="AA29" i="19"/>
  <c r="AA13" i="19"/>
  <c r="AA10" i="19"/>
  <c r="AA22" i="19"/>
  <c r="AA33" i="19"/>
  <c r="AA32" i="19"/>
  <c r="AA15" i="19"/>
  <c r="AA28" i="19"/>
  <c r="AA25" i="19"/>
  <c r="AA14" i="19"/>
  <c r="AA20" i="19"/>
  <c r="AA12" i="19"/>
  <c r="AA37" i="19"/>
  <c r="AA9" i="19"/>
  <c r="AA30" i="19"/>
  <c r="AA36" i="19"/>
  <c r="AA23" i="19"/>
  <c r="AA41" i="19"/>
  <c r="AA39" i="19"/>
  <c r="AA35" i="19"/>
  <c r="AA18" i="19"/>
  <c r="AA44" i="19"/>
  <c r="AA24" i="19"/>
  <c r="AA38" i="19"/>
  <c r="AF49" i="20"/>
  <c r="AG48" i="3"/>
  <c r="AG47" i="3"/>
  <c r="AC5" i="19"/>
  <c r="AC70" i="19" s="1"/>
  <c r="AC52" i="19"/>
  <c r="AJ49" i="21"/>
  <c r="AG52" i="21"/>
  <c r="AG5" i="21"/>
  <c r="AK12" i="3"/>
  <c r="AK8" i="3"/>
  <c r="AK16" i="3"/>
  <c r="AK20" i="3"/>
  <c r="AK3" i="3"/>
  <c r="AK21" i="3"/>
  <c r="AK17" i="3"/>
  <c r="AK24" i="3"/>
  <c r="AK34" i="3"/>
  <c r="AK28" i="3"/>
  <c r="AK36" i="3"/>
  <c r="AK43" i="3"/>
  <c r="AK9" i="3"/>
  <c r="AK45" i="3"/>
  <c r="AK13" i="3"/>
  <c r="AK30" i="3"/>
  <c r="AK33" i="3"/>
  <c r="AK35" i="3"/>
  <c r="AK18" i="3"/>
  <c r="AK6" i="3"/>
  <c r="AK40" i="3"/>
  <c r="AK10" i="3"/>
  <c r="AK19" i="3"/>
  <c r="AK11" i="3"/>
  <c r="AK44" i="3"/>
  <c r="AK39" i="3"/>
  <c r="AK14" i="3"/>
  <c r="AK15" i="3"/>
  <c r="AK31" i="3"/>
  <c r="AK23" i="3"/>
  <c r="AK7" i="3"/>
  <c r="AK25" i="3"/>
  <c r="AK42" i="3"/>
  <c r="AK32" i="3"/>
  <c r="AK27" i="3"/>
  <c r="AK41" i="3"/>
  <c r="AK37" i="3"/>
  <c r="AK22" i="3"/>
  <c r="AK38" i="3"/>
  <c r="AK26" i="3"/>
  <c r="AK29" i="3"/>
  <c r="Z49" i="20"/>
  <c r="AG3" i="19"/>
  <c r="AG19" i="19"/>
  <c r="AG16" i="19"/>
  <c r="AG27" i="19"/>
  <c r="AG15" i="19"/>
  <c r="AG26" i="19"/>
  <c r="AG43" i="19"/>
  <c r="AG33" i="19"/>
  <c r="AG45" i="19"/>
  <c r="AG34" i="19"/>
  <c r="AG21" i="19"/>
  <c r="AG11" i="19"/>
  <c r="AG42" i="19"/>
  <c r="AG22" i="19"/>
  <c r="AG6" i="19"/>
  <c r="AG29" i="19"/>
  <c r="AG8" i="19"/>
  <c r="AG13" i="19"/>
  <c r="AG28" i="19"/>
  <c r="AG14" i="19"/>
  <c r="AG7" i="19"/>
  <c r="AG35" i="19"/>
  <c r="AG25" i="19"/>
  <c r="AG23" i="19"/>
  <c r="AG10" i="19"/>
  <c r="AG37" i="19"/>
  <c r="AG17" i="19"/>
  <c r="AG32" i="19"/>
  <c r="AG20" i="19"/>
  <c r="AG41" i="19"/>
  <c r="AG12" i="19"/>
  <c r="AG38" i="19"/>
  <c r="AG39" i="19"/>
  <c r="AG36" i="19"/>
  <c r="AG18" i="19"/>
  <c r="AG30" i="19"/>
  <c r="AG9" i="19"/>
  <c r="AG44" i="19"/>
  <c r="AG40" i="19"/>
  <c r="AG24" i="19"/>
  <c r="AG31" i="19"/>
  <c r="AG49" i="3"/>
  <c r="AH12" i="3"/>
  <c r="AH20" i="3"/>
  <c r="AH16" i="3"/>
  <c r="AH3" i="3"/>
  <c r="AH24" i="3"/>
  <c r="AH21" i="3"/>
  <c r="AH36" i="3"/>
  <c r="AH9" i="3"/>
  <c r="AH14" i="3"/>
  <c r="AH13" i="3"/>
  <c r="AH38" i="3"/>
  <c r="AH8" i="3"/>
  <c r="AH10" i="3"/>
  <c r="AH6" i="3"/>
  <c r="AH45" i="3"/>
  <c r="AH19" i="3"/>
  <c r="AH18" i="3"/>
  <c r="AH17" i="3"/>
  <c r="AH11" i="3"/>
  <c r="AH40" i="3"/>
  <c r="AH35" i="3"/>
  <c r="AH15" i="3"/>
  <c r="AH39" i="3"/>
  <c r="AH44" i="3"/>
  <c r="AH43" i="3"/>
  <c r="AH28" i="3"/>
  <c r="AH31" i="3"/>
  <c r="AH22" i="3"/>
  <c r="AH32" i="3"/>
  <c r="AH27" i="3"/>
  <c r="AH30" i="3"/>
  <c r="AH23" i="3"/>
  <c r="AH26" i="3"/>
  <c r="AH25" i="3"/>
  <c r="AH42" i="3"/>
  <c r="AH7" i="3"/>
  <c r="AH37" i="3"/>
  <c r="AH33" i="3"/>
  <c r="AH41" i="3"/>
  <c r="AH34" i="3"/>
  <c r="AH29" i="3"/>
  <c r="AA5" i="21"/>
  <c r="AA70" i="21" s="1"/>
  <c r="AA52" i="21"/>
  <c r="AC52" i="20"/>
  <c r="AC5" i="20"/>
  <c r="W52" i="3"/>
  <c r="W5" i="3"/>
  <c r="AF47" i="19"/>
  <c r="Z49" i="19"/>
  <c r="AD5" i="21"/>
  <c r="AD70" i="21" s="1"/>
  <c r="AD52" i="21"/>
  <c r="AD46" i="21"/>
  <c r="AG46" i="21"/>
  <c r="AJ50" i="3"/>
  <c r="AJ46" i="3"/>
  <c r="AC50" i="20"/>
  <c r="AC49" i="20"/>
  <c r="Z46" i="20"/>
  <c r="AF48" i="19"/>
  <c r="AG3" i="20"/>
  <c r="AG21" i="20"/>
  <c r="AG29" i="20"/>
  <c r="AG33" i="20"/>
  <c r="AG37" i="20"/>
  <c r="AG45" i="20"/>
  <c r="AG17" i="20"/>
  <c r="AG41" i="20"/>
  <c r="AG28" i="20"/>
  <c r="AG19" i="20"/>
  <c r="AG16" i="20"/>
  <c r="AG9" i="20"/>
  <c r="AG18" i="20"/>
  <c r="AG34" i="20"/>
  <c r="AG25" i="20"/>
  <c r="AG32" i="20"/>
  <c r="AG14" i="20"/>
  <c r="AG8" i="20"/>
  <c r="AG10" i="20"/>
  <c r="AG15" i="20"/>
  <c r="AG12" i="20"/>
  <c r="AG13" i="20"/>
  <c r="AG26" i="20"/>
  <c r="AG30" i="20"/>
  <c r="AG31" i="20"/>
  <c r="AG7" i="20"/>
  <c r="AG22" i="20"/>
  <c r="AG20" i="20"/>
  <c r="AG35" i="20"/>
  <c r="AG43" i="20"/>
  <c r="AG40" i="20"/>
  <c r="AG11" i="20"/>
  <c r="AG39" i="20"/>
  <c r="AG23" i="20"/>
  <c r="AG42" i="20"/>
  <c r="AG44" i="20"/>
  <c r="AG36" i="20"/>
  <c r="AG38" i="20"/>
  <c r="AG24" i="20"/>
  <c r="AG6" i="20"/>
  <c r="AG27" i="20"/>
  <c r="AC49" i="19"/>
  <c r="AJ50" i="21"/>
  <c r="AJ52" i="21"/>
  <c r="AJ5" i="21"/>
  <c r="AK16" i="21"/>
  <c r="AK3" i="21"/>
  <c r="AK18" i="21"/>
  <c r="AK41" i="21"/>
  <c r="AK19" i="21"/>
  <c r="AK26" i="21"/>
  <c r="AK20" i="21"/>
  <c r="AK21" i="21"/>
  <c r="AK17" i="21"/>
  <c r="AK45" i="21"/>
  <c r="AK11" i="21"/>
  <c r="AK34" i="21"/>
  <c r="AK42" i="21"/>
  <c r="AK33" i="21"/>
  <c r="AK12" i="21"/>
  <c r="AK32" i="21"/>
  <c r="AK8" i="21"/>
  <c r="AK30" i="21"/>
  <c r="AK7" i="21"/>
  <c r="AK9" i="21"/>
  <c r="AK40" i="21"/>
  <c r="AK27" i="21"/>
  <c r="AK44" i="21"/>
  <c r="AK13" i="21"/>
  <c r="AK28" i="21"/>
  <c r="AK22" i="21"/>
  <c r="AK43" i="21"/>
  <c r="AK39" i="21"/>
  <c r="AK24" i="21"/>
  <c r="AK6" i="21"/>
  <c r="AK15" i="21"/>
  <c r="AK38" i="21"/>
  <c r="AK37" i="21"/>
  <c r="AK10" i="21"/>
  <c r="AK25" i="21"/>
  <c r="AK35" i="21"/>
  <c r="AK31" i="21"/>
  <c r="AK29" i="21"/>
  <c r="AK14" i="21"/>
  <c r="AK23" i="21"/>
  <c r="AK36" i="21"/>
  <c r="W47" i="3"/>
  <c r="Z52" i="20"/>
  <c r="Z5" i="20"/>
  <c r="AF47" i="20"/>
  <c r="AD49" i="21"/>
  <c r="AD48" i="3"/>
  <c r="AD52" i="3"/>
  <c r="AD5" i="3"/>
  <c r="AD46" i="3"/>
  <c r="AH3" i="21"/>
  <c r="AH17" i="21"/>
  <c r="AH45" i="21"/>
  <c r="AH19" i="21"/>
  <c r="AH42" i="21"/>
  <c r="AH41" i="21"/>
  <c r="AH16" i="21"/>
  <c r="AH20" i="21"/>
  <c r="AH21" i="21"/>
  <c r="AH26" i="21"/>
  <c r="AH9" i="21"/>
  <c r="AH34" i="21"/>
  <c r="AH33" i="21"/>
  <c r="AH11" i="21"/>
  <c r="AH24" i="21"/>
  <c r="AH30" i="21"/>
  <c r="AH7" i="21"/>
  <c r="AH8" i="21"/>
  <c r="AH28" i="21"/>
  <c r="AH27" i="21"/>
  <c r="AH12" i="21"/>
  <c r="AH13" i="21"/>
  <c r="AH32" i="21"/>
  <c r="AH44" i="21"/>
  <c r="AH40" i="21"/>
  <c r="AH18" i="21"/>
  <c r="AH39" i="21"/>
  <c r="AH22" i="21"/>
  <c r="AH6" i="21"/>
  <c r="AH38" i="21"/>
  <c r="AH37" i="21"/>
  <c r="AH15" i="21"/>
  <c r="AH25" i="21"/>
  <c r="AH23" i="21"/>
  <c r="AH31" i="21"/>
  <c r="AH14" i="21"/>
  <c r="AH35" i="21"/>
  <c r="AH10" i="21"/>
  <c r="AH29" i="21"/>
  <c r="AH43" i="21"/>
  <c r="AH36" i="21"/>
  <c r="W50" i="3"/>
  <c r="AF49" i="19"/>
  <c r="AM3" i="19"/>
  <c r="AJ3" i="19"/>
  <c r="AJ27" i="19"/>
  <c r="AJ29" i="19"/>
  <c r="AJ45" i="19"/>
  <c r="AJ21" i="19"/>
  <c r="AJ43" i="19"/>
  <c r="AJ16" i="19"/>
  <c r="AJ34" i="19"/>
  <c r="AJ28" i="19"/>
  <c r="AJ11" i="19"/>
  <c r="AJ6" i="19"/>
  <c r="AJ8" i="19"/>
  <c r="AJ26" i="19"/>
  <c r="AJ42" i="19"/>
  <c r="AJ19" i="19"/>
  <c r="AJ14" i="19"/>
  <c r="AJ10" i="19"/>
  <c r="AJ32" i="19"/>
  <c r="AJ13" i="19"/>
  <c r="AJ7" i="19"/>
  <c r="AJ15" i="19"/>
  <c r="AJ20" i="19"/>
  <c r="AJ12" i="19"/>
  <c r="AJ30" i="19"/>
  <c r="AJ40" i="19"/>
  <c r="AJ9" i="19"/>
  <c r="AJ44" i="19"/>
  <c r="AJ41" i="19"/>
  <c r="AJ37" i="19"/>
  <c r="AJ39" i="19"/>
  <c r="AJ17" i="19"/>
  <c r="AJ35" i="19"/>
  <c r="AJ36" i="19"/>
  <c r="AJ38" i="19"/>
  <c r="AJ33" i="19"/>
  <c r="AJ24" i="19"/>
  <c r="AJ25" i="19"/>
  <c r="AJ31" i="19"/>
  <c r="AJ18" i="19"/>
  <c r="AJ23" i="19"/>
  <c r="AJ22" i="19"/>
  <c r="AF52" i="20"/>
  <c r="AF5" i="20"/>
  <c r="AF70" i="20" s="1"/>
  <c r="AD49" i="3"/>
  <c r="AA49" i="21"/>
  <c r="AJ48" i="21"/>
  <c r="AN3" i="21"/>
  <c r="AQ3" i="21"/>
  <c r="AN20" i="21"/>
  <c r="AN19" i="21"/>
  <c r="AN45" i="21"/>
  <c r="AN17" i="21"/>
  <c r="AN41" i="21"/>
  <c r="AN21" i="21"/>
  <c r="AN34" i="21"/>
  <c r="AN16" i="21"/>
  <c r="AN25" i="21"/>
  <c r="AN11" i="21"/>
  <c r="AN42" i="21"/>
  <c r="AN9" i="21"/>
  <c r="AN13" i="21"/>
  <c r="AN33" i="21"/>
  <c r="AN32" i="21"/>
  <c r="AN28" i="21"/>
  <c r="AN7" i="21"/>
  <c r="AN27" i="21"/>
  <c r="AN39" i="21"/>
  <c r="AN37" i="21"/>
  <c r="AN6" i="21"/>
  <c r="AN12" i="21"/>
  <c r="AN24" i="21"/>
  <c r="AN8" i="21"/>
  <c r="AN31" i="21"/>
  <c r="AN30" i="21"/>
  <c r="AN14" i="21"/>
  <c r="AN22" i="21"/>
  <c r="AN40" i="21"/>
  <c r="AN15" i="21"/>
  <c r="AN44" i="21"/>
  <c r="AN35" i="21"/>
  <c r="AN26" i="21"/>
  <c r="AN38" i="21"/>
  <c r="AN23" i="21"/>
  <c r="AN10" i="21"/>
  <c r="AN18" i="21"/>
  <c r="AN29" i="21"/>
  <c r="AN43" i="21"/>
  <c r="AN36" i="21"/>
  <c r="AJ49" i="3"/>
  <c r="AC47" i="20"/>
  <c r="W46" i="3"/>
  <c r="AA41" i="20"/>
  <c r="AA21" i="20"/>
  <c r="AA17" i="20"/>
  <c r="AA19" i="20"/>
  <c r="AA45" i="20"/>
  <c r="AA16" i="20"/>
  <c r="AA30" i="20"/>
  <c r="AA18" i="20"/>
  <c r="AA40" i="20"/>
  <c r="AA8" i="20"/>
  <c r="AA9" i="20"/>
  <c r="AA29" i="20"/>
  <c r="AA14" i="20"/>
  <c r="AA32" i="20"/>
  <c r="AA10" i="20"/>
  <c r="AA26" i="20"/>
  <c r="AA13" i="20"/>
  <c r="AA12" i="20"/>
  <c r="AA34" i="20"/>
  <c r="AA15" i="20"/>
  <c r="AA43" i="20"/>
  <c r="AA39" i="20"/>
  <c r="AA22" i="20"/>
  <c r="AA7" i="20"/>
  <c r="AA20" i="20"/>
  <c r="AA28" i="20"/>
  <c r="AA31" i="20"/>
  <c r="AA11" i="20"/>
  <c r="AA35" i="20"/>
  <c r="AA37" i="20"/>
  <c r="AA33" i="20"/>
  <c r="AA38" i="20"/>
  <c r="AA24" i="20"/>
  <c r="AA44" i="20"/>
  <c r="AA6" i="20"/>
  <c r="AA25" i="20"/>
  <c r="AA36" i="20"/>
  <c r="AA42" i="20"/>
  <c r="AA23" i="20"/>
  <c r="AA27" i="20"/>
  <c r="AJ52" i="3"/>
  <c r="AJ5" i="3"/>
  <c r="AJ70" i="3" s="1"/>
  <c r="AF50" i="19"/>
  <c r="AJ3" i="20"/>
  <c r="AJ21" i="20"/>
  <c r="AM3" i="20"/>
  <c r="AJ45" i="20"/>
  <c r="AJ17" i="20"/>
  <c r="AJ41" i="20"/>
  <c r="AJ34" i="20"/>
  <c r="AJ16" i="20"/>
  <c r="AJ19" i="20"/>
  <c r="AJ18" i="20"/>
  <c r="AJ9" i="20"/>
  <c r="AJ29" i="20"/>
  <c r="AJ28" i="20"/>
  <c r="AJ14" i="20"/>
  <c r="AJ32" i="20"/>
  <c r="AJ24" i="20"/>
  <c r="AJ43" i="20"/>
  <c r="AJ13" i="20"/>
  <c r="AJ10" i="20"/>
  <c r="AJ12" i="20"/>
  <c r="AJ30" i="20"/>
  <c r="AJ15" i="20"/>
  <c r="AJ8" i="20"/>
  <c r="AJ31" i="20"/>
  <c r="AJ20" i="20"/>
  <c r="AJ37" i="20"/>
  <c r="AJ7" i="20"/>
  <c r="AJ35" i="20"/>
  <c r="AJ11" i="20"/>
  <c r="AJ26" i="20"/>
  <c r="AJ22" i="20"/>
  <c r="AJ39" i="20"/>
  <c r="AJ40" i="20"/>
  <c r="AJ36" i="20"/>
  <c r="AJ33" i="20"/>
  <c r="AJ6" i="20"/>
  <c r="AJ38" i="20"/>
  <c r="AJ23" i="20"/>
  <c r="AJ25" i="20"/>
  <c r="AJ42" i="20"/>
  <c r="AJ44" i="20"/>
  <c r="AJ27" i="20"/>
  <c r="AE16" i="21"/>
  <c r="AE41" i="21"/>
  <c r="AE21" i="21"/>
  <c r="AE45" i="21"/>
  <c r="AE20" i="21"/>
  <c r="AE17" i="21"/>
  <c r="AE19" i="21"/>
  <c r="AE34" i="21"/>
  <c r="AE9" i="21"/>
  <c r="AE28" i="21"/>
  <c r="AE11" i="21"/>
  <c r="AE22" i="21"/>
  <c r="AE25" i="21"/>
  <c r="AE42" i="21"/>
  <c r="AE33" i="21"/>
  <c r="AE29" i="21"/>
  <c r="AE7" i="21"/>
  <c r="AE30" i="21"/>
  <c r="AE32" i="21"/>
  <c r="AE12" i="21"/>
  <c r="AE40" i="21"/>
  <c r="AE8" i="21"/>
  <c r="AE24" i="21"/>
  <c r="AE13" i="21"/>
  <c r="AE39" i="21"/>
  <c r="AE37" i="21"/>
  <c r="AE44" i="21"/>
  <c r="AE38" i="21"/>
  <c r="AE27" i="21"/>
  <c r="AE18" i="21"/>
  <c r="AE15" i="21"/>
  <c r="AE6" i="21"/>
  <c r="AE26" i="21"/>
  <c r="AE43" i="21"/>
  <c r="AE35" i="21"/>
  <c r="AE31" i="21"/>
  <c r="AE14" i="21"/>
  <c r="AE10" i="21"/>
  <c r="AE23" i="21"/>
  <c r="AE36" i="21"/>
  <c r="AG46" i="3"/>
  <c r="AA46" i="21"/>
  <c r="AJ48" i="3"/>
  <c r="W49" i="3"/>
  <c r="J8" i="25"/>
  <c r="C82" i="2"/>
  <c r="D81" i="2"/>
  <c r="W70" i="23" l="1"/>
  <c r="AJ70" i="23"/>
  <c r="AN51" i="23"/>
  <c r="AK51" i="23"/>
  <c r="AG51" i="19"/>
  <c r="AB53" i="22"/>
  <c r="W53" i="18"/>
  <c r="AE48" i="23"/>
  <c r="AC53" i="18"/>
  <c r="Z53" i="18"/>
  <c r="AF53" i="18"/>
  <c r="AA51" i="19"/>
  <c r="AD51" i="20"/>
  <c r="Z50" i="18"/>
  <c r="AE53" i="23"/>
  <c r="AJ53" i="19"/>
  <c r="AB48" i="22"/>
  <c r="AA50" i="19"/>
  <c r="AE51" i="3"/>
  <c r="AH51" i="3"/>
  <c r="AA51" i="20"/>
  <c r="AD51" i="19"/>
  <c r="AE50" i="23"/>
  <c r="Y48" i="22"/>
  <c r="AG70" i="23"/>
  <c r="AK48" i="23"/>
  <c r="AH48" i="23"/>
  <c r="S53" i="22"/>
  <c r="AK51" i="21"/>
  <c r="AD70" i="23"/>
  <c r="Y50" i="22"/>
  <c r="Y46" i="22"/>
  <c r="AB46" i="22"/>
  <c r="V46" i="22"/>
  <c r="AH46" i="23"/>
  <c r="AB51" i="22"/>
  <c r="AB47" i="22"/>
  <c r="V51" i="22"/>
  <c r="V47" i="22"/>
  <c r="AH51" i="23"/>
  <c r="AH47" i="23"/>
  <c r="AN51" i="21"/>
  <c r="AK51" i="3"/>
  <c r="AK50" i="23"/>
  <c r="AN50" i="23"/>
  <c r="AN46" i="23"/>
  <c r="AC50" i="18"/>
  <c r="AB52" i="22"/>
  <c r="S52" i="22"/>
  <c r="AH49" i="23"/>
  <c r="AE51" i="23"/>
  <c r="AE47" i="23"/>
  <c r="AJ51" i="19"/>
  <c r="AH51" i="21"/>
  <c r="AN51" i="3"/>
  <c r="AK49" i="23"/>
  <c r="AK46" i="23"/>
  <c r="AN53" i="23"/>
  <c r="Z47" i="18"/>
  <c r="AE52" i="23"/>
  <c r="S49" i="22"/>
  <c r="S51" i="22"/>
  <c r="S47" i="22"/>
  <c r="AK53" i="23"/>
  <c r="AK52" i="23"/>
  <c r="AN48" i="23"/>
  <c r="AN49" i="23"/>
  <c r="Y52" i="22"/>
  <c r="AE49" i="23"/>
  <c r="S46" i="22"/>
  <c r="V53" i="22"/>
  <c r="V52" i="22"/>
  <c r="V49" i="22"/>
  <c r="AH53" i="23"/>
  <c r="AH52" i="23"/>
  <c r="Y51" i="22"/>
  <c r="Y47" i="22"/>
  <c r="AE51" i="21"/>
  <c r="AJ51" i="20"/>
  <c r="AH48" i="21"/>
  <c r="AG51" i="20"/>
  <c r="AN52" i="23"/>
  <c r="AC48" i="18"/>
  <c r="AB50" i="22"/>
  <c r="AB49" i="22"/>
  <c r="AF50" i="18"/>
  <c r="Y53" i="22"/>
  <c r="Y49" i="22"/>
  <c r="Z48" i="18"/>
  <c r="W52" i="18"/>
  <c r="W50" i="18"/>
  <c r="AE46" i="23"/>
  <c r="S48" i="22"/>
  <c r="V50" i="22"/>
  <c r="V48" i="22"/>
  <c r="AH50" i="23"/>
  <c r="Z51" i="18"/>
  <c r="Z49" i="18"/>
  <c r="AC49" i="18"/>
  <c r="AF49" i="18"/>
  <c r="W49" i="18"/>
  <c r="AF51" i="18"/>
  <c r="AF47" i="18"/>
  <c r="AC51" i="18"/>
  <c r="AC47" i="18"/>
  <c r="W51" i="18"/>
  <c r="W47" i="18"/>
  <c r="AF48" i="18"/>
  <c r="W48" i="18"/>
  <c r="AF46" i="18"/>
  <c r="Z46" i="18"/>
  <c r="AC46" i="18"/>
  <c r="W46" i="18"/>
  <c r="Z52" i="18"/>
  <c r="AF52" i="18"/>
  <c r="AC52" i="18"/>
  <c r="AN78" i="2"/>
  <c r="AL3" i="23"/>
  <c r="AL16" i="23"/>
  <c r="AL45" i="23"/>
  <c r="AL37" i="23"/>
  <c r="AL11" i="23"/>
  <c r="AL28" i="23"/>
  <c r="AL47" i="23" s="1"/>
  <c r="AL38" i="23"/>
  <c r="AL43" i="23"/>
  <c r="AL21" i="23"/>
  <c r="AL19" i="23"/>
  <c r="AL15" i="23"/>
  <c r="AL34" i="23"/>
  <c r="AL26" i="23"/>
  <c r="AL42" i="23"/>
  <c r="AL22" i="23"/>
  <c r="AL20" i="23"/>
  <c r="AL13" i="23"/>
  <c r="AL10" i="23"/>
  <c r="AL6" i="23"/>
  <c r="AL18" i="23"/>
  <c r="AL35" i="23"/>
  <c r="AL8" i="23"/>
  <c r="AL14" i="23"/>
  <c r="AL7" i="23"/>
  <c r="AL33" i="23"/>
  <c r="AL29" i="23"/>
  <c r="AL41" i="23"/>
  <c r="AL27" i="23"/>
  <c r="AL17" i="23"/>
  <c r="AL9" i="23"/>
  <c r="AL40" i="23"/>
  <c r="AL39" i="23"/>
  <c r="AL32" i="23"/>
  <c r="AL24" i="23"/>
  <c r="AL30" i="23"/>
  <c r="AL31" i="23"/>
  <c r="AL12" i="23"/>
  <c r="AL25" i="23"/>
  <c r="AL36" i="23"/>
  <c r="AL23" i="23"/>
  <c r="AL44" i="23"/>
  <c r="AN5" i="23"/>
  <c r="AN70" i="23" s="1"/>
  <c r="AC11" i="22"/>
  <c r="AC34" i="22"/>
  <c r="AC21" i="22"/>
  <c r="AC17" i="22"/>
  <c r="AC45" i="22"/>
  <c r="AC16" i="22"/>
  <c r="AC20" i="22"/>
  <c r="AC41" i="22"/>
  <c r="AC33" i="22"/>
  <c r="AC8" i="22"/>
  <c r="AC42" i="22"/>
  <c r="AC23" i="22"/>
  <c r="AC9" i="22"/>
  <c r="AC12" i="22"/>
  <c r="AC25" i="22"/>
  <c r="AC40" i="22"/>
  <c r="AC29" i="22"/>
  <c r="AC19" i="22"/>
  <c r="AC22" i="22"/>
  <c r="AC28" i="22"/>
  <c r="AC43" i="22"/>
  <c r="AC31" i="22"/>
  <c r="AC7" i="22"/>
  <c r="AC39" i="22"/>
  <c r="AC36" i="22"/>
  <c r="AC44" i="22"/>
  <c r="AC26" i="22"/>
  <c r="AC24" i="22"/>
  <c r="AC13" i="22"/>
  <c r="AC38" i="22"/>
  <c r="AC14" i="22"/>
  <c r="AC35" i="22"/>
  <c r="AC6" i="22"/>
  <c r="AC27" i="22"/>
  <c r="AC15" i="22"/>
  <c r="AC10" i="22"/>
  <c r="AC30" i="22"/>
  <c r="AC37" i="22"/>
  <c r="AC32" i="22"/>
  <c r="AC18" i="22"/>
  <c r="AC3" i="22"/>
  <c r="Z5" i="18"/>
  <c r="Z70" i="18" s="1"/>
  <c r="AB5" i="22"/>
  <c r="AB70" i="22" s="1"/>
  <c r="S5" i="22"/>
  <c r="S70" i="22" s="1"/>
  <c r="V5" i="22"/>
  <c r="V70" i="22" s="1"/>
  <c r="AH5" i="23"/>
  <c r="AH70" i="23" s="1"/>
  <c r="AO3" i="23"/>
  <c r="AO45" i="23"/>
  <c r="AO19" i="23"/>
  <c r="AO16" i="23"/>
  <c r="AO11" i="23"/>
  <c r="AO42" i="23"/>
  <c r="AO20" i="23"/>
  <c r="AO27" i="23"/>
  <c r="AO15" i="23"/>
  <c r="AO28" i="23"/>
  <c r="AO18" i="23"/>
  <c r="AO7" i="23"/>
  <c r="AO21" i="23"/>
  <c r="AO34" i="23"/>
  <c r="AO6" i="23"/>
  <c r="AO13" i="23"/>
  <c r="AO8" i="23"/>
  <c r="AO41" i="23"/>
  <c r="AO26" i="23"/>
  <c r="AO43" i="23"/>
  <c r="AO30" i="23"/>
  <c r="AO37" i="23"/>
  <c r="AO39" i="23"/>
  <c r="AO32" i="23"/>
  <c r="AO38" i="23"/>
  <c r="AO29" i="23"/>
  <c r="AO24" i="23"/>
  <c r="AO35" i="23"/>
  <c r="AO17" i="23"/>
  <c r="AO25" i="23"/>
  <c r="AO9" i="23"/>
  <c r="AO40" i="23"/>
  <c r="AO36" i="23"/>
  <c r="AO44" i="23"/>
  <c r="AO14" i="23"/>
  <c r="AO33" i="23"/>
  <c r="AO31" i="23"/>
  <c r="AO12" i="23"/>
  <c r="AO23" i="23"/>
  <c r="AO10" i="23"/>
  <c r="AO22" i="23"/>
  <c r="AG17" i="18"/>
  <c r="AG33" i="18"/>
  <c r="AG29" i="18"/>
  <c r="AG35" i="18"/>
  <c r="AG14" i="18"/>
  <c r="AG45" i="18"/>
  <c r="AG6" i="18"/>
  <c r="AG11" i="18"/>
  <c r="AG26" i="18"/>
  <c r="AG31" i="18"/>
  <c r="AG32" i="18"/>
  <c r="AG8" i="18"/>
  <c r="AG10" i="18"/>
  <c r="AG9" i="18"/>
  <c r="AG38" i="18"/>
  <c r="AG15" i="18"/>
  <c r="AG23" i="18"/>
  <c r="AG42" i="18"/>
  <c r="AG30" i="18"/>
  <c r="AG24" i="18"/>
  <c r="AG18" i="18"/>
  <c r="AG28" i="18"/>
  <c r="AG13" i="18"/>
  <c r="AG16" i="18"/>
  <c r="AG12" i="18"/>
  <c r="AG34" i="18"/>
  <c r="AG37" i="18"/>
  <c r="AG39" i="18"/>
  <c r="AG3" i="18"/>
  <c r="AG19" i="18"/>
  <c r="AG44" i="18"/>
  <c r="AG22" i="18"/>
  <c r="AG27" i="18"/>
  <c r="AG25" i="18"/>
  <c r="AG43" i="18"/>
  <c r="AG41" i="18"/>
  <c r="AG20" i="18"/>
  <c r="AG7" i="18"/>
  <c r="AG21" i="18"/>
  <c r="AG40" i="18"/>
  <c r="AG36" i="18"/>
  <c r="Y5" i="22"/>
  <c r="Y70" i="22" s="1"/>
  <c r="AR3" i="23"/>
  <c r="AR19" i="23"/>
  <c r="AU3" i="23"/>
  <c r="AR21" i="23"/>
  <c r="AR15" i="23"/>
  <c r="AR43" i="23"/>
  <c r="AR31" i="23"/>
  <c r="AR16" i="23"/>
  <c r="AR28" i="23"/>
  <c r="AR47" i="23" s="1"/>
  <c r="AR26" i="23"/>
  <c r="AR11" i="23"/>
  <c r="AR34" i="23"/>
  <c r="AR25" i="23"/>
  <c r="AR20" i="23"/>
  <c r="AR6" i="23"/>
  <c r="AR10" i="23"/>
  <c r="AR45" i="23"/>
  <c r="AR29" i="23"/>
  <c r="AR18" i="23"/>
  <c r="AR7" i="23"/>
  <c r="AR42" i="23"/>
  <c r="AR13" i="23"/>
  <c r="AR8" i="23"/>
  <c r="AR41" i="23"/>
  <c r="AR22" i="23"/>
  <c r="AR32" i="23"/>
  <c r="AR30" i="23"/>
  <c r="AR50" i="23" s="1"/>
  <c r="AR27" i="23"/>
  <c r="AR9" i="23"/>
  <c r="AR35" i="23"/>
  <c r="AR14" i="23"/>
  <c r="AR17" i="23"/>
  <c r="AR37" i="23"/>
  <c r="AR40" i="23"/>
  <c r="AR24" i="23"/>
  <c r="AR33" i="23"/>
  <c r="AR39" i="23"/>
  <c r="AR23" i="23"/>
  <c r="AR44" i="23"/>
  <c r="AR12" i="23"/>
  <c r="AR36" i="23"/>
  <c r="AR38" i="23"/>
  <c r="AJ3" i="18"/>
  <c r="AJ20" i="18"/>
  <c r="AJ12" i="18"/>
  <c r="AJ13" i="18"/>
  <c r="AJ37" i="18"/>
  <c r="AJ25" i="18"/>
  <c r="AJ42" i="18"/>
  <c r="AJ19" i="18"/>
  <c r="AJ26" i="18"/>
  <c r="AJ44" i="18"/>
  <c r="AJ10" i="18"/>
  <c r="AJ38" i="18"/>
  <c r="AJ17" i="18"/>
  <c r="AJ9" i="18"/>
  <c r="AJ28" i="18"/>
  <c r="AJ23" i="18"/>
  <c r="AJ31" i="18"/>
  <c r="AJ18" i="18"/>
  <c r="AJ41" i="18"/>
  <c r="AJ29" i="18"/>
  <c r="AJ14" i="18"/>
  <c r="AJ35" i="18"/>
  <c r="AM3" i="18"/>
  <c r="AJ45" i="18"/>
  <c r="AJ40" i="18"/>
  <c r="AJ43" i="18"/>
  <c r="AJ34" i="18"/>
  <c r="AJ36" i="18"/>
  <c r="AJ32" i="18"/>
  <c r="AJ8" i="18"/>
  <c r="AJ21" i="18"/>
  <c r="AJ27" i="18"/>
  <c r="AJ22" i="18"/>
  <c r="AJ16" i="18"/>
  <c r="AJ7" i="18"/>
  <c r="AJ15" i="18"/>
  <c r="AJ30" i="18"/>
  <c r="AJ50" i="18" s="1"/>
  <c r="AJ24" i="18"/>
  <c r="AJ33" i="18"/>
  <c r="AJ11" i="18"/>
  <c r="AJ6" i="18"/>
  <c r="AJ39" i="18"/>
  <c r="W21" i="22"/>
  <c r="W19" i="22"/>
  <c r="W41" i="22"/>
  <c r="W29" i="22"/>
  <c r="W42" i="22"/>
  <c r="W34" i="22"/>
  <c r="W18" i="22"/>
  <c r="W45" i="22"/>
  <c r="W20" i="22"/>
  <c r="W25" i="22"/>
  <c r="W17" i="22"/>
  <c r="W16" i="22"/>
  <c r="W11" i="22"/>
  <c r="W33" i="22"/>
  <c r="W28" i="22"/>
  <c r="W12" i="22"/>
  <c r="W22" i="22"/>
  <c r="W39" i="22"/>
  <c r="W23" i="22"/>
  <c r="W9" i="22"/>
  <c r="W31" i="22"/>
  <c r="W44" i="22"/>
  <c r="W32" i="22"/>
  <c r="W35" i="22"/>
  <c r="W8" i="22"/>
  <c r="W26" i="22"/>
  <c r="W24" i="22"/>
  <c r="W37" i="22"/>
  <c r="W40" i="22"/>
  <c r="W7" i="22"/>
  <c r="W36" i="22"/>
  <c r="W6" i="22"/>
  <c r="W15" i="22"/>
  <c r="W10" i="22"/>
  <c r="W14" i="22"/>
  <c r="W27" i="22"/>
  <c r="W13" i="22"/>
  <c r="W38" i="22"/>
  <c r="W30" i="22"/>
  <c r="W43" i="22"/>
  <c r="AI20" i="23"/>
  <c r="AI23" i="23"/>
  <c r="AI21" i="23"/>
  <c r="AI45" i="23"/>
  <c r="AI11" i="23"/>
  <c r="AI42" i="23"/>
  <c r="AI34" i="23"/>
  <c r="AI16" i="23"/>
  <c r="AI19" i="23"/>
  <c r="AI43" i="23"/>
  <c r="AI30" i="23"/>
  <c r="AI18" i="23"/>
  <c r="AI7" i="23"/>
  <c r="AI6" i="23"/>
  <c r="AI26" i="23"/>
  <c r="AI29" i="23"/>
  <c r="AI8" i="23"/>
  <c r="AI24" i="23"/>
  <c r="AI41" i="23"/>
  <c r="AI10" i="23"/>
  <c r="AI40" i="23"/>
  <c r="AI32" i="23"/>
  <c r="AI13" i="23"/>
  <c r="AI28" i="23"/>
  <c r="AI39" i="23"/>
  <c r="AI14" i="23"/>
  <c r="AI17" i="23"/>
  <c r="AI9" i="23"/>
  <c r="AI37" i="23"/>
  <c r="AI15" i="23"/>
  <c r="AI27" i="23"/>
  <c r="AI44" i="23"/>
  <c r="AI38" i="23"/>
  <c r="AI35" i="23"/>
  <c r="AI36" i="23"/>
  <c r="AI31" i="23"/>
  <c r="AI33" i="23"/>
  <c r="AI25" i="23"/>
  <c r="AI22" i="23"/>
  <c r="AI12" i="23"/>
  <c r="AK5" i="23"/>
  <c r="AK70" i="23" s="1"/>
  <c r="AD3" i="18"/>
  <c r="AD16" i="18"/>
  <c r="AD11" i="18"/>
  <c r="AD43" i="18"/>
  <c r="AD14" i="18"/>
  <c r="AD42" i="18"/>
  <c r="AD19" i="18"/>
  <c r="AD45" i="18"/>
  <c r="AD34" i="18"/>
  <c r="AD44" i="18"/>
  <c r="AD22" i="18"/>
  <c r="AD36" i="18"/>
  <c r="AD33" i="18"/>
  <c r="AD28" i="18"/>
  <c r="AD29" i="18"/>
  <c r="AD26" i="18"/>
  <c r="AD35" i="18"/>
  <c r="AD32" i="18"/>
  <c r="AD37" i="18"/>
  <c r="AD7" i="18"/>
  <c r="AD21" i="18"/>
  <c r="AD27" i="18"/>
  <c r="AD25" i="18"/>
  <c r="AD41" i="18"/>
  <c r="AD12" i="18"/>
  <c r="AD15" i="18"/>
  <c r="AD40" i="18"/>
  <c r="AD30" i="18"/>
  <c r="AD8" i="18"/>
  <c r="AD17" i="18"/>
  <c r="AD20" i="18"/>
  <c r="AD23" i="18"/>
  <c r="AD9" i="18"/>
  <c r="AD24" i="18"/>
  <c r="AD18" i="18"/>
  <c r="AD13" i="18"/>
  <c r="AD6" i="18"/>
  <c r="AD39" i="18"/>
  <c r="AD38" i="18"/>
  <c r="AD31" i="18"/>
  <c r="AD10" i="18"/>
  <c r="Z3" i="22"/>
  <c r="Z41" i="22"/>
  <c r="Z45" i="22"/>
  <c r="Z17" i="22"/>
  <c r="Z34" i="22"/>
  <c r="Z21" i="22"/>
  <c r="Z37" i="22"/>
  <c r="Z18" i="22"/>
  <c r="Z28" i="22"/>
  <c r="Z47" i="22" s="1"/>
  <c r="Z29" i="22"/>
  <c r="Z19" i="22"/>
  <c r="Z20" i="22"/>
  <c r="Z16" i="22"/>
  <c r="Z44" i="22"/>
  <c r="Z7" i="22"/>
  <c r="Z22" i="22"/>
  <c r="Z33" i="22"/>
  <c r="Z11" i="22"/>
  <c r="Z12" i="22"/>
  <c r="Z8" i="22"/>
  <c r="Z26" i="22"/>
  <c r="Z9" i="22"/>
  <c r="Z23" i="22"/>
  <c r="Z25" i="22"/>
  <c r="Z42" i="22"/>
  <c r="Z38" i="22"/>
  <c r="Z13" i="22"/>
  <c r="Z31" i="22"/>
  <c r="Z39" i="22"/>
  <c r="Z24" i="22"/>
  <c r="Z32" i="22"/>
  <c r="Z35" i="22"/>
  <c r="Z10" i="22"/>
  <c r="Z27" i="22"/>
  <c r="Z36" i="22"/>
  <c r="Z6" i="22"/>
  <c r="Z40" i="22"/>
  <c r="Z15" i="22"/>
  <c r="Z30" i="22"/>
  <c r="Z14" i="22"/>
  <c r="Z43" i="22"/>
  <c r="AE5" i="23"/>
  <c r="AE70" i="23" s="1"/>
  <c r="AC5" i="18"/>
  <c r="AC70" i="18" s="1"/>
  <c r="AF16" i="22"/>
  <c r="AF40" i="22"/>
  <c r="AF21" i="22"/>
  <c r="AF20" i="22"/>
  <c r="AF41" i="22"/>
  <c r="AF19" i="22"/>
  <c r="AF45" i="22"/>
  <c r="AF17" i="22"/>
  <c r="AF34" i="22"/>
  <c r="AF22" i="22"/>
  <c r="AF31" i="22"/>
  <c r="AF25" i="22"/>
  <c r="AF7" i="22"/>
  <c r="AF12" i="22"/>
  <c r="AF10" i="22"/>
  <c r="AF9" i="22"/>
  <c r="AF42" i="22"/>
  <c r="AF23" i="22"/>
  <c r="AF29" i="22"/>
  <c r="AF33" i="22"/>
  <c r="AF28" i="22"/>
  <c r="AF11" i="22"/>
  <c r="AF32" i="22"/>
  <c r="AF8" i="22"/>
  <c r="AF13" i="22"/>
  <c r="AF6" i="22"/>
  <c r="AF37" i="22"/>
  <c r="AF36" i="22"/>
  <c r="AF35" i="22"/>
  <c r="AF26" i="22"/>
  <c r="AF24" i="22"/>
  <c r="AF15" i="22"/>
  <c r="AF38" i="22"/>
  <c r="AF44" i="22"/>
  <c r="AF27" i="22"/>
  <c r="AF14" i="22"/>
  <c r="AF43" i="22"/>
  <c r="AF30" i="22"/>
  <c r="AF39" i="22"/>
  <c r="AF3" i="22"/>
  <c r="AF18" i="22"/>
  <c r="AI3" i="22"/>
  <c r="AF5" i="18"/>
  <c r="AF70" i="18" s="1"/>
  <c r="AA45" i="18"/>
  <c r="AA12" i="18"/>
  <c r="AA23" i="18"/>
  <c r="AA14" i="18"/>
  <c r="AA31" i="18"/>
  <c r="AA17" i="18"/>
  <c r="AA11" i="18"/>
  <c r="AA29" i="18"/>
  <c r="AA6" i="18"/>
  <c r="AA42" i="18"/>
  <c r="AA41" i="18"/>
  <c r="AA16" i="18"/>
  <c r="AA28" i="18"/>
  <c r="AA10" i="18"/>
  <c r="AA27" i="18"/>
  <c r="AA32" i="18"/>
  <c r="AA21" i="18"/>
  <c r="AA33" i="18"/>
  <c r="AA26" i="18"/>
  <c r="AA36" i="18"/>
  <c r="AA22" i="18"/>
  <c r="AA35" i="18"/>
  <c r="AA38" i="18"/>
  <c r="AA18" i="18"/>
  <c r="AA44" i="18"/>
  <c r="AA34" i="18"/>
  <c r="AA40" i="18"/>
  <c r="AA30" i="18"/>
  <c r="AA7" i="18"/>
  <c r="AA20" i="18"/>
  <c r="AA8" i="18"/>
  <c r="AA13" i="18"/>
  <c r="AA37" i="18"/>
  <c r="AA25" i="18"/>
  <c r="AA43" i="18"/>
  <c r="AA19" i="18"/>
  <c r="AA15" i="18"/>
  <c r="AA9" i="18"/>
  <c r="AA39" i="18"/>
  <c r="AA24" i="18"/>
  <c r="W5" i="18"/>
  <c r="W70" i="18" s="1"/>
  <c r="J10" i="25"/>
  <c r="AN53" i="3"/>
  <c r="AG53" i="19"/>
  <c r="AH53" i="3"/>
  <c r="AN53" i="21"/>
  <c r="AK53" i="3"/>
  <c r="AK53" i="21"/>
  <c r="AG48" i="20"/>
  <c r="AG53" i="20"/>
  <c r="AD47" i="19"/>
  <c r="AD53" i="19"/>
  <c r="AH50" i="3"/>
  <c r="AE53" i="21"/>
  <c r="AJ47" i="20"/>
  <c r="AN48" i="21"/>
  <c r="AH46" i="21"/>
  <c r="AG50" i="20"/>
  <c r="AN47" i="21"/>
  <c r="AE47" i="21"/>
  <c r="AJ53" i="20"/>
  <c r="AK49" i="3"/>
  <c r="AA47" i="20"/>
  <c r="AA53" i="20"/>
  <c r="AA49" i="20"/>
  <c r="AN50" i="21"/>
  <c r="AK50" i="3"/>
  <c r="AE48" i="3"/>
  <c r="AD50" i="19"/>
  <c r="AD53" i="20"/>
  <c r="AA49" i="19"/>
  <c r="AE53" i="3"/>
  <c r="AD48" i="19"/>
  <c r="AH53" i="21"/>
  <c r="AE50" i="21"/>
  <c r="AA53" i="19"/>
  <c r="AE48" i="21"/>
  <c r="AH47" i="21"/>
  <c r="AD48" i="20"/>
  <c r="AE46" i="3"/>
  <c r="AK46" i="21"/>
  <c r="AJ46" i="20"/>
  <c r="AG47" i="19"/>
  <c r="AR28" i="3"/>
  <c r="AR8" i="3"/>
  <c r="AR16" i="3"/>
  <c r="AR20" i="3"/>
  <c r="AU3" i="3"/>
  <c r="AR3" i="3"/>
  <c r="AR12" i="3"/>
  <c r="AR24" i="3"/>
  <c r="AR36" i="3"/>
  <c r="AR11" i="3"/>
  <c r="AR45" i="3"/>
  <c r="AR21" i="3"/>
  <c r="AR9" i="3"/>
  <c r="AR17" i="3"/>
  <c r="AR33" i="3"/>
  <c r="AR6" i="3"/>
  <c r="AR19" i="3"/>
  <c r="AR10" i="3"/>
  <c r="AR13" i="3"/>
  <c r="AR29" i="3"/>
  <c r="AR39" i="3"/>
  <c r="AR18" i="3"/>
  <c r="AR35" i="3"/>
  <c r="AR43" i="3"/>
  <c r="AR25" i="3"/>
  <c r="AR40" i="3"/>
  <c r="AR15" i="3"/>
  <c r="AR44" i="3"/>
  <c r="AR30" i="3"/>
  <c r="AR22" i="3"/>
  <c r="AR31" i="3"/>
  <c r="AR32" i="3"/>
  <c r="AR14" i="3"/>
  <c r="AR38" i="3"/>
  <c r="AR37" i="3"/>
  <c r="AR42" i="3"/>
  <c r="AR7" i="3"/>
  <c r="AR27" i="3"/>
  <c r="AR41" i="3"/>
  <c r="AR23" i="3"/>
  <c r="AR34" i="3"/>
  <c r="AR26" i="3"/>
  <c r="AD46" i="19"/>
  <c r="AJ48" i="20"/>
  <c r="AN46" i="21"/>
  <c r="AH52" i="21"/>
  <c r="AH5" i="21"/>
  <c r="AL3" i="3"/>
  <c r="AL20" i="3"/>
  <c r="AL12" i="3"/>
  <c r="AL8" i="3"/>
  <c r="AL16" i="3"/>
  <c r="AL24" i="3"/>
  <c r="AL18" i="3"/>
  <c r="AL28" i="3"/>
  <c r="AL45" i="3"/>
  <c r="AL40" i="3"/>
  <c r="AL34" i="3"/>
  <c r="AL36" i="3"/>
  <c r="AL21" i="3"/>
  <c r="AL9" i="3"/>
  <c r="AL13" i="3"/>
  <c r="AL37" i="3"/>
  <c r="AL17" i="3"/>
  <c r="AL35" i="3"/>
  <c r="AL39" i="3"/>
  <c r="AL31" i="3"/>
  <c r="AL11" i="3"/>
  <c r="AL22" i="3"/>
  <c r="AL19" i="3"/>
  <c r="AL15" i="3"/>
  <c r="AL33" i="3"/>
  <c r="AL6" i="3"/>
  <c r="AL44" i="3"/>
  <c r="AL43" i="3"/>
  <c r="AL10" i="3"/>
  <c r="AL30" i="3"/>
  <c r="AL32" i="3"/>
  <c r="AL14" i="3"/>
  <c r="AL7" i="3"/>
  <c r="AL23" i="3"/>
  <c r="AL42" i="3"/>
  <c r="AL27" i="3"/>
  <c r="AL26" i="3"/>
  <c r="AL29" i="3"/>
  <c r="AL41" i="3"/>
  <c r="AL25" i="3"/>
  <c r="AL38" i="3"/>
  <c r="AJ50" i="20"/>
  <c r="AE5" i="21"/>
  <c r="AE52" i="21"/>
  <c r="AQ3" i="20"/>
  <c r="AN21" i="20"/>
  <c r="AN3" i="20"/>
  <c r="AN41" i="20"/>
  <c r="AN19" i="20"/>
  <c r="AN45" i="20"/>
  <c r="AN29" i="20"/>
  <c r="AN30" i="20"/>
  <c r="AN17" i="20"/>
  <c r="AN16" i="20"/>
  <c r="AN9" i="20"/>
  <c r="AN18" i="20"/>
  <c r="AN10" i="20"/>
  <c r="AN14" i="20"/>
  <c r="AN25" i="20"/>
  <c r="AN8" i="20"/>
  <c r="AN28" i="20"/>
  <c r="AN44" i="20"/>
  <c r="AN15" i="20"/>
  <c r="AN39" i="20"/>
  <c r="AN34" i="20"/>
  <c r="AN12" i="20"/>
  <c r="AN32" i="20"/>
  <c r="AN13" i="20"/>
  <c r="AN43" i="20"/>
  <c r="AN40" i="20"/>
  <c r="AN33" i="20"/>
  <c r="AN35" i="20"/>
  <c r="AN36" i="20"/>
  <c r="AN7" i="20"/>
  <c r="AN20" i="20"/>
  <c r="AN31" i="20"/>
  <c r="AN37" i="20"/>
  <c r="AN6" i="20"/>
  <c r="AN11" i="20"/>
  <c r="AN26" i="20"/>
  <c r="AN24" i="20"/>
  <c r="AN23" i="20"/>
  <c r="AN38" i="20"/>
  <c r="AN42" i="20"/>
  <c r="AN22" i="20"/>
  <c r="AN27" i="20"/>
  <c r="AA50" i="20"/>
  <c r="AJ49" i="19"/>
  <c r="AK48" i="21"/>
  <c r="AK49" i="21"/>
  <c r="AG46" i="20"/>
  <c r="AH46" i="3"/>
  <c r="AD47" i="20"/>
  <c r="AN49" i="3"/>
  <c r="AJ48" i="19"/>
  <c r="AL45" i="21"/>
  <c r="AL3" i="21"/>
  <c r="AL20" i="21"/>
  <c r="AL19" i="21"/>
  <c r="AL17" i="21"/>
  <c r="AL37" i="21"/>
  <c r="AL21" i="21"/>
  <c r="AL39" i="21"/>
  <c r="AL33" i="21"/>
  <c r="AL11" i="21"/>
  <c r="AL32" i="21"/>
  <c r="AL26" i="21"/>
  <c r="AL34" i="21"/>
  <c r="AL41" i="21"/>
  <c r="AL16" i="21"/>
  <c r="AL42" i="21"/>
  <c r="AL24" i="21"/>
  <c r="AL9" i="21"/>
  <c r="AL28" i="21"/>
  <c r="AL7" i="21"/>
  <c r="AL12" i="21"/>
  <c r="AL8" i="21"/>
  <c r="AL30" i="21"/>
  <c r="AL27" i="21"/>
  <c r="AL38" i="21"/>
  <c r="AL14" i="21"/>
  <c r="AL6" i="21"/>
  <c r="AL40" i="21"/>
  <c r="AL44" i="21"/>
  <c r="AL13" i="21"/>
  <c r="AL15" i="21"/>
  <c r="AL18" i="21"/>
  <c r="AL35" i="21"/>
  <c r="AL25" i="21"/>
  <c r="AL22" i="21"/>
  <c r="AL10" i="21"/>
  <c r="AL23" i="21"/>
  <c r="AL43" i="21"/>
  <c r="AL29" i="21"/>
  <c r="AL36" i="21"/>
  <c r="AL31" i="21"/>
  <c r="AH49" i="3"/>
  <c r="AK47" i="3"/>
  <c r="AA46" i="19"/>
  <c r="AN50" i="3"/>
  <c r="AE49" i="3"/>
  <c r="AK16" i="20"/>
  <c r="AK3" i="20"/>
  <c r="AK21" i="20"/>
  <c r="AK18" i="20"/>
  <c r="AK19" i="20"/>
  <c r="AK29" i="20"/>
  <c r="AK10" i="20"/>
  <c r="AK45" i="20"/>
  <c r="AK34" i="20"/>
  <c r="AK17" i="20"/>
  <c r="AK41" i="20"/>
  <c r="AK30" i="20"/>
  <c r="AK9" i="20"/>
  <c r="AK25" i="20"/>
  <c r="AK32" i="20"/>
  <c r="AK14" i="20"/>
  <c r="AK28" i="20"/>
  <c r="AK44" i="20"/>
  <c r="AK12" i="20"/>
  <c r="AK24" i="20"/>
  <c r="AK15" i="20"/>
  <c r="AK8" i="20"/>
  <c r="AK42" i="20"/>
  <c r="AK13" i="20"/>
  <c r="AK43" i="20"/>
  <c r="AK20" i="20"/>
  <c r="AK7" i="20"/>
  <c r="AK37" i="20"/>
  <c r="AK22" i="20"/>
  <c r="AK31" i="20"/>
  <c r="AK36" i="20"/>
  <c r="AK11" i="20"/>
  <c r="AK35" i="20"/>
  <c r="AK40" i="20"/>
  <c r="AK39" i="20"/>
  <c r="AK38" i="20"/>
  <c r="AK33" i="20"/>
  <c r="AK6" i="20"/>
  <c r="AK26" i="20"/>
  <c r="AK23" i="20"/>
  <c r="AK27" i="20"/>
  <c r="AK3" i="19"/>
  <c r="AK21" i="19"/>
  <c r="AK16" i="19"/>
  <c r="AK26" i="19"/>
  <c r="AK34" i="19"/>
  <c r="AK28" i="19"/>
  <c r="AK27" i="19"/>
  <c r="AK15" i="19"/>
  <c r="AK45" i="19"/>
  <c r="AK40" i="19"/>
  <c r="AK11" i="19"/>
  <c r="AK43" i="19"/>
  <c r="AK19" i="19"/>
  <c r="AK8" i="19"/>
  <c r="AK6" i="19"/>
  <c r="AK42" i="19"/>
  <c r="AK33" i="19"/>
  <c r="AK32" i="19"/>
  <c r="AK41" i="19"/>
  <c r="AK29" i="19"/>
  <c r="AK24" i="19"/>
  <c r="AK13" i="19"/>
  <c r="AK14" i="19"/>
  <c r="AK7" i="19"/>
  <c r="AK10" i="19"/>
  <c r="AK20" i="19"/>
  <c r="AK38" i="19"/>
  <c r="AK37" i="19"/>
  <c r="AK12" i="19"/>
  <c r="AK17" i="19"/>
  <c r="AK30" i="19"/>
  <c r="AK35" i="19"/>
  <c r="AK39" i="19"/>
  <c r="AK18" i="19"/>
  <c r="AK9" i="19"/>
  <c r="AK25" i="19"/>
  <c r="AK36" i="19"/>
  <c r="AK44" i="19"/>
  <c r="AK23" i="19"/>
  <c r="AK31" i="19"/>
  <c r="AK22" i="19"/>
  <c r="AH49" i="21"/>
  <c r="AI8" i="3"/>
  <c r="AI12" i="3"/>
  <c r="AI20" i="3"/>
  <c r="AI16" i="3"/>
  <c r="AI28" i="3"/>
  <c r="AI9" i="3"/>
  <c r="AI24" i="3"/>
  <c r="AI40" i="3"/>
  <c r="AI11" i="3"/>
  <c r="AI36" i="3"/>
  <c r="AI29" i="3"/>
  <c r="AI6" i="3"/>
  <c r="AI21" i="3"/>
  <c r="AI13" i="3"/>
  <c r="AI17" i="3"/>
  <c r="AI35" i="3"/>
  <c r="AI39" i="3"/>
  <c r="AI18" i="3"/>
  <c r="AI23" i="3"/>
  <c r="AI34" i="3"/>
  <c r="AI19" i="3"/>
  <c r="AI38" i="3"/>
  <c r="AI10" i="3"/>
  <c r="AI43" i="3"/>
  <c r="AI32" i="3"/>
  <c r="AI15" i="3"/>
  <c r="AI44" i="3"/>
  <c r="AI45" i="3"/>
  <c r="AI31" i="3"/>
  <c r="AI25" i="3"/>
  <c r="AI42" i="3"/>
  <c r="AI27" i="3"/>
  <c r="AI7" i="3"/>
  <c r="AI26" i="3"/>
  <c r="AI37" i="3"/>
  <c r="AI33" i="3"/>
  <c r="AI41" i="3"/>
  <c r="AI14" i="3"/>
  <c r="AI22" i="3"/>
  <c r="AI30" i="3"/>
  <c r="AD49" i="20"/>
  <c r="AE21" i="20"/>
  <c r="AE45" i="20"/>
  <c r="AE41" i="20"/>
  <c r="AE28" i="20"/>
  <c r="AE17" i="20"/>
  <c r="AE29" i="20"/>
  <c r="AE32" i="20"/>
  <c r="AE30" i="20"/>
  <c r="AE19" i="20"/>
  <c r="AE16" i="20"/>
  <c r="AE9" i="20"/>
  <c r="AE18" i="20"/>
  <c r="AE24" i="20"/>
  <c r="AE42" i="20"/>
  <c r="AE11" i="20"/>
  <c r="AE43" i="20"/>
  <c r="AE15" i="20"/>
  <c r="AE12" i="20"/>
  <c r="AE25" i="20"/>
  <c r="AE34" i="20"/>
  <c r="AE13" i="20"/>
  <c r="AE10" i="20"/>
  <c r="AE14" i="20"/>
  <c r="AE8" i="20"/>
  <c r="AE20" i="20"/>
  <c r="AE22" i="20"/>
  <c r="AE7" i="20"/>
  <c r="AE38" i="20"/>
  <c r="AE26" i="20"/>
  <c r="AE39" i="20"/>
  <c r="AE40" i="20"/>
  <c r="AE35" i="20"/>
  <c r="AE31" i="20"/>
  <c r="AE33" i="20"/>
  <c r="AE37" i="20"/>
  <c r="AE36" i="20"/>
  <c r="AE27" i="20"/>
  <c r="AE6" i="20"/>
  <c r="AE44" i="20"/>
  <c r="AE23" i="20"/>
  <c r="AN47" i="3"/>
  <c r="AE47" i="3"/>
  <c r="AK5" i="21"/>
  <c r="AK52" i="21"/>
  <c r="AE49" i="21"/>
  <c r="AE46" i="21"/>
  <c r="AJ52" i="20"/>
  <c r="AJ5" i="20"/>
  <c r="AA48" i="20"/>
  <c r="AN19" i="19"/>
  <c r="AN3" i="19"/>
  <c r="AQ3" i="19"/>
  <c r="AN21" i="19"/>
  <c r="AN45" i="19"/>
  <c r="AN16" i="19"/>
  <c r="AN28" i="19"/>
  <c r="AN27" i="19"/>
  <c r="AN26" i="19"/>
  <c r="AN34" i="19"/>
  <c r="AN15" i="19"/>
  <c r="AN6" i="19"/>
  <c r="AN7" i="19"/>
  <c r="AN11" i="19"/>
  <c r="AN43" i="19"/>
  <c r="AN32" i="19"/>
  <c r="AN29" i="19"/>
  <c r="AN22" i="19"/>
  <c r="AN42" i="19"/>
  <c r="AN8" i="19"/>
  <c r="AN14" i="19"/>
  <c r="AN13" i="19"/>
  <c r="AN10" i="19"/>
  <c r="AN44" i="19"/>
  <c r="AN12" i="19"/>
  <c r="AN9" i="19"/>
  <c r="AN17" i="19"/>
  <c r="AN40" i="19"/>
  <c r="AN20" i="19"/>
  <c r="AN35" i="19"/>
  <c r="AN18" i="19"/>
  <c r="AN37" i="19"/>
  <c r="AN36" i="19"/>
  <c r="AN39" i="19"/>
  <c r="AN38" i="19"/>
  <c r="AN41" i="19"/>
  <c r="AN25" i="19"/>
  <c r="AN30" i="19"/>
  <c r="AN31" i="19"/>
  <c r="AN23" i="19"/>
  <c r="AN24" i="19"/>
  <c r="AN33" i="19"/>
  <c r="AH50" i="21"/>
  <c r="AI18" i="21"/>
  <c r="AI19" i="21"/>
  <c r="AI33" i="21"/>
  <c r="AI11" i="21"/>
  <c r="AI45" i="21"/>
  <c r="AI38" i="21"/>
  <c r="AI16" i="21"/>
  <c r="AI20" i="21"/>
  <c r="AI17" i="21"/>
  <c r="AI21" i="21"/>
  <c r="AI26" i="21"/>
  <c r="AI34" i="21"/>
  <c r="AI41" i="21"/>
  <c r="AI42" i="21"/>
  <c r="AI39" i="21"/>
  <c r="AI9" i="21"/>
  <c r="AI7" i="21"/>
  <c r="AI30" i="21"/>
  <c r="AI24" i="21"/>
  <c r="AI12" i="21"/>
  <c r="AI27" i="21"/>
  <c r="AI28" i="21"/>
  <c r="AI8" i="21"/>
  <c r="AI13" i="21"/>
  <c r="AI22" i="21"/>
  <c r="AI32" i="21"/>
  <c r="AI25" i="21"/>
  <c r="AI14" i="21"/>
  <c r="AI44" i="21"/>
  <c r="AI6" i="21"/>
  <c r="AI37" i="21"/>
  <c r="AI40" i="21"/>
  <c r="AI15" i="21"/>
  <c r="AI43" i="21"/>
  <c r="AI10" i="21"/>
  <c r="AI36" i="21"/>
  <c r="AI23" i="21"/>
  <c r="AI29" i="21"/>
  <c r="AI31" i="21"/>
  <c r="AI35" i="21"/>
  <c r="AK50" i="21"/>
  <c r="AG52" i="20"/>
  <c r="AG5" i="20"/>
  <c r="AG46" i="19"/>
  <c r="AG52" i="19"/>
  <c r="AG5" i="19"/>
  <c r="AK46" i="3"/>
  <c r="AJ5" i="19"/>
  <c r="AJ52" i="19"/>
  <c r="AH52" i="3"/>
  <c r="AH5" i="3"/>
  <c r="AC70" i="20"/>
  <c r="AJ47" i="19"/>
  <c r="AG47" i="20"/>
  <c r="AG48" i="19"/>
  <c r="AH19" i="19"/>
  <c r="AH3" i="19"/>
  <c r="AH21" i="19"/>
  <c r="AH34" i="19"/>
  <c r="AH15" i="19"/>
  <c r="AH27" i="19"/>
  <c r="AH17" i="19"/>
  <c r="AH11" i="19"/>
  <c r="AH16" i="19"/>
  <c r="AH45" i="19"/>
  <c r="AH43" i="19"/>
  <c r="AH6" i="19"/>
  <c r="AH42" i="19"/>
  <c r="AH26" i="19"/>
  <c r="AH33" i="19"/>
  <c r="AH22" i="19"/>
  <c r="AH8" i="19"/>
  <c r="AH7" i="19"/>
  <c r="AH32" i="19"/>
  <c r="AH13" i="19"/>
  <c r="AH14" i="19"/>
  <c r="AH28" i="19"/>
  <c r="AH25" i="19"/>
  <c r="AH10" i="19"/>
  <c r="AH29" i="19"/>
  <c r="AH20" i="19"/>
  <c r="AH12" i="19"/>
  <c r="AH38" i="19"/>
  <c r="AH39" i="19"/>
  <c r="AH40" i="19"/>
  <c r="AH35" i="19"/>
  <c r="AH36" i="19"/>
  <c r="AH23" i="19"/>
  <c r="AH37" i="19"/>
  <c r="AH44" i="19"/>
  <c r="AH9" i="19"/>
  <c r="AH30" i="19"/>
  <c r="AH18" i="19"/>
  <c r="AH31" i="19"/>
  <c r="AH24" i="19"/>
  <c r="AH41" i="19"/>
  <c r="AD50" i="20"/>
  <c r="AN49" i="21"/>
  <c r="AA52" i="20"/>
  <c r="AA5" i="20"/>
  <c r="AR21" i="21"/>
  <c r="AU3" i="21"/>
  <c r="AR3" i="21"/>
  <c r="AR45" i="21"/>
  <c r="AR34" i="21"/>
  <c r="AR19" i="21"/>
  <c r="AR17" i="21"/>
  <c r="AR16" i="21"/>
  <c r="AR18" i="21"/>
  <c r="AR41" i="21"/>
  <c r="AR33" i="21"/>
  <c r="AR26" i="21"/>
  <c r="AR25" i="21"/>
  <c r="AR20" i="21"/>
  <c r="AR27" i="21"/>
  <c r="AR42" i="21"/>
  <c r="AR9" i="21"/>
  <c r="AR11" i="21"/>
  <c r="AR32" i="21"/>
  <c r="AR28" i="21"/>
  <c r="AR30" i="21"/>
  <c r="AR12" i="21"/>
  <c r="AR8" i="21"/>
  <c r="AR39" i="21"/>
  <c r="AR24" i="21"/>
  <c r="AR13" i="21"/>
  <c r="AR14" i="21"/>
  <c r="AR44" i="21"/>
  <c r="AR7" i="21"/>
  <c r="AR6" i="21"/>
  <c r="AR38" i="21"/>
  <c r="AR37" i="21"/>
  <c r="AR43" i="21"/>
  <c r="AR40" i="21"/>
  <c r="AR15" i="21"/>
  <c r="AR22" i="21"/>
  <c r="AR36" i="21"/>
  <c r="AR35" i="21"/>
  <c r="AR23" i="21"/>
  <c r="AR31" i="21"/>
  <c r="AR10" i="21"/>
  <c r="AR29" i="21"/>
  <c r="AD70" i="3"/>
  <c r="AG49" i="20"/>
  <c r="AH21" i="20"/>
  <c r="AH16" i="20"/>
  <c r="AH3" i="20"/>
  <c r="AH19" i="20"/>
  <c r="AH30" i="20"/>
  <c r="AH17" i="20"/>
  <c r="AH15" i="20"/>
  <c r="AH45" i="20"/>
  <c r="AH29" i="20"/>
  <c r="AH43" i="20"/>
  <c r="AH41" i="20"/>
  <c r="AH20" i="20"/>
  <c r="AH28" i="20"/>
  <c r="AH18" i="20"/>
  <c r="AH9" i="20"/>
  <c r="AH24" i="20"/>
  <c r="AH23" i="20"/>
  <c r="AH14" i="20"/>
  <c r="AH32" i="20"/>
  <c r="AH35" i="20"/>
  <c r="AH12" i="20"/>
  <c r="AH34" i="20"/>
  <c r="AH8" i="20"/>
  <c r="AH13" i="20"/>
  <c r="AH10" i="20"/>
  <c r="AH31" i="20"/>
  <c r="AH22" i="20"/>
  <c r="AH7" i="20"/>
  <c r="AH40" i="20"/>
  <c r="AH39" i="20"/>
  <c r="AH37" i="20"/>
  <c r="AH11" i="20"/>
  <c r="AH33" i="20"/>
  <c r="AH26" i="20"/>
  <c r="AH36" i="20"/>
  <c r="AH25" i="20"/>
  <c r="AH6" i="20"/>
  <c r="AH38" i="20"/>
  <c r="AH42" i="20"/>
  <c r="AH44" i="20"/>
  <c r="AH27" i="20"/>
  <c r="AA47" i="19"/>
  <c r="AN48" i="3"/>
  <c r="AE50" i="3"/>
  <c r="AJ70" i="21"/>
  <c r="AD49" i="19"/>
  <c r="AD5" i="19"/>
  <c r="AD52" i="19"/>
  <c r="AN52" i="21"/>
  <c r="AN5" i="21"/>
  <c r="AJ49" i="20"/>
  <c r="AA46" i="20"/>
  <c r="AO3" i="21"/>
  <c r="AO16" i="21"/>
  <c r="AO19" i="21"/>
  <c r="AO26" i="21"/>
  <c r="AO45" i="21"/>
  <c r="AO38" i="21"/>
  <c r="AO21" i="21"/>
  <c r="AO33" i="21"/>
  <c r="AO17" i="21"/>
  <c r="AO41" i="21"/>
  <c r="AO34" i="21"/>
  <c r="AO20" i="21"/>
  <c r="AO42" i="21"/>
  <c r="AO11" i="21"/>
  <c r="AO9" i="21"/>
  <c r="AO25" i="21"/>
  <c r="AO7" i="21"/>
  <c r="AO28" i="21"/>
  <c r="AO24" i="21"/>
  <c r="AO12" i="21"/>
  <c r="AO8" i="21"/>
  <c r="AO30" i="21"/>
  <c r="AO32" i="21"/>
  <c r="AO22" i="21"/>
  <c r="AO13" i="21"/>
  <c r="AO40" i="21"/>
  <c r="AO27" i="21"/>
  <c r="AO44" i="21"/>
  <c r="AO15" i="21"/>
  <c r="AO39" i="21"/>
  <c r="AO18" i="21"/>
  <c r="AO23" i="21"/>
  <c r="AO14" i="21"/>
  <c r="AO31" i="21"/>
  <c r="AO43" i="21"/>
  <c r="AO37" i="21"/>
  <c r="AO29" i="21"/>
  <c r="AO36" i="21"/>
  <c r="AO6" i="21"/>
  <c r="AO10" i="21"/>
  <c r="AO35" i="21"/>
  <c r="AJ50" i="19"/>
  <c r="AK47" i="21"/>
  <c r="W70" i="3"/>
  <c r="AH48" i="3"/>
  <c r="AH47" i="3"/>
  <c r="AG49" i="19"/>
  <c r="AK48" i="3"/>
  <c r="AA48" i="19"/>
  <c r="AN52" i="3"/>
  <c r="AN5" i="3"/>
  <c r="AE21" i="19"/>
  <c r="AE19" i="19"/>
  <c r="AE16" i="19"/>
  <c r="AE26" i="19"/>
  <c r="AE45" i="19"/>
  <c r="AE15" i="19"/>
  <c r="AE17" i="19"/>
  <c r="AE34" i="19"/>
  <c r="AE27" i="19"/>
  <c r="AE40" i="19"/>
  <c r="AE11" i="19"/>
  <c r="AE6" i="19"/>
  <c r="AE42" i="19"/>
  <c r="AE8" i="19"/>
  <c r="AE33" i="19"/>
  <c r="AE28" i="19"/>
  <c r="AE7" i="19"/>
  <c r="AE14" i="19"/>
  <c r="AE25" i="19"/>
  <c r="AE10" i="19"/>
  <c r="AE32" i="19"/>
  <c r="AE43" i="19"/>
  <c r="AE13" i="19"/>
  <c r="AE12" i="19"/>
  <c r="AE29" i="19"/>
  <c r="AE38" i="19"/>
  <c r="AE37" i="19"/>
  <c r="AE20" i="19"/>
  <c r="AE30" i="19"/>
  <c r="AE23" i="19"/>
  <c r="AE36" i="19"/>
  <c r="AE35" i="19"/>
  <c r="AE44" i="19"/>
  <c r="AE18" i="19"/>
  <c r="AE9" i="19"/>
  <c r="AE39" i="19"/>
  <c r="AE41" i="19"/>
  <c r="AE24" i="19"/>
  <c r="AE31" i="19"/>
  <c r="AE22" i="19"/>
  <c r="AJ46" i="19"/>
  <c r="Z70" i="20"/>
  <c r="AG50" i="19"/>
  <c r="AK52" i="3"/>
  <c r="AK5" i="3"/>
  <c r="AA52" i="19"/>
  <c r="AA5" i="19"/>
  <c r="AD52" i="20"/>
  <c r="AD5" i="20"/>
  <c r="AD46" i="20"/>
  <c r="AN46" i="3"/>
  <c r="AO20" i="3"/>
  <c r="AO12" i="3"/>
  <c r="AO16" i="3"/>
  <c r="AO8" i="3"/>
  <c r="AO3" i="3"/>
  <c r="AO21" i="3"/>
  <c r="AO24" i="3"/>
  <c r="AO17" i="3"/>
  <c r="AO36" i="3"/>
  <c r="AO35" i="3"/>
  <c r="AO45" i="3"/>
  <c r="AO6" i="3"/>
  <c r="AO28" i="3"/>
  <c r="AO9" i="3"/>
  <c r="AO33" i="3"/>
  <c r="AO18" i="3"/>
  <c r="AO42" i="3"/>
  <c r="AO13" i="3"/>
  <c r="AO43" i="3"/>
  <c r="AO10" i="3"/>
  <c r="AO11" i="3"/>
  <c r="AO37" i="3"/>
  <c r="AO7" i="3"/>
  <c r="AO39" i="3"/>
  <c r="AO19" i="3"/>
  <c r="AO32" i="3"/>
  <c r="AO44" i="3"/>
  <c r="AO40" i="3"/>
  <c r="AO15" i="3"/>
  <c r="AO22" i="3"/>
  <c r="AO31" i="3"/>
  <c r="AO26" i="3"/>
  <c r="AO23" i="3"/>
  <c r="AO27" i="3"/>
  <c r="AO14" i="3"/>
  <c r="AO25" i="3"/>
  <c r="AO41" i="3"/>
  <c r="AO29" i="3"/>
  <c r="AO34" i="3"/>
  <c r="AO38" i="3"/>
  <c r="AO30" i="3"/>
  <c r="AE52" i="3"/>
  <c r="AE5" i="3"/>
  <c r="AG70" i="21"/>
  <c r="C83" i="2"/>
  <c r="D82" i="2"/>
  <c r="AE47" i="20" l="1"/>
  <c r="AD53" i="18"/>
  <c r="AR51" i="23"/>
  <c r="AL51" i="23"/>
  <c r="AH51" i="20"/>
  <c r="AG53" i="18"/>
  <c r="AA53" i="18"/>
  <c r="AF50" i="22"/>
  <c r="AI53" i="23"/>
  <c r="AA50" i="18"/>
  <c r="AD46" i="18"/>
  <c r="AC48" i="22"/>
  <c r="AE51" i="19"/>
  <c r="AK51" i="19"/>
  <c r="W48" i="22"/>
  <c r="AO51" i="21"/>
  <c r="AJ48" i="18"/>
  <c r="AO48" i="23"/>
  <c r="AR48" i="23"/>
  <c r="AF46" i="22"/>
  <c r="AR51" i="21"/>
  <c r="AL51" i="21"/>
  <c r="W50" i="22"/>
  <c r="W46" i="22"/>
  <c r="AI46" i="23"/>
  <c r="AL46" i="23"/>
  <c r="Z53" i="22"/>
  <c r="AF51" i="22"/>
  <c r="AF47" i="22"/>
  <c r="Z48" i="22"/>
  <c r="Z51" i="22"/>
  <c r="W51" i="22"/>
  <c r="W47" i="22"/>
  <c r="AO51" i="23"/>
  <c r="AO47" i="23"/>
  <c r="AE51" i="20"/>
  <c r="AI51" i="3"/>
  <c r="AK51" i="20"/>
  <c r="AL51" i="3"/>
  <c r="AF49" i="22"/>
  <c r="Z49" i="22"/>
  <c r="AI50" i="23"/>
  <c r="AI49" i="23"/>
  <c r="AR52" i="23"/>
  <c r="AR46" i="23"/>
  <c r="AO46" i="23"/>
  <c r="AO49" i="23"/>
  <c r="AC50" i="22"/>
  <c r="AL50" i="23"/>
  <c r="AL53" i="23"/>
  <c r="AI51" i="23"/>
  <c r="AI47" i="23"/>
  <c r="AO51" i="3"/>
  <c r="AN51" i="19"/>
  <c r="AN51" i="20"/>
  <c r="AR51" i="3"/>
  <c r="AR49" i="23"/>
  <c r="AC52" i="22"/>
  <c r="AC49" i="22"/>
  <c r="AL49" i="23"/>
  <c r="AH51" i="19"/>
  <c r="AF48" i="22"/>
  <c r="Z50" i="22"/>
  <c r="AD50" i="18"/>
  <c r="AI52" i="23"/>
  <c r="W53" i="22"/>
  <c r="W52" i="22"/>
  <c r="AR53" i="23"/>
  <c r="AG50" i="18"/>
  <c r="AG47" i="18"/>
  <c r="AC53" i="22"/>
  <c r="AC51" i="22"/>
  <c r="AC47" i="22"/>
  <c r="AI51" i="21"/>
  <c r="AA48" i="18"/>
  <c r="AF53" i="22"/>
  <c r="AF52" i="22"/>
  <c r="Z52" i="22"/>
  <c r="Z46" i="22"/>
  <c r="AI48" i="23"/>
  <c r="W49" i="22"/>
  <c r="AO50" i="23"/>
  <c r="AO52" i="23"/>
  <c r="AO53" i="23"/>
  <c r="AC46" i="22"/>
  <c r="AL48" i="23"/>
  <c r="AL52" i="23"/>
  <c r="AJ51" i="18"/>
  <c r="AG51" i="18"/>
  <c r="AJ49" i="18"/>
  <c r="AA49" i="18"/>
  <c r="AG49" i="18"/>
  <c r="AD49" i="18"/>
  <c r="AE50" i="19"/>
  <c r="AJ47" i="18"/>
  <c r="AA51" i="18"/>
  <c r="AA47" i="18"/>
  <c r="AD51" i="18"/>
  <c r="AD47" i="18"/>
  <c r="AD48" i="18"/>
  <c r="AG48" i="18"/>
  <c r="AJ46" i="18"/>
  <c r="AG46" i="18"/>
  <c r="AA46" i="18"/>
  <c r="AG52" i="18"/>
  <c r="AJ52" i="18"/>
  <c r="AA52" i="18"/>
  <c r="AD52" i="18"/>
  <c r="AJ53" i="18"/>
  <c r="AC5" i="22"/>
  <c r="AC70" i="22" s="1"/>
  <c r="AJ34" i="22"/>
  <c r="AJ19" i="22"/>
  <c r="AJ28" i="22"/>
  <c r="AJ7" i="22"/>
  <c r="AJ6" i="22"/>
  <c r="AJ20" i="22"/>
  <c r="AJ11" i="22"/>
  <c r="AJ14" i="22"/>
  <c r="AJ39" i="22"/>
  <c r="AJ36" i="22"/>
  <c r="AJ45" i="22"/>
  <c r="AJ23" i="22"/>
  <c r="AJ8" i="22"/>
  <c r="AJ24" i="22"/>
  <c r="AJ37" i="22"/>
  <c r="AJ16" i="22"/>
  <c r="AJ40" i="22"/>
  <c r="AJ25" i="22"/>
  <c r="AJ42" i="22"/>
  <c r="AJ10" i="22"/>
  <c r="AJ26" i="22"/>
  <c r="AJ27" i="22"/>
  <c r="AJ33" i="22"/>
  <c r="AJ30" i="22"/>
  <c r="AJ3" i="22"/>
  <c r="AJ21" i="22"/>
  <c r="AJ32" i="22"/>
  <c r="AJ31" i="22"/>
  <c r="AJ44" i="22"/>
  <c r="AJ15" i="22"/>
  <c r="AM3" i="22"/>
  <c r="AJ41" i="22"/>
  <c r="AJ29" i="22"/>
  <c r="AJ38" i="22"/>
  <c r="AJ35" i="22"/>
  <c r="AJ43" i="22"/>
  <c r="AJ18" i="22"/>
  <c r="AJ17" i="22"/>
  <c r="AJ12" i="22"/>
  <c r="AJ13" i="22"/>
  <c r="AJ22" i="22"/>
  <c r="AJ9" i="22"/>
  <c r="AF5" i="22"/>
  <c r="AF70" i="22" s="1"/>
  <c r="AP3" i="23"/>
  <c r="AP35" i="23"/>
  <c r="AP21" i="23"/>
  <c r="AP11" i="23"/>
  <c r="AP15" i="23"/>
  <c r="AP42" i="23"/>
  <c r="AP34" i="23"/>
  <c r="AP19" i="23"/>
  <c r="AP16" i="23"/>
  <c r="AP20" i="23"/>
  <c r="AP29" i="23"/>
  <c r="AP10" i="23"/>
  <c r="AP18" i="23"/>
  <c r="AP33" i="23"/>
  <c r="AP8" i="23"/>
  <c r="AP38" i="23"/>
  <c r="AP45" i="23"/>
  <c r="AP6" i="23"/>
  <c r="AP32" i="23"/>
  <c r="AP43" i="23"/>
  <c r="AP26" i="23"/>
  <c r="AP13" i="23"/>
  <c r="AP7" i="23"/>
  <c r="AP30" i="23"/>
  <c r="AP27" i="23"/>
  <c r="AP39" i="23"/>
  <c r="AP14" i="23"/>
  <c r="AP28" i="23"/>
  <c r="AP36" i="23"/>
  <c r="AP9" i="23"/>
  <c r="AP17" i="23"/>
  <c r="AP41" i="23"/>
  <c r="AP37" i="23"/>
  <c r="AP31" i="23"/>
  <c r="AP25" i="23"/>
  <c r="AP12" i="23"/>
  <c r="AP40" i="23"/>
  <c r="AP24" i="23"/>
  <c r="AP22" i="23"/>
  <c r="AP23" i="23"/>
  <c r="AP44" i="23"/>
  <c r="AG5" i="18"/>
  <c r="AG70" i="18" s="1"/>
  <c r="AG3" i="22"/>
  <c r="AG19" i="22"/>
  <c r="AG29" i="22"/>
  <c r="AG28" i="22"/>
  <c r="AG24" i="22"/>
  <c r="AG22" i="22"/>
  <c r="AG45" i="22"/>
  <c r="AG42" i="22"/>
  <c r="AG9" i="22"/>
  <c r="AG13" i="22"/>
  <c r="AG36" i="22"/>
  <c r="AG34" i="22"/>
  <c r="AG18" i="22"/>
  <c r="AG10" i="22"/>
  <c r="AG37" i="22"/>
  <c r="AG35" i="22"/>
  <c r="AG30" i="22"/>
  <c r="AG21" i="22"/>
  <c r="AG11" i="22"/>
  <c r="AG44" i="22"/>
  <c r="AG26" i="22"/>
  <c r="AG32" i="22"/>
  <c r="AG41" i="22"/>
  <c r="AG15" i="22"/>
  <c r="AG23" i="22"/>
  <c r="AG39" i="22"/>
  <c r="AG6" i="22"/>
  <c r="AG17" i="22"/>
  <c r="AG20" i="22"/>
  <c r="AG31" i="22"/>
  <c r="AG12" i="22"/>
  <c r="AG14" i="22"/>
  <c r="AG43" i="22"/>
  <c r="AG38" i="22"/>
  <c r="AG33" i="22"/>
  <c r="AG25" i="22"/>
  <c r="AG8" i="22"/>
  <c r="AG40" i="22"/>
  <c r="AG27" i="22"/>
  <c r="AG16" i="22"/>
  <c r="AG7" i="22"/>
  <c r="W5" i="22"/>
  <c r="W70" i="22" s="1"/>
  <c r="AO5" i="23"/>
  <c r="AO70" i="23" s="1"/>
  <c r="AD25" i="22"/>
  <c r="AD15" i="22"/>
  <c r="AD12" i="22"/>
  <c r="AD40" i="22"/>
  <c r="AD30" i="22"/>
  <c r="AD11" i="22"/>
  <c r="AD42" i="22"/>
  <c r="AD44" i="22"/>
  <c r="AD37" i="22"/>
  <c r="AD6" i="22"/>
  <c r="AD3" i="22"/>
  <c r="AD41" i="22"/>
  <c r="AD10" i="22"/>
  <c r="AD36" i="22"/>
  <c r="AD13" i="22"/>
  <c r="AD39" i="22"/>
  <c r="AD9" i="22"/>
  <c r="AD16" i="22"/>
  <c r="AD19" i="22"/>
  <c r="AD33" i="22"/>
  <c r="AD31" i="22"/>
  <c r="AD14" i="22"/>
  <c r="AD22" i="22"/>
  <c r="AD43" i="22"/>
  <c r="AD20" i="22"/>
  <c r="AD18" i="22"/>
  <c r="AD29" i="22"/>
  <c r="AD8" i="22"/>
  <c r="AD24" i="22"/>
  <c r="AD17" i="22"/>
  <c r="AD45" i="22"/>
  <c r="AD35" i="22"/>
  <c r="AD28" i="22"/>
  <c r="AD26" i="22"/>
  <c r="AD38" i="22"/>
  <c r="AD21" i="22"/>
  <c r="AD23" i="22"/>
  <c r="AD34" i="22"/>
  <c r="AD7" i="22"/>
  <c r="AD27" i="22"/>
  <c r="AD32" i="22"/>
  <c r="AL5" i="23"/>
  <c r="AL70" i="23" s="1"/>
  <c r="Z5" i="22"/>
  <c r="Z70" i="22" s="1"/>
  <c r="AD5" i="18"/>
  <c r="AD70" i="18" s="1"/>
  <c r="AJ5" i="18"/>
  <c r="AJ70" i="18" s="1"/>
  <c r="AK45" i="18"/>
  <c r="AK22" i="18"/>
  <c r="AK29" i="18"/>
  <c r="AK34" i="18"/>
  <c r="AK39" i="18"/>
  <c r="AK18" i="18"/>
  <c r="AK15" i="18"/>
  <c r="AK13" i="18"/>
  <c r="AK44" i="18"/>
  <c r="AK25" i="18"/>
  <c r="AK19" i="18"/>
  <c r="AK33" i="18"/>
  <c r="AK10" i="18"/>
  <c r="AK14" i="18"/>
  <c r="AK32" i="18"/>
  <c r="AK17" i="18"/>
  <c r="AK6" i="18"/>
  <c r="AK11" i="18"/>
  <c r="AK40" i="18"/>
  <c r="AK30" i="18"/>
  <c r="AK41" i="18"/>
  <c r="AK8" i="18"/>
  <c r="AK43" i="18"/>
  <c r="AK27" i="18"/>
  <c r="AK38" i="18"/>
  <c r="AK3" i="18"/>
  <c r="AK20" i="18"/>
  <c r="AK24" i="18"/>
  <c r="AK26" i="18"/>
  <c r="AK31" i="18"/>
  <c r="AK42" i="18"/>
  <c r="AK21" i="18"/>
  <c r="AK7" i="18"/>
  <c r="AK28" i="18"/>
  <c r="AK23" i="18"/>
  <c r="AK36" i="18"/>
  <c r="AK16" i="18"/>
  <c r="AK9" i="18"/>
  <c r="AK12" i="18"/>
  <c r="AK37" i="18"/>
  <c r="AK35" i="18"/>
  <c r="AV19" i="23"/>
  <c r="AY3" i="23"/>
  <c r="AV3" i="23"/>
  <c r="AV15" i="23"/>
  <c r="AV16" i="23"/>
  <c r="AV41" i="23"/>
  <c r="AV34" i="23"/>
  <c r="AV21" i="23"/>
  <c r="AV45" i="23"/>
  <c r="AV26" i="23"/>
  <c r="AV20" i="23"/>
  <c r="AV29" i="23"/>
  <c r="AV18" i="23"/>
  <c r="AV13" i="23"/>
  <c r="AV11" i="23"/>
  <c r="AV35" i="23"/>
  <c r="AV8" i="23"/>
  <c r="AV7" i="23"/>
  <c r="AV42" i="23"/>
  <c r="AV6" i="23"/>
  <c r="AV43" i="23"/>
  <c r="AV38" i="23"/>
  <c r="AV28" i="23"/>
  <c r="AV40" i="23"/>
  <c r="AV24" i="23"/>
  <c r="AV17" i="23"/>
  <c r="AV32" i="23"/>
  <c r="AV9" i="23"/>
  <c r="AV30" i="23"/>
  <c r="AV36" i="23"/>
  <c r="AV27" i="23"/>
  <c r="AV39" i="23"/>
  <c r="AV31" i="23"/>
  <c r="AV23" i="23"/>
  <c r="AV10" i="23"/>
  <c r="AV25" i="23"/>
  <c r="AV33" i="23"/>
  <c r="AV12" i="23"/>
  <c r="AV22" i="23"/>
  <c r="AV44" i="23"/>
  <c r="AV37" i="23"/>
  <c r="AV14" i="23"/>
  <c r="AH18" i="18"/>
  <c r="AH45" i="18"/>
  <c r="AH6" i="18"/>
  <c r="AH27" i="18"/>
  <c r="AH38" i="18"/>
  <c r="AH19" i="18"/>
  <c r="AH33" i="18"/>
  <c r="AH8" i="18"/>
  <c r="AH40" i="18"/>
  <c r="AH30" i="18"/>
  <c r="AH29" i="18"/>
  <c r="AH32" i="18"/>
  <c r="AH13" i="18"/>
  <c r="AH23" i="18"/>
  <c r="AH39" i="18"/>
  <c r="AH20" i="18"/>
  <c r="AH28" i="18"/>
  <c r="AH26" i="18"/>
  <c r="AH14" i="18"/>
  <c r="AH42" i="18"/>
  <c r="AH15" i="18"/>
  <c r="AH7" i="18"/>
  <c r="AH43" i="18"/>
  <c r="AH35" i="18"/>
  <c r="AH24" i="18"/>
  <c r="AH17" i="18"/>
  <c r="AH12" i="18"/>
  <c r="AH44" i="18"/>
  <c r="AH11" i="18"/>
  <c r="AH37" i="18"/>
  <c r="AH25" i="18"/>
  <c r="AH3" i="18"/>
  <c r="AH22" i="18"/>
  <c r="AH34" i="18"/>
  <c r="AH9" i="18"/>
  <c r="AH36" i="18"/>
  <c r="AH16" i="18"/>
  <c r="AH41" i="18"/>
  <c r="AH21" i="18"/>
  <c r="AH10" i="18"/>
  <c r="AH31" i="18"/>
  <c r="AI5" i="23"/>
  <c r="AI70" i="23" s="1"/>
  <c r="AM19" i="23"/>
  <c r="AM21" i="23"/>
  <c r="AM34" i="23"/>
  <c r="AM28" i="23"/>
  <c r="AM47" i="23" s="1"/>
  <c r="AM26" i="23"/>
  <c r="AM11" i="23"/>
  <c r="AM18" i="23"/>
  <c r="AM15" i="23"/>
  <c r="AM43" i="23"/>
  <c r="AM16" i="23"/>
  <c r="AM20" i="23"/>
  <c r="AM6" i="23"/>
  <c r="AM45" i="23"/>
  <c r="AM37" i="23"/>
  <c r="AM10" i="23"/>
  <c r="AM42" i="23"/>
  <c r="AM8" i="23"/>
  <c r="AM13" i="23"/>
  <c r="AM22" i="23"/>
  <c r="AM38" i="23"/>
  <c r="AM40" i="23"/>
  <c r="AM17" i="23"/>
  <c r="AM30" i="23"/>
  <c r="AM7" i="23"/>
  <c r="AM29" i="23"/>
  <c r="AM27" i="23"/>
  <c r="AM35" i="23"/>
  <c r="AM33" i="23"/>
  <c r="AM32" i="23"/>
  <c r="AM9" i="23"/>
  <c r="AM36" i="23"/>
  <c r="AM25" i="23"/>
  <c r="AM39" i="23"/>
  <c r="AM14" i="23"/>
  <c r="AM31" i="23"/>
  <c r="AM41" i="23"/>
  <c r="AM24" i="23"/>
  <c r="AM23" i="23"/>
  <c r="AM44" i="23"/>
  <c r="AM12" i="23"/>
  <c r="AA5" i="18"/>
  <c r="AA70" i="18" s="1"/>
  <c r="AN29" i="18"/>
  <c r="AN9" i="18"/>
  <c r="AN6" i="18"/>
  <c r="AN31" i="18"/>
  <c r="AN22" i="18"/>
  <c r="AN16" i="18"/>
  <c r="AN41" i="18"/>
  <c r="AN40" i="18"/>
  <c r="AN26" i="18"/>
  <c r="AN37" i="18"/>
  <c r="AN36" i="18"/>
  <c r="AQ3" i="18"/>
  <c r="AN17" i="18"/>
  <c r="AN7" i="18"/>
  <c r="AN30" i="18"/>
  <c r="AN35" i="18"/>
  <c r="AN39" i="18"/>
  <c r="AN3" i="18"/>
  <c r="AN15" i="18"/>
  <c r="AN28" i="18"/>
  <c r="AN10" i="18"/>
  <c r="AN38" i="18"/>
  <c r="AN18" i="18"/>
  <c r="AN11" i="18"/>
  <c r="AN43" i="18"/>
  <c r="AN23" i="18"/>
  <c r="AN42" i="18"/>
  <c r="AN19" i="18"/>
  <c r="AN8" i="18"/>
  <c r="AN12" i="18"/>
  <c r="AN27" i="18"/>
  <c r="AN25" i="18"/>
  <c r="AN34" i="18"/>
  <c r="AN33" i="18"/>
  <c r="AN21" i="18"/>
  <c r="AN14" i="18"/>
  <c r="AN32" i="18"/>
  <c r="AN45" i="18"/>
  <c r="AN20" i="18"/>
  <c r="AN13" i="18"/>
  <c r="AN44" i="18"/>
  <c r="AN24" i="18"/>
  <c r="AS3" i="23"/>
  <c r="AS11" i="23"/>
  <c r="AS43" i="23"/>
  <c r="AS45" i="23"/>
  <c r="AS34" i="23"/>
  <c r="AS6" i="23"/>
  <c r="AS21" i="23"/>
  <c r="AS15" i="23"/>
  <c r="AS18" i="23"/>
  <c r="AS37" i="23"/>
  <c r="AS41" i="23"/>
  <c r="AS28" i="23"/>
  <c r="AS19" i="23"/>
  <c r="AS16" i="23"/>
  <c r="AS20" i="23"/>
  <c r="AS10" i="23"/>
  <c r="AS42" i="23"/>
  <c r="AS13" i="23"/>
  <c r="AS26" i="23"/>
  <c r="AS8" i="23"/>
  <c r="AS7" i="23"/>
  <c r="AS29" i="23"/>
  <c r="AS25" i="23"/>
  <c r="AS9" i="23"/>
  <c r="AS38" i="23"/>
  <c r="AS35" i="23"/>
  <c r="AS17" i="23"/>
  <c r="AS32" i="23"/>
  <c r="AS40" i="23"/>
  <c r="AS39" i="23"/>
  <c r="AS14" i="23"/>
  <c r="AS27" i="23"/>
  <c r="AS36" i="23"/>
  <c r="AS33" i="23"/>
  <c r="AS23" i="23"/>
  <c r="AS12" i="23"/>
  <c r="AS44" i="23"/>
  <c r="AS31" i="23"/>
  <c r="AS22" i="23"/>
  <c r="AS24" i="23"/>
  <c r="AS30" i="23"/>
  <c r="AA20" i="22"/>
  <c r="AA11" i="22"/>
  <c r="AA18" i="22"/>
  <c r="AA36" i="22"/>
  <c r="AA28" i="22"/>
  <c r="AA47" i="22" s="1"/>
  <c r="AA33" i="22"/>
  <c r="AA35" i="22"/>
  <c r="AA42" i="22"/>
  <c r="AA16" i="22"/>
  <c r="AA45" i="22"/>
  <c r="AA21" i="22"/>
  <c r="AA17" i="22"/>
  <c r="AA34" i="22"/>
  <c r="AA25" i="22"/>
  <c r="AA41" i="22"/>
  <c r="AA44" i="22"/>
  <c r="AA19" i="22"/>
  <c r="AA38" i="22"/>
  <c r="AA13" i="22"/>
  <c r="AA14" i="22"/>
  <c r="AA12" i="22"/>
  <c r="AA9" i="22"/>
  <c r="AA22" i="22"/>
  <c r="AA32" i="22"/>
  <c r="AA8" i="22"/>
  <c r="AA31" i="22"/>
  <c r="AA29" i="22"/>
  <c r="AA37" i="22"/>
  <c r="AA27" i="22"/>
  <c r="AA24" i="22"/>
  <c r="AA39" i="22"/>
  <c r="AA7" i="22"/>
  <c r="AA23" i="22"/>
  <c r="AA40" i="22"/>
  <c r="AA26" i="22"/>
  <c r="AA6" i="22"/>
  <c r="AA10" i="22"/>
  <c r="AA15" i="22"/>
  <c r="AA30" i="22"/>
  <c r="AA43" i="22"/>
  <c r="AE45" i="18"/>
  <c r="AE44" i="18"/>
  <c r="AE7" i="18"/>
  <c r="AE14" i="18"/>
  <c r="AE38" i="18"/>
  <c r="AE32" i="18"/>
  <c r="AE28" i="18"/>
  <c r="AE34" i="18"/>
  <c r="AE39" i="18"/>
  <c r="AE25" i="18"/>
  <c r="AE15" i="18"/>
  <c r="AE11" i="18"/>
  <c r="AE26" i="18"/>
  <c r="AE31" i="18"/>
  <c r="AE42" i="18"/>
  <c r="AE16" i="18"/>
  <c r="AE8" i="18"/>
  <c r="AE27" i="18"/>
  <c r="AE21" i="18"/>
  <c r="AE37" i="18"/>
  <c r="AE41" i="18"/>
  <c r="AE43" i="18"/>
  <c r="AE13" i="18"/>
  <c r="AE9" i="18"/>
  <c r="AE35" i="18"/>
  <c r="AE18" i="18"/>
  <c r="AE20" i="18"/>
  <c r="AE10" i="18"/>
  <c r="AE6" i="18"/>
  <c r="AE36" i="18"/>
  <c r="AE19" i="18"/>
  <c r="AE33" i="18"/>
  <c r="AE23" i="18"/>
  <c r="AE29" i="18"/>
  <c r="AE24" i="18"/>
  <c r="AE17" i="18"/>
  <c r="AE12" i="18"/>
  <c r="AE22" i="18"/>
  <c r="AE40" i="18"/>
  <c r="AE30" i="18"/>
  <c r="AR5" i="23"/>
  <c r="AR70" i="23" s="1"/>
  <c r="AH50" i="20"/>
  <c r="AK47" i="19"/>
  <c r="AE53" i="19"/>
  <c r="AR48" i="3"/>
  <c r="AR47" i="3"/>
  <c r="AO50" i="21"/>
  <c r="AO53" i="21"/>
  <c r="AI50" i="21"/>
  <c r="AN53" i="19"/>
  <c r="AE53" i="20"/>
  <c r="AL48" i="21"/>
  <c r="AL53" i="3"/>
  <c r="AL48" i="3"/>
  <c r="AR50" i="3"/>
  <c r="AO53" i="3"/>
  <c r="AH53" i="19"/>
  <c r="AN53" i="20"/>
  <c r="AK50" i="19"/>
  <c r="AK53" i="19"/>
  <c r="AO48" i="21"/>
  <c r="AH53" i="20"/>
  <c r="AR53" i="21"/>
  <c r="AI49" i="3"/>
  <c r="AN50" i="19"/>
  <c r="AI47" i="3"/>
  <c r="AL50" i="3"/>
  <c r="AE49" i="19"/>
  <c r="AI53" i="21"/>
  <c r="AK48" i="19"/>
  <c r="AK48" i="20"/>
  <c r="AL47" i="3"/>
  <c r="AI53" i="3"/>
  <c r="AL49" i="21"/>
  <c r="AO50" i="3"/>
  <c r="AK53" i="20"/>
  <c r="AL53" i="21"/>
  <c r="AR53" i="3"/>
  <c r="AR46" i="21"/>
  <c r="AN46" i="20"/>
  <c r="AO46" i="3"/>
  <c r="AK46" i="19"/>
  <c r="AE46" i="19"/>
  <c r="AP3" i="21"/>
  <c r="AP17" i="21"/>
  <c r="AP32" i="21"/>
  <c r="AP19" i="21"/>
  <c r="AP27" i="21"/>
  <c r="AP41" i="21"/>
  <c r="AP42" i="21"/>
  <c r="AP16" i="21"/>
  <c r="AP20" i="21"/>
  <c r="AP45" i="21"/>
  <c r="AP21" i="21"/>
  <c r="AP34" i="21"/>
  <c r="AP26" i="21"/>
  <c r="AP11" i="21"/>
  <c r="AP9" i="21"/>
  <c r="AP33" i="21"/>
  <c r="AP39" i="21"/>
  <c r="AP30" i="21"/>
  <c r="AP24" i="21"/>
  <c r="AP7" i="21"/>
  <c r="AP12" i="21"/>
  <c r="AP6" i="21"/>
  <c r="AP8" i="21"/>
  <c r="AP28" i="21"/>
  <c r="AP22" i="21"/>
  <c r="AP44" i="21"/>
  <c r="AP13" i="21"/>
  <c r="AP14" i="21"/>
  <c r="AP38" i="21"/>
  <c r="AP37" i="21"/>
  <c r="AP40" i="21"/>
  <c r="AP18" i="21"/>
  <c r="AP15" i="21"/>
  <c r="AP35" i="21"/>
  <c r="AP31" i="21"/>
  <c r="AP10" i="21"/>
  <c r="AP29" i="21"/>
  <c r="AP25" i="21"/>
  <c r="AP23" i="21"/>
  <c r="AP36" i="21"/>
  <c r="AP43" i="21"/>
  <c r="AA70" i="20"/>
  <c r="AE49" i="20"/>
  <c r="AK52" i="20"/>
  <c r="AK5" i="20"/>
  <c r="AL21" i="20"/>
  <c r="AL16" i="20"/>
  <c r="AL3" i="20"/>
  <c r="AL18" i="20"/>
  <c r="AL19" i="20"/>
  <c r="AL29" i="20"/>
  <c r="AL45" i="20"/>
  <c r="AL41" i="20"/>
  <c r="AL17" i="20"/>
  <c r="AL8" i="20"/>
  <c r="AL9" i="20"/>
  <c r="AL14" i="20"/>
  <c r="AL13" i="20"/>
  <c r="AL10" i="20"/>
  <c r="AL28" i="20"/>
  <c r="AL15" i="20"/>
  <c r="AL12" i="20"/>
  <c r="AL44" i="20"/>
  <c r="AL32" i="20"/>
  <c r="AL34" i="20"/>
  <c r="AL43" i="20"/>
  <c r="AL30" i="20"/>
  <c r="AL20" i="20"/>
  <c r="AL40" i="20"/>
  <c r="AL7" i="20"/>
  <c r="AL22" i="20"/>
  <c r="AL36" i="20"/>
  <c r="AL31" i="20"/>
  <c r="AL35" i="20"/>
  <c r="AL39" i="20"/>
  <c r="AL37" i="20"/>
  <c r="AL33" i="20"/>
  <c r="AL26" i="20"/>
  <c r="AL11" i="20"/>
  <c r="AL38" i="20"/>
  <c r="AL24" i="20"/>
  <c r="AL27" i="20"/>
  <c r="AL23" i="20"/>
  <c r="AL25" i="20"/>
  <c r="AL6" i="20"/>
  <c r="AL42" i="20"/>
  <c r="AL52" i="21"/>
  <c r="AL5" i="21"/>
  <c r="AM16" i="3"/>
  <c r="AM19" i="3"/>
  <c r="AM12" i="3"/>
  <c r="AM8" i="3"/>
  <c r="AM20" i="3"/>
  <c r="AM6" i="3"/>
  <c r="AM24" i="3"/>
  <c r="AM28" i="3"/>
  <c r="AM36" i="3"/>
  <c r="AM29" i="3"/>
  <c r="AM21" i="3"/>
  <c r="AM13" i="3"/>
  <c r="AM33" i="3"/>
  <c r="AM17" i="3"/>
  <c r="AM9" i="3"/>
  <c r="AM41" i="3"/>
  <c r="AM35" i="3"/>
  <c r="AM11" i="3"/>
  <c r="AM7" i="3"/>
  <c r="AM39" i="3"/>
  <c r="AM31" i="3"/>
  <c r="AM18" i="3"/>
  <c r="AM45" i="3"/>
  <c r="AM43" i="3"/>
  <c r="AM10" i="3"/>
  <c r="AM40" i="3"/>
  <c r="AM34" i="3"/>
  <c r="AM44" i="3"/>
  <c r="AM15" i="3"/>
  <c r="AM32" i="3"/>
  <c r="AM42" i="3"/>
  <c r="AM14" i="3"/>
  <c r="AM25" i="3"/>
  <c r="AM26" i="3"/>
  <c r="AM23" i="3"/>
  <c r="AM38" i="3"/>
  <c r="AM37" i="3"/>
  <c r="AM30" i="3"/>
  <c r="AM22" i="3"/>
  <c r="AM27" i="3"/>
  <c r="AR52" i="3"/>
  <c r="AR5" i="3"/>
  <c r="AL52" i="3"/>
  <c r="AL5" i="3"/>
  <c r="AO48" i="3"/>
  <c r="AP3" i="3"/>
  <c r="AP16" i="3"/>
  <c r="AP36" i="3"/>
  <c r="AP19" i="3"/>
  <c r="AP35" i="3"/>
  <c r="AP12" i="3"/>
  <c r="AP8" i="3"/>
  <c r="AP20" i="3"/>
  <c r="AP24" i="3"/>
  <c r="AP38" i="3"/>
  <c r="AP40" i="3"/>
  <c r="AP28" i="3"/>
  <c r="AP13" i="3"/>
  <c r="AP45" i="3"/>
  <c r="AP21" i="3"/>
  <c r="AP10" i="3"/>
  <c r="AP17" i="3"/>
  <c r="AP33" i="3"/>
  <c r="AP9" i="3"/>
  <c r="AP39" i="3"/>
  <c r="AP6" i="3"/>
  <c r="AP11" i="3"/>
  <c r="AP18" i="3"/>
  <c r="AP7" i="3"/>
  <c r="AP14" i="3"/>
  <c r="AP44" i="3"/>
  <c r="AP43" i="3"/>
  <c r="AP15" i="3"/>
  <c r="AP31" i="3"/>
  <c r="AP32" i="3"/>
  <c r="AP23" i="3"/>
  <c r="AP25" i="3"/>
  <c r="AP34" i="3"/>
  <c r="AP42" i="3"/>
  <c r="AP27" i="3"/>
  <c r="AP37" i="3"/>
  <c r="AP30" i="3"/>
  <c r="AP26" i="3"/>
  <c r="AP41" i="3"/>
  <c r="AP22" i="3"/>
  <c r="AP29" i="3"/>
  <c r="AH46" i="20"/>
  <c r="AH47" i="19"/>
  <c r="AK70" i="21"/>
  <c r="AI50" i="3"/>
  <c r="AM19" i="21"/>
  <c r="AM30" i="21"/>
  <c r="AM26" i="21"/>
  <c r="AM11" i="21"/>
  <c r="AM41" i="21"/>
  <c r="AM17" i="21"/>
  <c r="AM21" i="21"/>
  <c r="AM16" i="21"/>
  <c r="AM20" i="21"/>
  <c r="AM45" i="21"/>
  <c r="AM18" i="21"/>
  <c r="AM34" i="21"/>
  <c r="AM28" i="21"/>
  <c r="AM9" i="21"/>
  <c r="AM42" i="21"/>
  <c r="AM7" i="21"/>
  <c r="AM33" i="21"/>
  <c r="AM32" i="21"/>
  <c r="AM12" i="21"/>
  <c r="AM24" i="21"/>
  <c r="AM27" i="21"/>
  <c r="AM8" i="21"/>
  <c r="AM44" i="21"/>
  <c r="AM31" i="21"/>
  <c r="AM6" i="21"/>
  <c r="AM22" i="21"/>
  <c r="AM13" i="21"/>
  <c r="AM40" i="21"/>
  <c r="AM37" i="21"/>
  <c r="AM38" i="21"/>
  <c r="AM15" i="21"/>
  <c r="AM39" i="21"/>
  <c r="AM35" i="21"/>
  <c r="AM14" i="21"/>
  <c r="AM23" i="21"/>
  <c r="AM29" i="21"/>
  <c r="AM43" i="21"/>
  <c r="AM10" i="21"/>
  <c r="AM25" i="21"/>
  <c r="AM36" i="21"/>
  <c r="AH70" i="3"/>
  <c r="AN52" i="20"/>
  <c r="AN5" i="20"/>
  <c r="AY3" i="3"/>
  <c r="AV39" i="3"/>
  <c r="AV3" i="3"/>
  <c r="AV12" i="3"/>
  <c r="AV20" i="3"/>
  <c r="AV16" i="3"/>
  <c r="AV8" i="3"/>
  <c r="AV24" i="3"/>
  <c r="AV29" i="3"/>
  <c r="AV40" i="3"/>
  <c r="AV43" i="3"/>
  <c r="AV11" i="3"/>
  <c r="AV10" i="3"/>
  <c r="AV41" i="3"/>
  <c r="AV37" i="3"/>
  <c r="AV9" i="3"/>
  <c r="AV13" i="3"/>
  <c r="AV45" i="3"/>
  <c r="AV17" i="3"/>
  <c r="AV7" i="3"/>
  <c r="AV30" i="3"/>
  <c r="AV21" i="3"/>
  <c r="AV6" i="3"/>
  <c r="AV28" i="3"/>
  <c r="AV18" i="3"/>
  <c r="AV19" i="3"/>
  <c r="AV35" i="3"/>
  <c r="AV15" i="3"/>
  <c r="AV14" i="3"/>
  <c r="AV33" i="3"/>
  <c r="AV44" i="3"/>
  <c r="AV36" i="3"/>
  <c r="AV31" i="3"/>
  <c r="AV22" i="3"/>
  <c r="AV23" i="3"/>
  <c r="AV27" i="3"/>
  <c r="AV42" i="3"/>
  <c r="AV32" i="3"/>
  <c r="AV25" i="3"/>
  <c r="AV38" i="3"/>
  <c r="AV34" i="3"/>
  <c r="AV26" i="3"/>
  <c r="AO47" i="3"/>
  <c r="AO49" i="3"/>
  <c r="AK70" i="3"/>
  <c r="AI47" i="21"/>
  <c r="AN46" i="19"/>
  <c r="AR3" i="19"/>
  <c r="AU3" i="19"/>
  <c r="AR16" i="19"/>
  <c r="AR21" i="19"/>
  <c r="AR27" i="19"/>
  <c r="AR15" i="19"/>
  <c r="AR34" i="19"/>
  <c r="AR45" i="19"/>
  <c r="AR26" i="19"/>
  <c r="AR43" i="19"/>
  <c r="AR6" i="19"/>
  <c r="AR11" i="19"/>
  <c r="AR7" i="19"/>
  <c r="AR8" i="19"/>
  <c r="AR29" i="19"/>
  <c r="AR42" i="19"/>
  <c r="AR33" i="19"/>
  <c r="AR19" i="19"/>
  <c r="AR32" i="19"/>
  <c r="AR28" i="19"/>
  <c r="AR14" i="19"/>
  <c r="AR10" i="19"/>
  <c r="AR13" i="19"/>
  <c r="AR20" i="19"/>
  <c r="AR36" i="19"/>
  <c r="AR35" i="19"/>
  <c r="AR17" i="19"/>
  <c r="AR12" i="19"/>
  <c r="AR18" i="19"/>
  <c r="AR41" i="19"/>
  <c r="AR40" i="19"/>
  <c r="AR37" i="19"/>
  <c r="AR9" i="19"/>
  <c r="AR39" i="19"/>
  <c r="AR38" i="19"/>
  <c r="AR30" i="19"/>
  <c r="AR24" i="19"/>
  <c r="AR23" i="19"/>
  <c r="AR31" i="19"/>
  <c r="AR44" i="19"/>
  <c r="AR25" i="19"/>
  <c r="AR22" i="19"/>
  <c r="AI46" i="3"/>
  <c r="AK47" i="20"/>
  <c r="AL47" i="21"/>
  <c r="AH70" i="21"/>
  <c r="AR46" i="3"/>
  <c r="AR49" i="21"/>
  <c r="AH49" i="19"/>
  <c r="AI19" i="19"/>
  <c r="AI16" i="19"/>
  <c r="AI21" i="19"/>
  <c r="AI38" i="19"/>
  <c r="AI29" i="19"/>
  <c r="AI15" i="19"/>
  <c r="AI45" i="19"/>
  <c r="AI28" i="19"/>
  <c r="AI43" i="19"/>
  <c r="AI34" i="19"/>
  <c r="AI11" i="19"/>
  <c r="AI7" i="19"/>
  <c r="AI6" i="19"/>
  <c r="AI8" i="19"/>
  <c r="AI42" i="19"/>
  <c r="AI25" i="19"/>
  <c r="AI27" i="19"/>
  <c r="AI26" i="19"/>
  <c r="AI33" i="19"/>
  <c r="AI14" i="19"/>
  <c r="AI40" i="19"/>
  <c r="AI32" i="19"/>
  <c r="AI13" i="19"/>
  <c r="AI20" i="19"/>
  <c r="AI12" i="19"/>
  <c r="AI10" i="19"/>
  <c r="AI41" i="19"/>
  <c r="AI44" i="19"/>
  <c r="AI17" i="19"/>
  <c r="AI9" i="19"/>
  <c r="AI39" i="19"/>
  <c r="AI35" i="19"/>
  <c r="AI37" i="19"/>
  <c r="AI18" i="19"/>
  <c r="AI36" i="19"/>
  <c r="AI24" i="19"/>
  <c r="AI31" i="19"/>
  <c r="AI23" i="19"/>
  <c r="AI22" i="19"/>
  <c r="AI30" i="19"/>
  <c r="AO3" i="19"/>
  <c r="AO16" i="19"/>
  <c r="AO45" i="19"/>
  <c r="AO21" i="19"/>
  <c r="AO15" i="19"/>
  <c r="AO34" i="19"/>
  <c r="AO43" i="19"/>
  <c r="AO38" i="19"/>
  <c r="AO28" i="19"/>
  <c r="AO7" i="19"/>
  <c r="AO6" i="19"/>
  <c r="AO11" i="19"/>
  <c r="AO27" i="19"/>
  <c r="AO42" i="19"/>
  <c r="AO8" i="19"/>
  <c r="AO26" i="19"/>
  <c r="AO19" i="19"/>
  <c r="AO33" i="19"/>
  <c r="AO10" i="19"/>
  <c r="AO32" i="19"/>
  <c r="AO13" i="19"/>
  <c r="AO14" i="19"/>
  <c r="AO29" i="19"/>
  <c r="AO12" i="19"/>
  <c r="AO17" i="19"/>
  <c r="AO44" i="19"/>
  <c r="AO41" i="19"/>
  <c r="AO40" i="19"/>
  <c r="AO37" i="19"/>
  <c r="AO9" i="19"/>
  <c r="AO39" i="19"/>
  <c r="AO36" i="19"/>
  <c r="AO20" i="19"/>
  <c r="AO18" i="19"/>
  <c r="AO35" i="19"/>
  <c r="AO25" i="19"/>
  <c r="AO30" i="19"/>
  <c r="AO23" i="19"/>
  <c r="AO31" i="19"/>
  <c r="AO24" i="19"/>
  <c r="AO22" i="19"/>
  <c r="AN70" i="21"/>
  <c r="AH48" i="20"/>
  <c r="AI16" i="20"/>
  <c r="AI21" i="20"/>
  <c r="AI41" i="20"/>
  <c r="AI19" i="20"/>
  <c r="AI45" i="20"/>
  <c r="AI17" i="20"/>
  <c r="AI11" i="20"/>
  <c r="AI20" i="20"/>
  <c r="AI18" i="20"/>
  <c r="AI9" i="20"/>
  <c r="AI29" i="20"/>
  <c r="AI14" i="20"/>
  <c r="AI8" i="20"/>
  <c r="AI28" i="20"/>
  <c r="AI13" i="20"/>
  <c r="AI43" i="20"/>
  <c r="AI32" i="20"/>
  <c r="AI12" i="20"/>
  <c r="AI34" i="20"/>
  <c r="AI10" i="20"/>
  <c r="AI15" i="20"/>
  <c r="AI30" i="20"/>
  <c r="AI39" i="20"/>
  <c r="AI7" i="20"/>
  <c r="AI40" i="20"/>
  <c r="AI31" i="20"/>
  <c r="AI22" i="20"/>
  <c r="AI38" i="20"/>
  <c r="AI36" i="20"/>
  <c r="AI35" i="20"/>
  <c r="AI37" i="20"/>
  <c r="AI33" i="20"/>
  <c r="AI26" i="20"/>
  <c r="AI6" i="20"/>
  <c r="AI44" i="20"/>
  <c r="AI24" i="20"/>
  <c r="AI23" i="20"/>
  <c r="AI25" i="20"/>
  <c r="AI27" i="20"/>
  <c r="AI42" i="20"/>
  <c r="AH48" i="19"/>
  <c r="AG70" i="19"/>
  <c r="AI5" i="21"/>
  <c r="AI52" i="21"/>
  <c r="AE50" i="20"/>
  <c r="AK5" i="19"/>
  <c r="AK52" i="19"/>
  <c r="AK46" i="20"/>
  <c r="AO49" i="21"/>
  <c r="AH47" i="20"/>
  <c r="AH49" i="20"/>
  <c r="AR47" i="21"/>
  <c r="AH52" i="19"/>
  <c r="AH5" i="19"/>
  <c r="AJ70" i="19"/>
  <c r="AI46" i="21"/>
  <c r="AN52" i="19"/>
  <c r="AN5" i="19"/>
  <c r="AI52" i="3"/>
  <c r="AI5" i="3"/>
  <c r="AK50" i="20"/>
  <c r="AN48" i="20"/>
  <c r="AN50" i="20"/>
  <c r="AO5" i="3"/>
  <c r="AO52" i="3"/>
  <c r="AO47" i="21"/>
  <c r="AH52" i="20"/>
  <c r="AH5" i="20"/>
  <c r="AR5" i="21"/>
  <c r="AR52" i="21"/>
  <c r="AN47" i="19"/>
  <c r="AL16" i="19"/>
  <c r="AL3" i="19"/>
  <c r="AL21" i="19"/>
  <c r="AL27" i="19"/>
  <c r="AL26" i="19"/>
  <c r="AL45" i="19"/>
  <c r="AL28" i="19"/>
  <c r="AL34" i="19"/>
  <c r="AL40" i="19"/>
  <c r="AL44" i="19"/>
  <c r="AL7" i="19"/>
  <c r="AL15" i="19"/>
  <c r="AL43" i="19"/>
  <c r="AL11" i="19"/>
  <c r="AL6" i="19"/>
  <c r="AL18" i="19"/>
  <c r="AL42" i="19"/>
  <c r="AL8" i="19"/>
  <c r="AL19" i="19"/>
  <c r="AL29" i="19"/>
  <c r="AL14" i="19"/>
  <c r="AL13" i="19"/>
  <c r="AL32" i="19"/>
  <c r="AL10" i="19"/>
  <c r="AL12" i="19"/>
  <c r="AL20" i="19"/>
  <c r="AL38" i="19"/>
  <c r="AL17" i="19"/>
  <c r="AL39" i="19"/>
  <c r="AL35" i="19"/>
  <c r="AL30" i="19"/>
  <c r="AL37" i="19"/>
  <c r="AL9" i="19"/>
  <c r="AL41" i="19"/>
  <c r="AL36" i="19"/>
  <c r="AL24" i="19"/>
  <c r="AL31" i="19"/>
  <c r="AL23" i="19"/>
  <c r="AL33" i="19"/>
  <c r="AL25" i="19"/>
  <c r="AL22" i="19"/>
  <c r="AL50" i="21"/>
  <c r="AN47" i="20"/>
  <c r="AO3" i="20"/>
  <c r="AO41" i="20"/>
  <c r="AO16" i="20"/>
  <c r="AO21" i="20"/>
  <c r="AO18" i="20"/>
  <c r="AO19" i="20"/>
  <c r="AO45" i="20"/>
  <c r="AO32" i="20"/>
  <c r="AO29" i="20"/>
  <c r="AO17" i="20"/>
  <c r="AO15" i="20"/>
  <c r="AO9" i="20"/>
  <c r="AO8" i="20"/>
  <c r="AO14" i="20"/>
  <c r="AO13" i="20"/>
  <c r="AO28" i="20"/>
  <c r="AO44" i="20"/>
  <c r="AO26" i="20"/>
  <c r="AO33" i="20"/>
  <c r="AO43" i="20"/>
  <c r="AO34" i="20"/>
  <c r="AO10" i="20"/>
  <c r="AO30" i="20"/>
  <c r="AO20" i="20"/>
  <c r="AO39" i="20"/>
  <c r="AO12" i="20"/>
  <c r="AO7" i="20"/>
  <c r="AO11" i="20"/>
  <c r="AO36" i="20"/>
  <c r="AO38" i="20"/>
  <c r="AO31" i="20"/>
  <c r="AO40" i="20"/>
  <c r="AO37" i="20"/>
  <c r="AO24" i="20"/>
  <c r="AO6" i="20"/>
  <c r="AO27" i="20"/>
  <c r="AO42" i="20"/>
  <c r="AO35" i="20"/>
  <c r="AO25" i="20"/>
  <c r="AO23" i="20"/>
  <c r="AO22" i="20"/>
  <c r="AL49" i="3"/>
  <c r="AR49" i="3"/>
  <c r="AG70" i="20"/>
  <c r="AJ70" i="20"/>
  <c r="AE46" i="20"/>
  <c r="AO46" i="21"/>
  <c r="AD70" i="19"/>
  <c r="AR48" i="21"/>
  <c r="AI48" i="21"/>
  <c r="AR16" i="20"/>
  <c r="AR21" i="20"/>
  <c r="AR3" i="20"/>
  <c r="AU3" i="20"/>
  <c r="AR45" i="20"/>
  <c r="AR19" i="20"/>
  <c r="AR17" i="20"/>
  <c r="AR41" i="20"/>
  <c r="AR29" i="20"/>
  <c r="AR18" i="20"/>
  <c r="AR9" i="20"/>
  <c r="AR40" i="20"/>
  <c r="AR13" i="20"/>
  <c r="AR32" i="20"/>
  <c r="AR14" i="20"/>
  <c r="AR43" i="20"/>
  <c r="AR15" i="20"/>
  <c r="AR8" i="20"/>
  <c r="AR10" i="20"/>
  <c r="AR39" i="20"/>
  <c r="AR12" i="20"/>
  <c r="AR28" i="20"/>
  <c r="AR30" i="20"/>
  <c r="AR25" i="20"/>
  <c r="AR34" i="20"/>
  <c r="AR7" i="20"/>
  <c r="AR37" i="20"/>
  <c r="AR33" i="20"/>
  <c r="AR20" i="20"/>
  <c r="AR11" i="20"/>
  <c r="AR36" i="20"/>
  <c r="AR35" i="20"/>
  <c r="AR26" i="20"/>
  <c r="AR24" i="20"/>
  <c r="AR6" i="20"/>
  <c r="AR44" i="20"/>
  <c r="AR23" i="20"/>
  <c r="AR31" i="20"/>
  <c r="AR38" i="20"/>
  <c r="AR42" i="20"/>
  <c r="AR22" i="20"/>
  <c r="AR27" i="20"/>
  <c r="AL46" i="3"/>
  <c r="AE47" i="19"/>
  <c r="AE70" i="3"/>
  <c r="AE52" i="19"/>
  <c r="AE5" i="19"/>
  <c r="AO5" i="21"/>
  <c r="AO52" i="21"/>
  <c r="AS3" i="21"/>
  <c r="AS21" i="21"/>
  <c r="AS18" i="21"/>
  <c r="AS17" i="21"/>
  <c r="AS19" i="21"/>
  <c r="AS20" i="21"/>
  <c r="AS45" i="21"/>
  <c r="AS41" i="21"/>
  <c r="AS16" i="21"/>
  <c r="AS37" i="21"/>
  <c r="AS12" i="21"/>
  <c r="AS25" i="21"/>
  <c r="AS34" i="21"/>
  <c r="AS11" i="21"/>
  <c r="AS42" i="21"/>
  <c r="AS24" i="21"/>
  <c r="AS26" i="21"/>
  <c r="AS33" i="21"/>
  <c r="AS9" i="21"/>
  <c r="AS7" i="21"/>
  <c r="AS40" i="21"/>
  <c r="AS32" i="21"/>
  <c r="AS30" i="21"/>
  <c r="AS15" i="21"/>
  <c r="AS8" i="21"/>
  <c r="AS28" i="21"/>
  <c r="AS6" i="21"/>
  <c r="AS22" i="21"/>
  <c r="AS13" i="21"/>
  <c r="AS38" i="21"/>
  <c r="AS14" i="21"/>
  <c r="AS39" i="21"/>
  <c r="AS44" i="21"/>
  <c r="AS43" i="21"/>
  <c r="AS10" i="21"/>
  <c r="AS27" i="21"/>
  <c r="AS29" i="21"/>
  <c r="AS36" i="21"/>
  <c r="AS23" i="21"/>
  <c r="AS31" i="21"/>
  <c r="AS35" i="21"/>
  <c r="AI49" i="21"/>
  <c r="AK49" i="19"/>
  <c r="AN49" i="20"/>
  <c r="AD70" i="20"/>
  <c r="AE48" i="19"/>
  <c r="AA70" i="19"/>
  <c r="AN70" i="3"/>
  <c r="AR50" i="21"/>
  <c r="AY3" i="21"/>
  <c r="AV3" i="21"/>
  <c r="AV26" i="21"/>
  <c r="AV16" i="21"/>
  <c r="AV45" i="21"/>
  <c r="AV19" i="21"/>
  <c r="AV11" i="21"/>
  <c r="AV41" i="21"/>
  <c r="AV17" i="21"/>
  <c r="AV21" i="21"/>
  <c r="AV20" i="21"/>
  <c r="AV37" i="21"/>
  <c r="AV40" i="21"/>
  <c r="AV34" i="21"/>
  <c r="AV24" i="21"/>
  <c r="AV9" i="21"/>
  <c r="AV42" i="21"/>
  <c r="AV28" i="21"/>
  <c r="AV33" i="21"/>
  <c r="AV10" i="21"/>
  <c r="AV30" i="21"/>
  <c r="AV6" i="21"/>
  <c r="AV8" i="21"/>
  <c r="AV12" i="21"/>
  <c r="AV7" i="21"/>
  <c r="AV13" i="21"/>
  <c r="AV38" i="21"/>
  <c r="AV39" i="21"/>
  <c r="AV32" i="21"/>
  <c r="AV18" i="21"/>
  <c r="AV44" i="21"/>
  <c r="AV22" i="21"/>
  <c r="AV27" i="21"/>
  <c r="AV14" i="21"/>
  <c r="AV15" i="21"/>
  <c r="AV31" i="21"/>
  <c r="AV29" i="21"/>
  <c r="AV43" i="21"/>
  <c r="AV25" i="21"/>
  <c r="AV23" i="21"/>
  <c r="AV36" i="21"/>
  <c r="AV35" i="21"/>
  <c r="AH50" i="19"/>
  <c r="AH46" i="19"/>
  <c r="AN49" i="19"/>
  <c r="AN48" i="19"/>
  <c r="AE52" i="20"/>
  <c r="AE5" i="20"/>
  <c r="AE48" i="20"/>
  <c r="AI48" i="3"/>
  <c r="AK49" i="20"/>
  <c r="AL46" i="21"/>
  <c r="AE70" i="21"/>
  <c r="AS3" i="3"/>
  <c r="AS12" i="3"/>
  <c r="AS16" i="3"/>
  <c r="AS20" i="3"/>
  <c r="AS8" i="3"/>
  <c r="AS37" i="3"/>
  <c r="AS24" i="3"/>
  <c r="AS43" i="3"/>
  <c r="AS29" i="3"/>
  <c r="AS28" i="3"/>
  <c r="AS35" i="3"/>
  <c r="AS36" i="3"/>
  <c r="AS11" i="3"/>
  <c r="AS13" i="3"/>
  <c r="AS21" i="3"/>
  <c r="AS9" i="3"/>
  <c r="AS45" i="3"/>
  <c r="AS17" i="3"/>
  <c r="AS10" i="3"/>
  <c r="AS6" i="3"/>
  <c r="AS42" i="3"/>
  <c r="AS38" i="3"/>
  <c r="AS39" i="3"/>
  <c r="AS22" i="3"/>
  <c r="AS31" i="3"/>
  <c r="AS19" i="3"/>
  <c r="AS7" i="3"/>
  <c r="AS18" i="3"/>
  <c r="AS14" i="3"/>
  <c r="AS44" i="3"/>
  <c r="AS15" i="3"/>
  <c r="AS40" i="3"/>
  <c r="AS30" i="3"/>
  <c r="AS27" i="3"/>
  <c r="AS41" i="3"/>
  <c r="AS33" i="3"/>
  <c r="AS32" i="3"/>
  <c r="AS26" i="3"/>
  <c r="AS23" i="3"/>
  <c r="AS34" i="3"/>
  <c r="AS25" i="3"/>
  <c r="C84" i="2"/>
  <c r="D83" i="2"/>
  <c r="AA51" i="22" l="1"/>
  <c r="AL47" i="20"/>
  <c r="AM51" i="23"/>
  <c r="AP51" i="3"/>
  <c r="AV47" i="21"/>
  <c r="AE53" i="18"/>
  <c r="AM53" i="23"/>
  <c r="AD53" i="22"/>
  <c r="AN53" i="18"/>
  <c r="AH53" i="18"/>
  <c r="AR51" i="20"/>
  <c r="AL51" i="19"/>
  <c r="AO51" i="19"/>
  <c r="AA48" i="22"/>
  <c r="AP46" i="23"/>
  <c r="AP50" i="23"/>
  <c r="AI51" i="19"/>
  <c r="AS50" i="23"/>
  <c r="AV50" i="3"/>
  <c r="AM47" i="21"/>
  <c r="AN50" i="18"/>
  <c r="AD48" i="22"/>
  <c r="AJ48" i="22"/>
  <c r="AV46" i="23"/>
  <c r="AP53" i="23"/>
  <c r="AD52" i="22"/>
  <c r="AA53" i="22"/>
  <c r="AJ53" i="22"/>
  <c r="AR50" i="20"/>
  <c r="AI51" i="20"/>
  <c r="AR51" i="19"/>
  <c r="AS46" i="23"/>
  <c r="AS49" i="23"/>
  <c r="AH50" i="18"/>
  <c r="AV53" i="23"/>
  <c r="AD49" i="22"/>
  <c r="AD46" i="22"/>
  <c r="AG52" i="22"/>
  <c r="AG46" i="22"/>
  <c r="AG48" i="22"/>
  <c r="AP52" i="23"/>
  <c r="AP49" i="23"/>
  <c r="AP51" i="23"/>
  <c r="AP47" i="23"/>
  <c r="AJ51" i="22"/>
  <c r="AJ47" i="22"/>
  <c r="AS51" i="3"/>
  <c r="AV51" i="21"/>
  <c r="AM51" i="21"/>
  <c r="AP51" i="21"/>
  <c r="AA52" i="22"/>
  <c r="AA49" i="22"/>
  <c r="AM48" i="23"/>
  <c r="AM52" i="23"/>
  <c r="AH52" i="18"/>
  <c r="AV50" i="23"/>
  <c r="AV48" i="23"/>
  <c r="AV52" i="23"/>
  <c r="AJ50" i="22"/>
  <c r="AS51" i="23"/>
  <c r="AS47" i="23"/>
  <c r="AV51" i="23"/>
  <c r="AV47" i="23"/>
  <c r="AD51" i="22"/>
  <c r="AD47" i="22"/>
  <c r="AG51" i="22"/>
  <c r="AG47" i="22"/>
  <c r="AS51" i="21"/>
  <c r="AO51" i="20"/>
  <c r="AV51" i="3"/>
  <c r="AM51" i="3"/>
  <c r="AL51" i="20"/>
  <c r="AA50" i="22"/>
  <c r="AA46" i="22"/>
  <c r="AS48" i="23"/>
  <c r="AS52" i="23"/>
  <c r="AS53" i="23"/>
  <c r="AM46" i="23"/>
  <c r="AM50" i="23"/>
  <c r="AM49" i="23"/>
  <c r="AV49" i="23"/>
  <c r="AK50" i="18"/>
  <c r="AD50" i="22"/>
  <c r="AG53" i="22"/>
  <c r="AG50" i="22"/>
  <c r="AG49" i="22"/>
  <c r="AP48" i="23"/>
  <c r="AJ46" i="22"/>
  <c r="AJ52" i="22"/>
  <c r="AJ49" i="22"/>
  <c r="AL53" i="19"/>
  <c r="AH49" i="18"/>
  <c r="AE49" i="18"/>
  <c r="AN49" i="18"/>
  <c r="AK49" i="18"/>
  <c r="AE50" i="18"/>
  <c r="AE51" i="18"/>
  <c r="AE47" i="18"/>
  <c r="AH51" i="18"/>
  <c r="AH47" i="18"/>
  <c r="AN51" i="18"/>
  <c r="AN47" i="18"/>
  <c r="AK51" i="18"/>
  <c r="AK47" i="18"/>
  <c r="AL48" i="19"/>
  <c r="AN48" i="18"/>
  <c r="AK48" i="18"/>
  <c r="AE48" i="18"/>
  <c r="AH48" i="18"/>
  <c r="AH46" i="18"/>
  <c r="AN46" i="18"/>
  <c r="AK46" i="18"/>
  <c r="AE46" i="18"/>
  <c r="AK52" i="18"/>
  <c r="AE52" i="18"/>
  <c r="AN52" i="18"/>
  <c r="AK53" i="18"/>
  <c r="AG5" i="22"/>
  <c r="AG70" i="22" s="1"/>
  <c r="AR3" i="18"/>
  <c r="AR17" i="18"/>
  <c r="AR31" i="18"/>
  <c r="AR34" i="18"/>
  <c r="AR36" i="18"/>
  <c r="AR32" i="18"/>
  <c r="AU3" i="18"/>
  <c r="AR15" i="18"/>
  <c r="AR44" i="18"/>
  <c r="AR10" i="18"/>
  <c r="AR27" i="18"/>
  <c r="AR19" i="18"/>
  <c r="AR8" i="18"/>
  <c r="AR11" i="18"/>
  <c r="AR26" i="18"/>
  <c r="AR37" i="18"/>
  <c r="AR28" i="18"/>
  <c r="AR12" i="18"/>
  <c r="AR7" i="18"/>
  <c r="AR9" i="18"/>
  <c r="AR39" i="18"/>
  <c r="AR18" i="18"/>
  <c r="AR20" i="18"/>
  <c r="AR43" i="18"/>
  <c r="AR14" i="18"/>
  <c r="AR22" i="18"/>
  <c r="AR30" i="18"/>
  <c r="AR50" i="18" s="1"/>
  <c r="AR29" i="18"/>
  <c r="AR21" i="18"/>
  <c r="AR23" i="18"/>
  <c r="AR42" i="18"/>
  <c r="AR41" i="18"/>
  <c r="AR24" i="18"/>
  <c r="AR6" i="18"/>
  <c r="AR40" i="18"/>
  <c r="AR25" i="18"/>
  <c r="AR16" i="18"/>
  <c r="AR45" i="18"/>
  <c r="AR33" i="18"/>
  <c r="AR13" i="18"/>
  <c r="AR35" i="18"/>
  <c r="AR38" i="18"/>
  <c r="AL3" i="18"/>
  <c r="AL32" i="18"/>
  <c r="AL44" i="18"/>
  <c r="AL43" i="18"/>
  <c r="AL31" i="18"/>
  <c r="AL39" i="18"/>
  <c r="AL16" i="18"/>
  <c r="AL42" i="18"/>
  <c r="AL11" i="18"/>
  <c r="AL8" i="18"/>
  <c r="AL36" i="18"/>
  <c r="AL45" i="18"/>
  <c r="AL7" i="18"/>
  <c r="AL34" i="18"/>
  <c r="AL13" i="18"/>
  <c r="AL37" i="18"/>
  <c r="AL18" i="18"/>
  <c r="AL20" i="18"/>
  <c r="AL14" i="18"/>
  <c r="AL10" i="18"/>
  <c r="AL22" i="18"/>
  <c r="AL19" i="18"/>
  <c r="AL29" i="18"/>
  <c r="AL21" i="18"/>
  <c r="AL6" i="18"/>
  <c r="AL25" i="18"/>
  <c r="AL17" i="18"/>
  <c r="AL33" i="18"/>
  <c r="AL26" i="18"/>
  <c r="AL9" i="18"/>
  <c r="AL30" i="18"/>
  <c r="AL41" i="18"/>
  <c r="AL28" i="18"/>
  <c r="AL23" i="18"/>
  <c r="AL35" i="18"/>
  <c r="AL38" i="18"/>
  <c r="AL15" i="18"/>
  <c r="AL12" i="18"/>
  <c r="AL27" i="18"/>
  <c r="AL40" i="18"/>
  <c r="AL24" i="18"/>
  <c r="AI34" i="18"/>
  <c r="AI29" i="18"/>
  <c r="AI13" i="18"/>
  <c r="AI27" i="18"/>
  <c r="AI32" i="18"/>
  <c r="AI45" i="18"/>
  <c r="AI40" i="18"/>
  <c r="AI6" i="18"/>
  <c r="AI35" i="18"/>
  <c r="AI39" i="18"/>
  <c r="AI15" i="18"/>
  <c r="AI8" i="18"/>
  <c r="AI44" i="18"/>
  <c r="AI36" i="18"/>
  <c r="AI42" i="18"/>
  <c r="AI17" i="18"/>
  <c r="AI43" i="18"/>
  <c r="AI23" i="18"/>
  <c r="AI22" i="18"/>
  <c r="AI25" i="18"/>
  <c r="AI19" i="18"/>
  <c r="AI20" i="18"/>
  <c r="AI7" i="18"/>
  <c r="AI37" i="18"/>
  <c r="AI24" i="18"/>
  <c r="AI16" i="18"/>
  <c r="AI33" i="18"/>
  <c r="AI12" i="18"/>
  <c r="AI14" i="18"/>
  <c r="AI30" i="18"/>
  <c r="AI41" i="18"/>
  <c r="AI28" i="18"/>
  <c r="AI10" i="18"/>
  <c r="AI21" i="18"/>
  <c r="AI38" i="18"/>
  <c r="AI18" i="18"/>
  <c r="AI11" i="18"/>
  <c r="AI26" i="18"/>
  <c r="AI9" i="18"/>
  <c r="AI31" i="18"/>
  <c r="AT45" i="23"/>
  <c r="AT18" i="23"/>
  <c r="AT15" i="23"/>
  <c r="AT42" i="23"/>
  <c r="AT34" i="23"/>
  <c r="AT11" i="23"/>
  <c r="AT6" i="23"/>
  <c r="AT3" i="23"/>
  <c r="AT20" i="23"/>
  <c r="AT19" i="23"/>
  <c r="AT16" i="23"/>
  <c r="AT21" i="23"/>
  <c r="AT8" i="23"/>
  <c r="AT7" i="23"/>
  <c r="AT43" i="23"/>
  <c r="AT13" i="23"/>
  <c r="AT26" i="23"/>
  <c r="AT35" i="23"/>
  <c r="AT10" i="23"/>
  <c r="AT14" i="23"/>
  <c r="AT39" i="23"/>
  <c r="AT28" i="23"/>
  <c r="AT30" i="23"/>
  <c r="AT38" i="23"/>
  <c r="AT33" i="23"/>
  <c r="AT40" i="23"/>
  <c r="AT37" i="23"/>
  <c r="AT29" i="23"/>
  <c r="AT41" i="23"/>
  <c r="AT32" i="23"/>
  <c r="AT27" i="23"/>
  <c r="AT23" i="23"/>
  <c r="AT24" i="23"/>
  <c r="AT25" i="23"/>
  <c r="AT31" i="23"/>
  <c r="AT22" i="23"/>
  <c r="AT12" i="23"/>
  <c r="AT44" i="23"/>
  <c r="AT17" i="23"/>
  <c r="AT36" i="23"/>
  <c r="AT9" i="23"/>
  <c r="AN5" i="18"/>
  <c r="AN70" i="18" s="1"/>
  <c r="AM5" i="23"/>
  <c r="AM70" i="23" s="1"/>
  <c r="AK5" i="18"/>
  <c r="AK70" i="18" s="1"/>
  <c r="AH16" i="22"/>
  <c r="AH21" i="22"/>
  <c r="AH43" i="22"/>
  <c r="AH9" i="22"/>
  <c r="AH36" i="22"/>
  <c r="AH20" i="22"/>
  <c r="AH45" i="22"/>
  <c r="AH12" i="22"/>
  <c r="AH39" i="22"/>
  <c r="AH30" i="22"/>
  <c r="AH34" i="22"/>
  <c r="AH19" i="22"/>
  <c r="AH33" i="22"/>
  <c r="AH13" i="22"/>
  <c r="AH6" i="22"/>
  <c r="AH29" i="22"/>
  <c r="AH40" i="22"/>
  <c r="AH10" i="22"/>
  <c r="AH24" i="22"/>
  <c r="AH15" i="22"/>
  <c r="AH25" i="22"/>
  <c r="AH11" i="22"/>
  <c r="AH23" i="22"/>
  <c r="AH35" i="22"/>
  <c r="AH14" i="22"/>
  <c r="AH17" i="22"/>
  <c r="AH22" i="22"/>
  <c r="AH8" i="22"/>
  <c r="AH26" i="22"/>
  <c r="AH27" i="22"/>
  <c r="AH3" i="22"/>
  <c r="AH37" i="22"/>
  <c r="AH42" i="22"/>
  <c r="AH7" i="22"/>
  <c r="AH38" i="22"/>
  <c r="AH32" i="22"/>
  <c r="AH18" i="22"/>
  <c r="AH41" i="22"/>
  <c r="AH28" i="22"/>
  <c r="AH31" i="22"/>
  <c r="AH44" i="22"/>
  <c r="AO34" i="18"/>
  <c r="AO40" i="18"/>
  <c r="AO29" i="18"/>
  <c r="AO43" i="18"/>
  <c r="AO30" i="18"/>
  <c r="AO41" i="18"/>
  <c r="AO7" i="18"/>
  <c r="AO8" i="18"/>
  <c r="AO27" i="18"/>
  <c r="AO38" i="18"/>
  <c r="AO16" i="18"/>
  <c r="AO45" i="18"/>
  <c r="AO28" i="18"/>
  <c r="AO21" i="18"/>
  <c r="AO25" i="18"/>
  <c r="AO42" i="18"/>
  <c r="AO3" i="18"/>
  <c r="AO15" i="18"/>
  <c r="AO6" i="18"/>
  <c r="AO13" i="18"/>
  <c r="AO9" i="18"/>
  <c r="AO17" i="18"/>
  <c r="AO33" i="18"/>
  <c r="AO22" i="18"/>
  <c r="AO10" i="18"/>
  <c r="AO36" i="18"/>
  <c r="AO19" i="18"/>
  <c r="AO11" i="18"/>
  <c r="AO14" i="18"/>
  <c r="AO39" i="18"/>
  <c r="AO35" i="18"/>
  <c r="AO18" i="18"/>
  <c r="AO32" i="18"/>
  <c r="AO24" i="18"/>
  <c r="AO23" i="18"/>
  <c r="AO31" i="18"/>
  <c r="AO37" i="18"/>
  <c r="AO20" i="18"/>
  <c r="AO12" i="18"/>
  <c r="AO26" i="18"/>
  <c r="AO44" i="18"/>
  <c r="AP5" i="23"/>
  <c r="AP70" i="23" s="1"/>
  <c r="AJ5" i="22"/>
  <c r="AJ70" i="22" s="1"/>
  <c r="AQ45" i="23"/>
  <c r="AQ43" i="23"/>
  <c r="AQ20" i="23"/>
  <c r="AQ21" i="23"/>
  <c r="AQ16" i="23"/>
  <c r="AQ34" i="23"/>
  <c r="AQ42" i="23"/>
  <c r="AQ19" i="23"/>
  <c r="AQ15" i="23"/>
  <c r="AQ37" i="23"/>
  <c r="AQ31" i="23"/>
  <c r="AQ11" i="23"/>
  <c r="AQ18" i="23"/>
  <c r="AQ6" i="23"/>
  <c r="AQ29" i="23"/>
  <c r="AQ13" i="23"/>
  <c r="AQ8" i="23"/>
  <c r="AQ7" i="23"/>
  <c r="AQ9" i="23"/>
  <c r="AQ35" i="23"/>
  <c r="AQ33" i="23"/>
  <c r="AQ32" i="23"/>
  <c r="AQ10" i="23"/>
  <c r="AQ26" i="23"/>
  <c r="AQ25" i="23"/>
  <c r="AQ17" i="23"/>
  <c r="AQ28" i="23"/>
  <c r="AQ12" i="23"/>
  <c r="AQ36" i="23"/>
  <c r="AQ39" i="23"/>
  <c r="AQ40" i="23"/>
  <c r="AQ14" i="23"/>
  <c r="AQ24" i="23"/>
  <c r="AQ22" i="23"/>
  <c r="AQ23" i="23"/>
  <c r="AQ41" i="23"/>
  <c r="AQ38" i="23"/>
  <c r="AQ44" i="23"/>
  <c r="AQ27" i="23"/>
  <c r="AQ30" i="23"/>
  <c r="AE5" i="18"/>
  <c r="AE70" i="18" s="1"/>
  <c r="AS5" i="23"/>
  <c r="AS70" i="23" s="1"/>
  <c r="AH5" i="18"/>
  <c r="AH70" i="18" s="1"/>
  <c r="AE34" i="22"/>
  <c r="AE11" i="22"/>
  <c r="AE7" i="22"/>
  <c r="AE24" i="22"/>
  <c r="AE27" i="22"/>
  <c r="AE21" i="22"/>
  <c r="AE33" i="22"/>
  <c r="AE8" i="22"/>
  <c r="AE39" i="22"/>
  <c r="AE40" i="22"/>
  <c r="AE16" i="22"/>
  <c r="AE42" i="22"/>
  <c r="AE32" i="22"/>
  <c r="AE23" i="22"/>
  <c r="AE44" i="22"/>
  <c r="AE18" i="22"/>
  <c r="AE19" i="22"/>
  <c r="AE12" i="22"/>
  <c r="AE13" i="22"/>
  <c r="AE35" i="22"/>
  <c r="AE45" i="22"/>
  <c r="AE29" i="22"/>
  <c r="AE10" i="22"/>
  <c r="AE26" i="22"/>
  <c r="AE14" i="22"/>
  <c r="AE20" i="22"/>
  <c r="AE22" i="22"/>
  <c r="AE43" i="22"/>
  <c r="AE38" i="22"/>
  <c r="AE6" i="22"/>
  <c r="AE17" i="22"/>
  <c r="AE28" i="22"/>
  <c r="AE9" i="22"/>
  <c r="AE15" i="22"/>
  <c r="AE53" i="22" s="1"/>
  <c r="AE36" i="22"/>
  <c r="AE41" i="22"/>
  <c r="AE25" i="22"/>
  <c r="AE31" i="22"/>
  <c r="AE37" i="22"/>
  <c r="AE30" i="22"/>
  <c r="AZ28" i="23"/>
  <c r="AZ47" i="23" s="1"/>
  <c r="AZ41" i="23"/>
  <c r="AZ15" i="23"/>
  <c r="AZ6" i="23"/>
  <c r="AZ16" i="23"/>
  <c r="AZ23" i="23"/>
  <c r="AZ45" i="23"/>
  <c r="AZ21" i="23"/>
  <c r="AZ20" i="23"/>
  <c r="AZ42" i="23"/>
  <c r="AZ18" i="23"/>
  <c r="AZ25" i="23"/>
  <c r="AZ10" i="23"/>
  <c r="AZ11" i="23"/>
  <c r="AZ13" i="23"/>
  <c r="AZ35" i="23"/>
  <c r="AZ7" i="23"/>
  <c r="AZ8" i="23"/>
  <c r="AZ26" i="23"/>
  <c r="AZ29" i="23"/>
  <c r="AZ32" i="23"/>
  <c r="AZ36" i="23"/>
  <c r="AZ38" i="23"/>
  <c r="AZ9" i="23"/>
  <c r="AZ14" i="23"/>
  <c r="AZ17" i="23"/>
  <c r="AZ37" i="23"/>
  <c r="AZ43" i="23"/>
  <c r="AZ39" i="23"/>
  <c r="AZ40" i="23"/>
  <c r="AZ22" i="23"/>
  <c r="AZ31" i="23"/>
  <c r="AZ33" i="23"/>
  <c r="AZ44" i="23"/>
  <c r="AZ12" i="23"/>
  <c r="AZ24" i="23"/>
  <c r="AZ30" i="23"/>
  <c r="AZ27" i="23"/>
  <c r="AZ19" i="23"/>
  <c r="AZ34" i="23"/>
  <c r="AZ3" i="23"/>
  <c r="BC3" i="23"/>
  <c r="AN41" i="22"/>
  <c r="AN43" i="22"/>
  <c r="AN8" i="22"/>
  <c r="AN26" i="22"/>
  <c r="AN27" i="22"/>
  <c r="AN28" i="22"/>
  <c r="AN42" i="22"/>
  <c r="AN31" i="22"/>
  <c r="AN15" i="22"/>
  <c r="AN32" i="22"/>
  <c r="AQ3" i="22"/>
  <c r="AN45" i="22"/>
  <c r="AN23" i="22"/>
  <c r="AN10" i="22"/>
  <c r="AN22" i="22"/>
  <c r="AN44" i="22"/>
  <c r="AN18" i="22"/>
  <c r="AN25" i="22"/>
  <c r="AN33" i="22"/>
  <c r="AN7" i="22"/>
  <c r="AN30" i="22"/>
  <c r="AN6" i="22"/>
  <c r="AN3" i="22"/>
  <c r="AN21" i="22"/>
  <c r="AN9" i="22"/>
  <c r="AN13" i="22"/>
  <c r="AN35" i="22"/>
  <c r="AN16" i="22"/>
  <c r="AN17" i="22"/>
  <c r="AN29" i="22"/>
  <c r="AN38" i="22"/>
  <c r="AN37" i="22"/>
  <c r="AN19" i="22"/>
  <c r="AN34" i="22"/>
  <c r="AN12" i="22"/>
  <c r="AN40" i="22"/>
  <c r="AN14" i="22"/>
  <c r="AN20" i="22"/>
  <c r="AN11" i="22"/>
  <c r="AN36" i="22"/>
  <c r="AN39" i="22"/>
  <c r="AN24" i="22"/>
  <c r="AA5" i="22"/>
  <c r="AA70" i="22" s="1"/>
  <c r="AV5" i="23"/>
  <c r="AV70" i="23" s="1"/>
  <c r="AD5" i="22"/>
  <c r="AD70" i="22" s="1"/>
  <c r="AW20" i="23"/>
  <c r="AW25" i="23"/>
  <c r="AW41" i="23"/>
  <c r="AW37" i="23"/>
  <c r="AW34" i="23"/>
  <c r="AW23" i="23"/>
  <c r="AW42" i="23"/>
  <c r="AW16" i="23"/>
  <c r="AW31" i="23"/>
  <c r="AW45" i="23"/>
  <c r="AW43" i="23"/>
  <c r="AW18" i="23"/>
  <c r="AW26" i="23"/>
  <c r="AW6" i="23"/>
  <c r="AW15" i="23"/>
  <c r="AW8" i="23"/>
  <c r="AW32" i="23"/>
  <c r="AW7" i="23"/>
  <c r="AW29" i="23"/>
  <c r="AW10" i="23"/>
  <c r="AW22" i="23"/>
  <c r="AW11" i="23"/>
  <c r="AW13" i="23"/>
  <c r="AW35" i="23"/>
  <c r="AW28" i="23"/>
  <c r="AW27" i="23"/>
  <c r="AW9" i="23"/>
  <c r="AW30" i="23"/>
  <c r="AW39" i="23"/>
  <c r="AW40" i="23"/>
  <c r="AW14" i="23"/>
  <c r="AW38" i="23"/>
  <c r="AW17" i="23"/>
  <c r="AW24" i="23"/>
  <c r="AW44" i="23"/>
  <c r="AW36" i="23"/>
  <c r="AW12" i="23"/>
  <c r="AW33" i="23"/>
  <c r="AW21" i="23"/>
  <c r="AW3" i="23"/>
  <c r="AW19" i="23"/>
  <c r="AK16" i="22"/>
  <c r="AK34" i="22"/>
  <c r="AK12" i="22"/>
  <c r="AK26" i="22"/>
  <c r="AK40" i="22"/>
  <c r="AK33" i="22"/>
  <c r="AK21" i="22"/>
  <c r="AK44" i="22"/>
  <c r="AK27" i="22"/>
  <c r="AK24" i="22"/>
  <c r="AK20" i="22"/>
  <c r="AK11" i="22"/>
  <c r="AK32" i="22"/>
  <c r="AK10" i="22"/>
  <c r="AK37" i="22"/>
  <c r="AK45" i="22"/>
  <c r="AK23" i="22"/>
  <c r="AK14" i="22"/>
  <c r="AK6" i="22"/>
  <c r="AK39" i="22"/>
  <c r="AK41" i="22"/>
  <c r="AK31" i="22"/>
  <c r="AK8" i="22"/>
  <c r="AK13" i="22"/>
  <c r="AK15" i="22"/>
  <c r="AK25" i="22"/>
  <c r="AK42" i="22"/>
  <c r="AK7" i="22"/>
  <c r="AK38" i="22"/>
  <c r="AK22" i="22"/>
  <c r="AK3" i="22"/>
  <c r="AK18" i="22"/>
  <c r="AK43" i="22"/>
  <c r="AK29" i="22"/>
  <c r="AK36" i="22"/>
  <c r="AK30" i="22"/>
  <c r="AK19" i="22"/>
  <c r="AK17" i="22"/>
  <c r="AK9" i="22"/>
  <c r="AK28" i="22"/>
  <c r="AK35" i="22"/>
  <c r="AR47" i="20"/>
  <c r="AM53" i="3"/>
  <c r="AV53" i="21"/>
  <c r="AS53" i="3"/>
  <c r="AS50" i="21"/>
  <c r="AO47" i="19"/>
  <c r="AP46" i="3"/>
  <c r="AM48" i="3"/>
  <c r="AV48" i="21"/>
  <c r="AO53" i="19"/>
  <c r="AV47" i="3"/>
  <c r="AP50" i="21"/>
  <c r="AL50" i="19"/>
  <c r="AI53" i="19"/>
  <c r="AP53" i="21"/>
  <c r="AL53" i="20"/>
  <c r="AO50" i="20"/>
  <c r="AR48" i="19"/>
  <c r="AP50" i="3"/>
  <c r="AP53" i="3"/>
  <c r="AI53" i="20"/>
  <c r="AM48" i="21"/>
  <c r="AO53" i="20"/>
  <c r="AV53" i="3"/>
  <c r="AS53" i="21"/>
  <c r="AR47" i="19"/>
  <c r="AM49" i="21"/>
  <c r="AS48" i="21"/>
  <c r="AR53" i="20"/>
  <c r="AL46" i="19"/>
  <c r="AI48" i="20"/>
  <c r="AI47" i="19"/>
  <c r="AP48" i="3"/>
  <c r="AR48" i="20"/>
  <c r="AO47" i="20"/>
  <c r="AI48" i="19"/>
  <c r="AP48" i="21"/>
  <c r="AP47" i="21"/>
  <c r="AV46" i="21"/>
  <c r="AR53" i="19"/>
  <c r="AM53" i="21"/>
  <c r="AL48" i="20"/>
  <c r="AL50" i="20"/>
  <c r="AM46" i="3"/>
  <c r="AT3" i="21"/>
  <c r="AT19" i="21"/>
  <c r="AT11" i="21"/>
  <c r="AT41" i="21"/>
  <c r="AT30" i="21"/>
  <c r="AT26" i="21"/>
  <c r="AT45" i="21"/>
  <c r="AT20" i="21"/>
  <c r="AT16" i="21"/>
  <c r="AT17" i="21"/>
  <c r="AT21" i="21"/>
  <c r="AT32" i="21"/>
  <c r="AT34" i="21"/>
  <c r="AT42" i="21"/>
  <c r="AT22" i="21"/>
  <c r="AT29" i="21"/>
  <c r="AT33" i="21"/>
  <c r="AT24" i="21"/>
  <c r="AT12" i="21"/>
  <c r="AT9" i="21"/>
  <c r="AT40" i="21"/>
  <c r="AT6" i="21"/>
  <c r="AT28" i="21"/>
  <c r="AT8" i="21"/>
  <c r="AT7" i="21"/>
  <c r="AT44" i="21"/>
  <c r="AT38" i="21"/>
  <c r="AT13" i="21"/>
  <c r="AT37" i="21"/>
  <c r="AT35" i="21"/>
  <c r="AT39" i="21"/>
  <c r="AT18" i="21"/>
  <c r="AT10" i="21"/>
  <c r="AT25" i="21"/>
  <c r="AT31" i="21"/>
  <c r="AT15" i="21"/>
  <c r="AT43" i="21"/>
  <c r="AT36" i="21"/>
  <c r="AT23" i="21"/>
  <c r="AT27" i="21"/>
  <c r="AT14" i="21"/>
  <c r="AH70" i="20"/>
  <c r="AI49" i="20"/>
  <c r="AI49" i="19"/>
  <c r="AR49" i="19"/>
  <c r="AP49" i="3"/>
  <c r="AL70" i="3"/>
  <c r="AP52" i="21"/>
  <c r="AP5" i="21"/>
  <c r="AS46" i="3"/>
  <c r="AO70" i="21"/>
  <c r="AO49" i="20"/>
  <c r="AL47" i="19"/>
  <c r="AL52" i="19"/>
  <c r="AL5" i="19"/>
  <c r="AK70" i="19"/>
  <c r="AM50" i="21"/>
  <c r="AM47" i="3"/>
  <c r="AL46" i="20"/>
  <c r="AV52" i="21"/>
  <c r="AV5" i="21"/>
  <c r="AR49" i="20"/>
  <c r="AE70" i="19"/>
  <c r="AM21" i="19"/>
  <c r="AM16" i="19"/>
  <c r="AM45" i="19"/>
  <c r="AM34" i="19"/>
  <c r="AM25" i="19"/>
  <c r="AM27" i="19"/>
  <c r="AM28" i="19"/>
  <c r="AM15" i="19"/>
  <c r="AM43" i="19"/>
  <c r="AM26" i="19"/>
  <c r="AM40" i="19"/>
  <c r="AM6" i="19"/>
  <c r="AM7" i="19"/>
  <c r="AM11" i="19"/>
  <c r="AM42" i="19"/>
  <c r="AM19" i="19"/>
  <c r="AM8" i="19"/>
  <c r="AM22" i="19"/>
  <c r="AM32" i="19"/>
  <c r="AM29" i="19"/>
  <c r="AM14" i="19"/>
  <c r="AM33" i="19"/>
  <c r="AM13" i="19"/>
  <c r="AM10" i="19"/>
  <c r="AM17" i="19"/>
  <c r="AM20" i="19"/>
  <c r="AM44" i="19"/>
  <c r="AM39" i="19"/>
  <c r="AM41" i="19"/>
  <c r="AM18" i="19"/>
  <c r="AM9" i="19"/>
  <c r="AM36" i="19"/>
  <c r="AM37" i="19"/>
  <c r="AM35" i="19"/>
  <c r="AM30" i="19"/>
  <c r="AM12" i="19"/>
  <c r="AM23" i="19"/>
  <c r="AM31" i="19"/>
  <c r="AM38" i="19"/>
  <c r="AM24" i="19"/>
  <c r="AI50" i="19"/>
  <c r="AR46" i="19"/>
  <c r="AP52" i="3"/>
  <c r="AP5" i="3"/>
  <c r="AP49" i="21"/>
  <c r="AL49" i="19"/>
  <c r="AN70" i="19"/>
  <c r="AS49" i="3"/>
  <c r="AV50" i="21"/>
  <c r="AV49" i="21"/>
  <c r="AR46" i="20"/>
  <c r="AI50" i="20"/>
  <c r="AI46" i="20"/>
  <c r="AR50" i="19"/>
  <c r="AV16" i="19"/>
  <c r="AY3" i="19"/>
  <c r="AV3" i="19"/>
  <c r="AV21" i="19"/>
  <c r="AV15" i="19"/>
  <c r="AV37" i="19"/>
  <c r="AV29" i="19"/>
  <c r="AV45" i="19"/>
  <c r="AV31" i="19"/>
  <c r="AV34" i="19"/>
  <c r="AV27" i="19"/>
  <c r="AV28" i="19"/>
  <c r="AV11" i="19"/>
  <c r="AV38" i="19"/>
  <c r="AV6" i="19"/>
  <c r="AV7" i="19"/>
  <c r="AV26" i="19"/>
  <c r="AV43" i="19"/>
  <c r="AV42" i="19"/>
  <c r="AV19" i="19"/>
  <c r="AV8" i="19"/>
  <c r="AV25" i="19"/>
  <c r="AV13" i="19"/>
  <c r="AV14" i="19"/>
  <c r="AV10" i="19"/>
  <c r="AV32" i="19"/>
  <c r="AV44" i="19"/>
  <c r="AV40" i="19"/>
  <c r="AV18" i="19"/>
  <c r="AV35" i="19"/>
  <c r="AV12" i="19"/>
  <c r="AV9" i="19"/>
  <c r="AV17" i="19"/>
  <c r="AV41" i="19"/>
  <c r="AV36" i="19"/>
  <c r="AV39" i="19"/>
  <c r="AV20" i="19"/>
  <c r="AV30" i="19"/>
  <c r="AV23" i="19"/>
  <c r="AV33" i="19"/>
  <c r="AV24" i="19"/>
  <c r="AV22" i="19"/>
  <c r="AV46" i="3"/>
  <c r="AP47" i="3"/>
  <c r="AM49" i="3"/>
  <c r="AL70" i="21"/>
  <c r="AO48" i="19"/>
  <c r="AS3" i="19"/>
  <c r="AS21" i="19"/>
  <c r="AS45" i="19"/>
  <c r="AS16" i="19"/>
  <c r="AS28" i="19"/>
  <c r="AS37" i="19"/>
  <c r="AS15" i="19"/>
  <c r="AS43" i="19"/>
  <c r="AS26" i="19"/>
  <c r="AS6" i="19"/>
  <c r="AS34" i="19"/>
  <c r="AS40" i="19"/>
  <c r="AS7" i="19"/>
  <c r="AS10" i="19"/>
  <c r="AS27" i="19"/>
  <c r="AS11" i="19"/>
  <c r="AS35" i="19"/>
  <c r="AS19" i="19"/>
  <c r="AS42" i="19"/>
  <c r="AS32" i="19"/>
  <c r="AS8" i="19"/>
  <c r="AS24" i="19"/>
  <c r="AS13" i="19"/>
  <c r="AS14" i="19"/>
  <c r="AS33" i="19"/>
  <c r="AS29" i="19"/>
  <c r="AS44" i="19"/>
  <c r="AS17" i="19"/>
  <c r="AS20" i="19"/>
  <c r="AS41" i="19"/>
  <c r="AS39" i="19"/>
  <c r="AS12" i="19"/>
  <c r="AS18" i="19"/>
  <c r="AS36" i="19"/>
  <c r="AS38" i="19"/>
  <c r="AS9" i="19"/>
  <c r="AS30" i="19"/>
  <c r="AS31" i="19"/>
  <c r="AS23" i="19"/>
  <c r="AS25" i="19"/>
  <c r="AS22" i="19"/>
  <c r="AM46" i="21"/>
  <c r="AO48" i="20"/>
  <c r="AP17" i="20"/>
  <c r="AP45" i="20"/>
  <c r="AP16" i="20"/>
  <c r="AP3" i="20"/>
  <c r="AP21" i="20"/>
  <c r="AP18" i="20"/>
  <c r="AP41" i="20"/>
  <c r="AP19" i="20"/>
  <c r="AP30" i="20"/>
  <c r="AP34" i="20"/>
  <c r="AP28" i="20"/>
  <c r="AP15" i="20"/>
  <c r="AP22" i="20"/>
  <c r="AP29" i="20"/>
  <c r="AP10" i="20"/>
  <c r="AP9" i="20"/>
  <c r="AP13" i="20"/>
  <c r="AP14" i="20"/>
  <c r="AP32" i="20"/>
  <c r="AP8" i="20"/>
  <c r="AP39" i="20"/>
  <c r="AP33" i="20"/>
  <c r="AP43" i="20"/>
  <c r="AP23" i="20"/>
  <c r="AP12" i="20"/>
  <c r="AP7" i="20"/>
  <c r="AP40" i="20"/>
  <c r="AP20" i="20"/>
  <c r="AP31" i="20"/>
  <c r="AP36" i="20"/>
  <c r="AP35" i="20"/>
  <c r="AP11" i="20"/>
  <c r="AP26" i="20"/>
  <c r="AP37" i="20"/>
  <c r="AP44" i="20"/>
  <c r="AP25" i="20"/>
  <c r="AP24" i="20"/>
  <c r="AP42" i="20"/>
  <c r="AP6" i="20"/>
  <c r="AP38" i="20"/>
  <c r="AP27" i="20"/>
  <c r="AI70" i="21"/>
  <c r="AI47" i="20"/>
  <c r="AO46" i="19"/>
  <c r="AP19" i="19"/>
  <c r="AP3" i="19"/>
  <c r="AP16" i="19"/>
  <c r="AP15" i="19"/>
  <c r="AP21" i="19"/>
  <c r="AP27" i="19"/>
  <c r="AP34" i="19"/>
  <c r="AP45" i="19"/>
  <c r="AP28" i="19"/>
  <c r="AP26" i="19"/>
  <c r="AP7" i="19"/>
  <c r="AP43" i="19"/>
  <c r="AP11" i="19"/>
  <c r="AP6" i="19"/>
  <c r="AP42" i="19"/>
  <c r="AP22" i="19"/>
  <c r="AP32" i="19"/>
  <c r="AP8" i="19"/>
  <c r="AP33" i="19"/>
  <c r="AP29" i="19"/>
  <c r="AP13" i="19"/>
  <c r="AP10" i="19"/>
  <c r="AP14" i="19"/>
  <c r="AP36" i="19"/>
  <c r="AP17" i="19"/>
  <c r="AP20" i="19"/>
  <c r="AP40" i="19"/>
  <c r="AP39" i="19"/>
  <c r="AP38" i="19"/>
  <c r="AP9" i="19"/>
  <c r="AP18" i="19"/>
  <c r="AP44" i="19"/>
  <c r="AP37" i="19"/>
  <c r="AP12" i="19"/>
  <c r="AP35" i="19"/>
  <c r="AP30" i="19"/>
  <c r="AP23" i="19"/>
  <c r="AP31" i="19"/>
  <c r="AP25" i="19"/>
  <c r="AP41" i="19"/>
  <c r="AP24" i="19"/>
  <c r="AI46" i="19"/>
  <c r="AS47" i="21"/>
  <c r="AV16" i="20"/>
  <c r="AV21" i="20"/>
  <c r="AV3" i="20"/>
  <c r="AY3" i="20"/>
  <c r="AV19" i="20"/>
  <c r="AV17" i="20"/>
  <c r="AV45" i="20"/>
  <c r="AV30" i="20"/>
  <c r="AV28" i="20"/>
  <c r="AV20" i="20"/>
  <c r="AV29" i="20"/>
  <c r="AV18" i="20"/>
  <c r="AV9" i="20"/>
  <c r="AV40" i="20"/>
  <c r="AV8" i="20"/>
  <c r="AV13" i="20"/>
  <c r="AV14" i="20"/>
  <c r="AV41" i="20"/>
  <c r="AV43" i="20"/>
  <c r="AV7" i="20"/>
  <c r="AV32" i="20"/>
  <c r="AV34" i="20"/>
  <c r="AV25" i="20"/>
  <c r="AV10" i="20"/>
  <c r="AV15" i="20"/>
  <c r="AV12" i="20"/>
  <c r="AV33" i="20"/>
  <c r="AV11" i="20"/>
  <c r="AV31" i="20"/>
  <c r="AV35" i="20"/>
  <c r="AV36" i="20"/>
  <c r="AV37" i="20"/>
  <c r="AV6" i="20"/>
  <c r="AV26" i="20"/>
  <c r="AV23" i="20"/>
  <c r="AV44" i="20"/>
  <c r="AV24" i="20"/>
  <c r="AV42" i="20"/>
  <c r="AV38" i="20"/>
  <c r="AV27" i="20"/>
  <c r="AV39" i="20"/>
  <c r="AV22" i="20"/>
  <c r="AH70" i="19"/>
  <c r="AR5" i="19"/>
  <c r="AR52" i="19"/>
  <c r="AL52" i="20"/>
  <c r="AL5" i="20"/>
  <c r="AL49" i="20"/>
  <c r="AS5" i="3"/>
  <c r="AS52" i="3"/>
  <c r="AT12" i="3"/>
  <c r="AT21" i="3"/>
  <c r="AT3" i="3"/>
  <c r="AT16" i="3"/>
  <c r="AT20" i="3"/>
  <c r="AT39" i="3"/>
  <c r="AT19" i="3"/>
  <c r="AT8" i="3"/>
  <c r="AT17" i="3"/>
  <c r="AT18" i="3"/>
  <c r="AT35" i="3"/>
  <c r="AT45" i="3"/>
  <c r="AT29" i="3"/>
  <c r="AT40" i="3"/>
  <c r="AT36" i="3"/>
  <c r="AT11" i="3"/>
  <c r="AT42" i="3"/>
  <c r="AT14" i="3"/>
  <c r="AT9" i="3"/>
  <c r="AT13" i="3"/>
  <c r="AT10" i="3"/>
  <c r="AT6" i="3"/>
  <c r="AT32" i="3"/>
  <c r="AT24" i="3"/>
  <c r="AT28" i="3"/>
  <c r="AT15" i="3"/>
  <c r="AT43" i="3"/>
  <c r="AT44" i="3"/>
  <c r="AT7" i="3"/>
  <c r="AT22" i="3"/>
  <c r="AT31" i="3"/>
  <c r="AT25" i="3"/>
  <c r="AT38" i="3"/>
  <c r="AT26" i="3"/>
  <c r="AT23" i="3"/>
  <c r="AT34" i="3"/>
  <c r="AT27" i="3"/>
  <c r="AT37" i="3"/>
  <c r="AT30" i="3"/>
  <c r="AT41" i="3"/>
  <c r="AT33" i="3"/>
  <c r="AE70" i="20"/>
  <c r="AW3" i="21"/>
  <c r="AW34" i="21"/>
  <c r="AW45" i="21"/>
  <c r="AW26" i="21"/>
  <c r="AW19" i="21"/>
  <c r="AW41" i="21"/>
  <c r="AW20" i="21"/>
  <c r="AW16" i="21"/>
  <c r="AW21" i="21"/>
  <c r="AW38" i="21"/>
  <c r="AW32" i="21"/>
  <c r="AW42" i="21"/>
  <c r="AW17" i="21"/>
  <c r="AW11" i="21"/>
  <c r="AW33" i="21"/>
  <c r="AW9" i="21"/>
  <c r="AW30" i="21"/>
  <c r="AW12" i="21"/>
  <c r="AW6" i="21"/>
  <c r="AW8" i="21"/>
  <c r="AW22" i="21"/>
  <c r="AW28" i="21"/>
  <c r="AW7" i="21"/>
  <c r="AW24" i="21"/>
  <c r="AW10" i="21"/>
  <c r="AW27" i="21"/>
  <c r="AW13" i="21"/>
  <c r="AW18" i="21"/>
  <c r="AW15" i="21"/>
  <c r="AW35" i="21"/>
  <c r="AW40" i="21"/>
  <c r="AW39" i="21"/>
  <c r="AW43" i="21"/>
  <c r="AW14" i="21"/>
  <c r="AW36" i="21"/>
  <c r="AW23" i="21"/>
  <c r="AW29" i="21"/>
  <c r="AW31" i="21"/>
  <c r="AW25" i="21"/>
  <c r="AW37" i="21"/>
  <c r="AW44" i="21"/>
  <c r="AS21" i="20"/>
  <c r="AS16" i="20"/>
  <c r="AS3" i="20"/>
  <c r="AS45" i="20"/>
  <c r="AS19" i="20"/>
  <c r="AS32" i="20"/>
  <c r="AS44" i="20"/>
  <c r="AS29" i="20"/>
  <c r="AS17" i="20"/>
  <c r="AS41" i="20"/>
  <c r="AS30" i="20"/>
  <c r="AS28" i="20"/>
  <c r="AS18" i="20"/>
  <c r="AS8" i="20"/>
  <c r="AS24" i="20"/>
  <c r="AS9" i="20"/>
  <c r="AS34" i="20"/>
  <c r="AS14" i="20"/>
  <c r="AS13" i="20"/>
  <c r="AS43" i="20"/>
  <c r="AS15" i="20"/>
  <c r="AS12" i="20"/>
  <c r="AS27" i="20"/>
  <c r="AS10" i="20"/>
  <c r="AS25" i="20"/>
  <c r="AS7" i="20"/>
  <c r="AS11" i="20"/>
  <c r="AS20" i="20"/>
  <c r="AS39" i="20"/>
  <c r="AS33" i="20"/>
  <c r="AS40" i="20"/>
  <c r="AS37" i="20"/>
  <c r="AS31" i="20"/>
  <c r="AS35" i="20"/>
  <c r="AS26" i="20"/>
  <c r="AS36" i="20"/>
  <c r="AS6" i="20"/>
  <c r="AS23" i="20"/>
  <c r="AS42" i="20"/>
  <c r="AS38" i="20"/>
  <c r="AS22" i="20"/>
  <c r="AO52" i="20"/>
  <c r="AO5" i="20"/>
  <c r="AO50" i="19"/>
  <c r="AO5" i="19"/>
  <c r="AO52" i="19"/>
  <c r="AW20" i="3"/>
  <c r="AW16" i="3"/>
  <c r="AW8" i="3"/>
  <c r="AW3" i="3"/>
  <c r="AW12" i="3"/>
  <c r="AW19" i="3"/>
  <c r="AW24" i="3"/>
  <c r="AW45" i="3"/>
  <c r="AW21" i="3"/>
  <c r="AW40" i="3"/>
  <c r="AW36" i="3"/>
  <c r="AW35" i="3"/>
  <c r="AW41" i="3"/>
  <c r="AW33" i="3"/>
  <c r="AW37" i="3"/>
  <c r="AW13" i="3"/>
  <c r="AW7" i="3"/>
  <c r="AW38" i="3"/>
  <c r="AW42" i="3"/>
  <c r="AW34" i="3"/>
  <c r="AW18" i="3"/>
  <c r="AW11" i="3"/>
  <c r="AW10" i="3"/>
  <c r="AW6" i="3"/>
  <c r="AW17" i="3"/>
  <c r="AW39" i="3"/>
  <c r="AW9" i="3"/>
  <c r="AW43" i="3"/>
  <c r="AW29" i="3"/>
  <c r="AW28" i="3"/>
  <c r="AW44" i="3"/>
  <c r="AW14" i="3"/>
  <c r="AW15" i="3"/>
  <c r="AW31" i="3"/>
  <c r="AW32" i="3"/>
  <c r="AW23" i="3"/>
  <c r="AW27" i="3"/>
  <c r="AW26" i="3"/>
  <c r="AW30" i="3"/>
  <c r="AW25" i="3"/>
  <c r="AW22" i="3"/>
  <c r="AR70" i="3"/>
  <c r="AM52" i="3"/>
  <c r="AM5" i="3"/>
  <c r="AM21" i="20"/>
  <c r="AM16" i="20"/>
  <c r="AM19" i="20"/>
  <c r="AM30" i="20"/>
  <c r="AM17" i="20"/>
  <c r="AM34" i="20"/>
  <c r="AM29" i="20"/>
  <c r="AM41" i="20"/>
  <c r="AM38" i="20"/>
  <c r="AM9" i="20"/>
  <c r="AM10" i="20"/>
  <c r="AM40" i="20"/>
  <c r="AM18" i="20"/>
  <c r="AM45" i="20"/>
  <c r="AM13" i="20"/>
  <c r="AM14" i="20"/>
  <c r="AM32" i="20"/>
  <c r="AM28" i="20"/>
  <c r="AM43" i="20"/>
  <c r="AM12" i="20"/>
  <c r="AM8" i="20"/>
  <c r="AM22" i="20"/>
  <c r="AM39" i="20"/>
  <c r="AM7" i="20"/>
  <c r="AM33" i="20"/>
  <c r="AM15" i="20"/>
  <c r="AM37" i="20"/>
  <c r="AM6" i="20"/>
  <c r="AM11" i="20"/>
  <c r="AM20" i="20"/>
  <c r="AM36" i="20"/>
  <c r="AM26" i="20"/>
  <c r="AM31" i="20"/>
  <c r="AM35" i="20"/>
  <c r="AM44" i="20"/>
  <c r="AM25" i="20"/>
  <c r="AM24" i="20"/>
  <c r="AM23" i="20"/>
  <c r="AM42" i="20"/>
  <c r="AM27" i="20"/>
  <c r="AV5" i="3"/>
  <c r="AV52" i="3"/>
  <c r="AS50" i="3"/>
  <c r="BC3" i="21"/>
  <c r="AZ3" i="21"/>
  <c r="AZ19" i="21"/>
  <c r="AZ26" i="21"/>
  <c r="AZ11" i="21"/>
  <c r="AZ33" i="21"/>
  <c r="AZ17" i="21"/>
  <c r="AZ41" i="21"/>
  <c r="AZ16" i="21"/>
  <c r="AZ45" i="21"/>
  <c r="AZ38" i="21"/>
  <c r="AZ21" i="21"/>
  <c r="AZ20" i="21"/>
  <c r="AZ34" i="21"/>
  <c r="AZ9" i="21"/>
  <c r="AZ42" i="21"/>
  <c r="AZ7" i="21"/>
  <c r="AZ24" i="21"/>
  <c r="AZ12" i="21"/>
  <c r="AZ32" i="21"/>
  <c r="AZ6" i="21"/>
  <c r="AZ10" i="21"/>
  <c r="AZ8" i="21"/>
  <c r="AZ27" i="21"/>
  <c r="AZ28" i="21"/>
  <c r="AZ37" i="21"/>
  <c r="AZ15" i="21"/>
  <c r="AZ13" i="21"/>
  <c r="AZ30" i="21"/>
  <c r="AZ44" i="21"/>
  <c r="AZ40" i="21"/>
  <c r="AZ18" i="21"/>
  <c r="AZ39" i="21"/>
  <c r="AZ22" i="21"/>
  <c r="AZ29" i="21"/>
  <c r="AZ43" i="21"/>
  <c r="AZ31" i="21"/>
  <c r="AZ36" i="21"/>
  <c r="AZ14" i="21"/>
  <c r="AZ23" i="21"/>
  <c r="AZ25" i="21"/>
  <c r="AZ35" i="21"/>
  <c r="AS46" i="21"/>
  <c r="AO46" i="20"/>
  <c r="AO49" i="19"/>
  <c r="AM50" i="3"/>
  <c r="AP46" i="21"/>
  <c r="AR52" i="20"/>
  <c r="AR5" i="20"/>
  <c r="AI52" i="20"/>
  <c r="AI5" i="20"/>
  <c r="AS47" i="3"/>
  <c r="AS5" i="21"/>
  <c r="AS52" i="21"/>
  <c r="AS49" i="21"/>
  <c r="AO70" i="3"/>
  <c r="AI70" i="3"/>
  <c r="AI52" i="19"/>
  <c r="AI5" i="19"/>
  <c r="AV48" i="3"/>
  <c r="AV49" i="3"/>
  <c r="AZ8" i="3"/>
  <c r="AZ3" i="3"/>
  <c r="AZ16" i="3"/>
  <c r="AZ20" i="3"/>
  <c r="BC3" i="3"/>
  <c r="AZ12" i="3"/>
  <c r="AZ24" i="3"/>
  <c r="AZ39" i="3"/>
  <c r="AZ45" i="3"/>
  <c r="AZ21" i="3"/>
  <c r="AZ40" i="3"/>
  <c r="AZ36" i="3"/>
  <c r="AZ41" i="3"/>
  <c r="AZ11" i="3"/>
  <c r="AZ13" i="3"/>
  <c r="AZ29" i="3"/>
  <c r="AZ9" i="3"/>
  <c r="AZ17" i="3"/>
  <c r="AZ43" i="3"/>
  <c r="AZ10" i="3"/>
  <c r="AZ6" i="3"/>
  <c r="AZ19" i="3"/>
  <c r="AZ7" i="3"/>
  <c r="AZ35" i="3"/>
  <c r="AZ18" i="3"/>
  <c r="AZ42" i="3"/>
  <c r="AZ28" i="3"/>
  <c r="AZ15" i="3"/>
  <c r="AZ44" i="3"/>
  <c r="AZ31" i="3"/>
  <c r="AZ23" i="3"/>
  <c r="AZ14" i="3"/>
  <c r="AZ25" i="3"/>
  <c r="AZ32" i="3"/>
  <c r="AZ38" i="3"/>
  <c r="AZ37" i="3"/>
  <c r="AZ27" i="3"/>
  <c r="AZ33" i="3"/>
  <c r="AZ22" i="3"/>
  <c r="AZ34" i="3"/>
  <c r="AZ26" i="3"/>
  <c r="AZ30" i="3"/>
  <c r="AM5" i="21"/>
  <c r="AM52" i="21"/>
  <c r="AQ41" i="21"/>
  <c r="AQ34" i="21"/>
  <c r="AQ19" i="21"/>
  <c r="AQ17" i="21"/>
  <c r="AQ11" i="21"/>
  <c r="AQ45" i="21"/>
  <c r="AQ20" i="21"/>
  <c r="AQ16" i="21"/>
  <c r="AQ28" i="21"/>
  <c r="AQ21" i="21"/>
  <c r="AQ26" i="21"/>
  <c r="AQ9" i="21"/>
  <c r="AQ38" i="21"/>
  <c r="AQ42" i="21"/>
  <c r="AQ24" i="21"/>
  <c r="AQ33" i="21"/>
  <c r="AQ12" i="21"/>
  <c r="AQ6" i="21"/>
  <c r="AQ32" i="21"/>
  <c r="AQ8" i="21"/>
  <c r="AQ7" i="21"/>
  <c r="AQ30" i="21"/>
  <c r="AQ44" i="21"/>
  <c r="AQ27" i="21"/>
  <c r="AQ22" i="21"/>
  <c r="AQ15" i="21"/>
  <c r="AQ13" i="21"/>
  <c r="AQ39" i="21"/>
  <c r="AQ37" i="21"/>
  <c r="AQ40" i="21"/>
  <c r="AQ14" i="21"/>
  <c r="AQ25" i="21"/>
  <c r="AQ29" i="21"/>
  <c r="AQ31" i="21"/>
  <c r="AQ43" i="21"/>
  <c r="AQ36" i="21"/>
  <c r="AQ10" i="21"/>
  <c r="AQ35" i="21"/>
  <c r="AQ18" i="21"/>
  <c r="AQ23" i="21"/>
  <c r="AS48" i="3"/>
  <c r="AR70" i="21"/>
  <c r="AN70" i="20"/>
  <c r="AQ12" i="3"/>
  <c r="AQ8" i="3"/>
  <c r="AQ20" i="3"/>
  <c r="AQ19" i="3"/>
  <c r="AQ16" i="3"/>
  <c r="AQ17" i="3"/>
  <c r="AQ21" i="3"/>
  <c r="AQ37" i="3"/>
  <c r="AQ18" i="3"/>
  <c r="AQ28" i="3"/>
  <c r="AQ34" i="3"/>
  <c r="AQ45" i="3"/>
  <c r="AQ41" i="3"/>
  <c r="AQ29" i="3"/>
  <c r="AQ39" i="3"/>
  <c r="AQ36" i="3"/>
  <c r="AQ24" i="3"/>
  <c r="AQ35" i="3"/>
  <c r="AQ40" i="3"/>
  <c r="AQ11" i="3"/>
  <c r="AQ43" i="3"/>
  <c r="AQ31" i="3"/>
  <c r="AQ13" i="3"/>
  <c r="AQ9" i="3"/>
  <c r="AQ6" i="3"/>
  <c r="AQ10" i="3"/>
  <c r="AQ7" i="3"/>
  <c r="AQ32" i="3"/>
  <c r="AQ38" i="3"/>
  <c r="AQ15" i="3"/>
  <c r="AQ44" i="3"/>
  <c r="AQ26" i="3"/>
  <c r="AQ14" i="3"/>
  <c r="AQ25" i="3"/>
  <c r="AQ23" i="3"/>
  <c r="AQ27" i="3"/>
  <c r="AQ42" i="3"/>
  <c r="AQ30" i="3"/>
  <c r="AQ33" i="3"/>
  <c r="AQ22" i="3"/>
  <c r="AK70" i="20"/>
  <c r="D84" i="2"/>
  <c r="C85" i="2"/>
  <c r="AZ51" i="3" l="1"/>
  <c r="AZ51" i="23"/>
  <c r="AO53" i="18"/>
  <c r="AO51" i="18"/>
  <c r="AL53" i="18"/>
  <c r="AI53" i="18"/>
  <c r="AR53" i="18"/>
  <c r="AZ48" i="23"/>
  <c r="AM51" i="20"/>
  <c r="AW51" i="3"/>
  <c r="AV51" i="20"/>
  <c r="AQ51" i="3"/>
  <c r="AQ51" i="21"/>
  <c r="AM51" i="19"/>
  <c r="AH46" i="22"/>
  <c r="AZ53" i="23"/>
  <c r="AP47" i="20"/>
  <c r="AW51" i="21"/>
  <c r="AT51" i="3"/>
  <c r="AW48" i="23"/>
  <c r="AI46" i="18"/>
  <c r="AL50" i="18"/>
  <c r="AT48" i="23"/>
  <c r="AH52" i="22"/>
  <c r="AK53" i="22"/>
  <c r="AZ51" i="21"/>
  <c r="AT51" i="21"/>
  <c r="AZ50" i="23"/>
  <c r="AQ50" i="23"/>
  <c r="AW50" i="23"/>
  <c r="AN50" i="22"/>
  <c r="AK50" i="22"/>
  <c r="AH53" i="22"/>
  <c r="AW53" i="21"/>
  <c r="AS51" i="20"/>
  <c r="AN48" i="22"/>
  <c r="AN52" i="22"/>
  <c r="AE49" i="22"/>
  <c r="AP50" i="19"/>
  <c r="AS51" i="19"/>
  <c r="AK48" i="22"/>
  <c r="AK49" i="22"/>
  <c r="AW53" i="23"/>
  <c r="AZ52" i="23"/>
  <c r="AQ48" i="23"/>
  <c r="AQ52" i="23"/>
  <c r="AQ46" i="23"/>
  <c r="AQ53" i="23"/>
  <c r="AT52" i="23"/>
  <c r="AT49" i="23"/>
  <c r="AT51" i="23"/>
  <c r="AT47" i="23"/>
  <c r="AP51" i="20"/>
  <c r="AK52" i="22"/>
  <c r="AW52" i="23"/>
  <c r="AW46" i="23"/>
  <c r="AN46" i="22"/>
  <c r="AN53" i="22"/>
  <c r="AZ46" i="23"/>
  <c r="AQ49" i="23"/>
  <c r="AO50" i="18"/>
  <c r="AH50" i="22"/>
  <c r="AT46" i="23"/>
  <c r="AI50" i="18"/>
  <c r="AK51" i="22"/>
  <c r="AK47" i="22"/>
  <c r="AW51" i="23"/>
  <c r="AW47" i="23"/>
  <c r="AN51" i="22"/>
  <c r="AN47" i="22"/>
  <c r="AE51" i="22"/>
  <c r="AE47" i="22"/>
  <c r="AQ51" i="23"/>
  <c r="AQ47" i="23"/>
  <c r="AH51" i="22"/>
  <c r="AH47" i="22"/>
  <c r="AP51" i="19"/>
  <c r="AV51" i="19"/>
  <c r="AK46" i="22"/>
  <c r="AW49" i="23"/>
  <c r="AN49" i="22"/>
  <c r="AZ49" i="23"/>
  <c r="AE50" i="22"/>
  <c r="AE46" i="22"/>
  <c r="AE52" i="22"/>
  <c r="AE48" i="22"/>
  <c r="AH48" i="22"/>
  <c r="AH49" i="22"/>
  <c r="AT50" i="23"/>
  <c r="AT53" i="23"/>
  <c r="AI49" i="18"/>
  <c r="AL49" i="18"/>
  <c r="AR49" i="18"/>
  <c r="AO49" i="18"/>
  <c r="AI51" i="18"/>
  <c r="AI47" i="18"/>
  <c r="AL51" i="18"/>
  <c r="AL47" i="18"/>
  <c r="AR51" i="18"/>
  <c r="AR47" i="18"/>
  <c r="AO47" i="18"/>
  <c r="AO48" i="18"/>
  <c r="AI48" i="18"/>
  <c r="AR48" i="18"/>
  <c r="AL48" i="18"/>
  <c r="AO46" i="18"/>
  <c r="AR46" i="18"/>
  <c r="AL46" i="18"/>
  <c r="AO52" i="18"/>
  <c r="AI52" i="18"/>
  <c r="AL52" i="18"/>
  <c r="AR52" i="18"/>
  <c r="BD21" i="23"/>
  <c r="BD15" i="23"/>
  <c r="BD32" i="23"/>
  <c r="BD18" i="23"/>
  <c r="BD36" i="23"/>
  <c r="BD41" i="23"/>
  <c r="BD42" i="23"/>
  <c r="BD6" i="23"/>
  <c r="BD38" i="23"/>
  <c r="BD44" i="23"/>
  <c r="BG3" i="23"/>
  <c r="BD11" i="23"/>
  <c r="BD28" i="23"/>
  <c r="BD29" i="23"/>
  <c r="BD7" i="23"/>
  <c r="BD23" i="23"/>
  <c r="BD27" i="23"/>
  <c r="BD3" i="23"/>
  <c r="BD17" i="23"/>
  <c r="BD22" i="23"/>
  <c r="BD13" i="23"/>
  <c r="BD30" i="23"/>
  <c r="BD12" i="23"/>
  <c r="BD14" i="23"/>
  <c r="BD19" i="23"/>
  <c r="BD37" i="23"/>
  <c r="BD40" i="23"/>
  <c r="BD25" i="23"/>
  <c r="BD31" i="23"/>
  <c r="BD8" i="23"/>
  <c r="BD45" i="23"/>
  <c r="BD20" i="23"/>
  <c r="BD43" i="23"/>
  <c r="BD10" i="23"/>
  <c r="BD24" i="23"/>
  <c r="BD16" i="23"/>
  <c r="BD26" i="23"/>
  <c r="BD35" i="23"/>
  <c r="BD39" i="23"/>
  <c r="BD9" i="23"/>
  <c r="BD34" i="23"/>
  <c r="BD33" i="23"/>
  <c r="AO19" i="22"/>
  <c r="AO11" i="22"/>
  <c r="AO12" i="22"/>
  <c r="AO37" i="22"/>
  <c r="AO27" i="22"/>
  <c r="AO16" i="22"/>
  <c r="AO23" i="22"/>
  <c r="AO39" i="22"/>
  <c r="AO38" i="22"/>
  <c r="AO36" i="22"/>
  <c r="AO18" i="22"/>
  <c r="AO9" i="22"/>
  <c r="AO33" i="22"/>
  <c r="AO31" i="22"/>
  <c r="AO35" i="22"/>
  <c r="AO20" i="22"/>
  <c r="AO42" i="22"/>
  <c r="AO44" i="22"/>
  <c r="AO24" i="22"/>
  <c r="AO14" i="22"/>
  <c r="AO17" i="22"/>
  <c r="AO43" i="22"/>
  <c r="AO8" i="22"/>
  <c r="AO22" i="22"/>
  <c r="AO6" i="22"/>
  <c r="AO45" i="22"/>
  <c r="AO34" i="22"/>
  <c r="AO32" i="22"/>
  <c r="AO26" i="22"/>
  <c r="AO13" i="22"/>
  <c r="AO30" i="22"/>
  <c r="AO21" i="22"/>
  <c r="AO29" i="22"/>
  <c r="AO25" i="22"/>
  <c r="AO7" i="22"/>
  <c r="AO40" i="22"/>
  <c r="AO3" i="22"/>
  <c r="AO41" i="22"/>
  <c r="AO28" i="22"/>
  <c r="AO10" i="22"/>
  <c r="AO15" i="22"/>
  <c r="BA21" i="23"/>
  <c r="BA20" i="23"/>
  <c r="BA29" i="23"/>
  <c r="BA27" i="23"/>
  <c r="BA24" i="23"/>
  <c r="BA8" i="23"/>
  <c r="BA16" i="23"/>
  <c r="BA11" i="23"/>
  <c r="BA10" i="23"/>
  <c r="BA30" i="23"/>
  <c r="BA44" i="23"/>
  <c r="BA28" i="23"/>
  <c r="BA37" i="23"/>
  <c r="BA13" i="23"/>
  <c r="BA36" i="23"/>
  <c r="BA22" i="23"/>
  <c r="BA41" i="23"/>
  <c r="BA6" i="23"/>
  <c r="BA35" i="23"/>
  <c r="BA9" i="23"/>
  <c r="BA23" i="23"/>
  <c r="BA45" i="23"/>
  <c r="BA43" i="23"/>
  <c r="BA32" i="23"/>
  <c r="BA17" i="23"/>
  <c r="BA31" i="23"/>
  <c r="BA3" i="23"/>
  <c r="BA38" i="23"/>
  <c r="BA14" i="23"/>
  <c r="BA34" i="23"/>
  <c r="BA42" i="23"/>
  <c r="BA33" i="23"/>
  <c r="BA40" i="23"/>
  <c r="BA25" i="23"/>
  <c r="BA19" i="23"/>
  <c r="BA18" i="23"/>
  <c r="BA26" i="23"/>
  <c r="BA7" i="23"/>
  <c r="BA39" i="23"/>
  <c r="BA12" i="23"/>
  <c r="BA15" i="23"/>
  <c r="AV19" i="18"/>
  <c r="AV7" i="18"/>
  <c r="AV29" i="18"/>
  <c r="AV23" i="18"/>
  <c r="AV32" i="18"/>
  <c r="AV18" i="18"/>
  <c r="AV12" i="18"/>
  <c r="AV43" i="18"/>
  <c r="AV14" i="18"/>
  <c r="AV30" i="18"/>
  <c r="AV37" i="18"/>
  <c r="AV20" i="18"/>
  <c r="AV13" i="18"/>
  <c r="AV27" i="18"/>
  <c r="AV38" i="18"/>
  <c r="AV41" i="18"/>
  <c r="AV22" i="18"/>
  <c r="AV26" i="18"/>
  <c r="AV35" i="18"/>
  <c r="AV42" i="18"/>
  <c r="AV16" i="18"/>
  <c r="AV34" i="18"/>
  <c r="AV24" i="18"/>
  <c r="AV6" i="18"/>
  <c r="AV36" i="18"/>
  <c r="AV39" i="18"/>
  <c r="AV3" i="18"/>
  <c r="AV45" i="18"/>
  <c r="AV28" i="18"/>
  <c r="AV10" i="18"/>
  <c r="AV40" i="18"/>
  <c r="AV25" i="18"/>
  <c r="AY3" i="18"/>
  <c r="AV15" i="18"/>
  <c r="AV11" i="18"/>
  <c r="AV21" i="18"/>
  <c r="AV31" i="18"/>
  <c r="AV17" i="18"/>
  <c r="AV33" i="18"/>
  <c r="AV8" i="18"/>
  <c r="AV9" i="18"/>
  <c r="AV44" i="18"/>
  <c r="AN5" i="22"/>
  <c r="AN70" i="22" s="1"/>
  <c r="AI18" i="22"/>
  <c r="AI17" i="22"/>
  <c r="AI13" i="22"/>
  <c r="AI38" i="22"/>
  <c r="AI6" i="22"/>
  <c r="AI37" i="22"/>
  <c r="AI20" i="22"/>
  <c r="AI8" i="22"/>
  <c r="AI10" i="22"/>
  <c r="AI27" i="22"/>
  <c r="AI45" i="22"/>
  <c r="AI11" i="22"/>
  <c r="AI31" i="22"/>
  <c r="AI40" i="22"/>
  <c r="AI44" i="22"/>
  <c r="AI32" i="22"/>
  <c r="AI28" i="22"/>
  <c r="AI12" i="22"/>
  <c r="AI35" i="22"/>
  <c r="AI39" i="22"/>
  <c r="AI41" i="22"/>
  <c r="AI34" i="22"/>
  <c r="AI9" i="22"/>
  <c r="AI43" i="22"/>
  <c r="AI15" i="22"/>
  <c r="AI21" i="22"/>
  <c r="AI25" i="22"/>
  <c r="AI42" i="22"/>
  <c r="AI23" i="22"/>
  <c r="AI30" i="22"/>
  <c r="AI16" i="22"/>
  <c r="AI33" i="22"/>
  <c r="AI14" i="22"/>
  <c r="AI26" i="22"/>
  <c r="AI24" i="22"/>
  <c r="AI19" i="22"/>
  <c r="AI22" i="22"/>
  <c r="AI29" i="22"/>
  <c r="AI7" i="22"/>
  <c r="AI36" i="22"/>
  <c r="AH5" i="22"/>
  <c r="AH70" i="22" s="1"/>
  <c r="AL16" i="22"/>
  <c r="AL31" i="22"/>
  <c r="AL12" i="22"/>
  <c r="AL24" i="22"/>
  <c r="AL35" i="22"/>
  <c r="AL18" i="22"/>
  <c r="AL9" i="22"/>
  <c r="AL14" i="22"/>
  <c r="AL38" i="22"/>
  <c r="AL22" i="22"/>
  <c r="AL19" i="22"/>
  <c r="AL34" i="22"/>
  <c r="AL10" i="22"/>
  <c r="AL37" i="22"/>
  <c r="AL36" i="22"/>
  <c r="AL41" i="22"/>
  <c r="AL42" i="22"/>
  <c r="AL8" i="22"/>
  <c r="AL13" i="22"/>
  <c r="AL40" i="22"/>
  <c r="AL45" i="22"/>
  <c r="AL29" i="22"/>
  <c r="AL23" i="22"/>
  <c r="AL26" i="22"/>
  <c r="AL6" i="22"/>
  <c r="AL17" i="22"/>
  <c r="AL33" i="22"/>
  <c r="AL7" i="22"/>
  <c r="AL39" i="22"/>
  <c r="AL32" i="22"/>
  <c r="AL21" i="22"/>
  <c r="AL20" i="22"/>
  <c r="AL25" i="22"/>
  <c r="AL44" i="22"/>
  <c r="AL15" i="22"/>
  <c r="AL27" i="22"/>
  <c r="AL3" i="22"/>
  <c r="AL11" i="22"/>
  <c r="AL43" i="22"/>
  <c r="AL28" i="22"/>
  <c r="AL30" i="22"/>
  <c r="AL50" i="22" s="1"/>
  <c r="AX21" i="23"/>
  <c r="AX34" i="23"/>
  <c r="AX13" i="23"/>
  <c r="AX29" i="23"/>
  <c r="AX39" i="23"/>
  <c r="AX16" i="23"/>
  <c r="AX42" i="23"/>
  <c r="AX25" i="23"/>
  <c r="AX27" i="23"/>
  <c r="AX17" i="23"/>
  <c r="AX26" i="23"/>
  <c r="AX11" i="23"/>
  <c r="AX35" i="23"/>
  <c r="AX40" i="23"/>
  <c r="AX33" i="23"/>
  <c r="AX38" i="23"/>
  <c r="AX41" i="23"/>
  <c r="AX6" i="23"/>
  <c r="AX7" i="23"/>
  <c r="AX30" i="23"/>
  <c r="AX22" i="23"/>
  <c r="AX8" i="23"/>
  <c r="AX9" i="23"/>
  <c r="AX45" i="23"/>
  <c r="AX43" i="23"/>
  <c r="AX18" i="23"/>
  <c r="AX24" i="23"/>
  <c r="AX44" i="23"/>
  <c r="AX37" i="23"/>
  <c r="AX28" i="23"/>
  <c r="AX14" i="23"/>
  <c r="AX10" i="23"/>
  <c r="AX36" i="23"/>
  <c r="AX23" i="23"/>
  <c r="AX3" i="23"/>
  <c r="AX20" i="23"/>
  <c r="AX15" i="23"/>
  <c r="AX32" i="23"/>
  <c r="AX31" i="23"/>
  <c r="AX12" i="23"/>
  <c r="AX19" i="23"/>
  <c r="AE5" i="22"/>
  <c r="AE70" i="22" s="1"/>
  <c r="AW5" i="23"/>
  <c r="AW70" i="23" s="1"/>
  <c r="AR18" i="22"/>
  <c r="AR17" i="22"/>
  <c r="AR32" i="22"/>
  <c r="AR35" i="22"/>
  <c r="AR30" i="22"/>
  <c r="AR3" i="22"/>
  <c r="AR29" i="22"/>
  <c r="AR23" i="22"/>
  <c r="AR38" i="22"/>
  <c r="AR40" i="22"/>
  <c r="AR20" i="22"/>
  <c r="AR9" i="22"/>
  <c r="AR14" i="22"/>
  <c r="AR37" i="22"/>
  <c r="AR36" i="22"/>
  <c r="AR16" i="22"/>
  <c r="AR11" i="22"/>
  <c r="AR8" i="22"/>
  <c r="AR12" i="22"/>
  <c r="AR6" i="22"/>
  <c r="AR19" i="22"/>
  <c r="AR25" i="22"/>
  <c r="AR43" i="22"/>
  <c r="AR26" i="22"/>
  <c r="AR24" i="22"/>
  <c r="AR34" i="22"/>
  <c r="AR28" i="22"/>
  <c r="AR31" i="22"/>
  <c r="AR13" i="22"/>
  <c r="AR15" i="22"/>
  <c r="AU3" i="22"/>
  <c r="AR41" i="22"/>
  <c r="AR42" i="22"/>
  <c r="AR7" i="22"/>
  <c r="AR44" i="22"/>
  <c r="AR10" i="22"/>
  <c r="AR21" i="22"/>
  <c r="AR45" i="22"/>
  <c r="AR33" i="22"/>
  <c r="AR39" i="22"/>
  <c r="AR22" i="22"/>
  <c r="AR27" i="22"/>
  <c r="AO5" i="18"/>
  <c r="AO70" i="18" s="1"/>
  <c r="AU19" i="23"/>
  <c r="AU16" i="23"/>
  <c r="AU45" i="23"/>
  <c r="AU37" i="23"/>
  <c r="AU15" i="23"/>
  <c r="AU34" i="23"/>
  <c r="AU21" i="23"/>
  <c r="AU41" i="23"/>
  <c r="AU43" i="23"/>
  <c r="AU20" i="23"/>
  <c r="AU11" i="23"/>
  <c r="AU13" i="23"/>
  <c r="AU42" i="23"/>
  <c r="AU6" i="23"/>
  <c r="AU8" i="23"/>
  <c r="AU7" i="23"/>
  <c r="AU32" i="23"/>
  <c r="AU28" i="23"/>
  <c r="AU29" i="23"/>
  <c r="AU10" i="23"/>
  <c r="AU26" i="23"/>
  <c r="AU18" i="23"/>
  <c r="AU27" i="23"/>
  <c r="AU17" i="23"/>
  <c r="AU9" i="23"/>
  <c r="AU40" i="23"/>
  <c r="AU39" i="23"/>
  <c r="AU14" i="23"/>
  <c r="AU35" i="23"/>
  <c r="AU38" i="23"/>
  <c r="AU24" i="23"/>
  <c r="AU31" i="23"/>
  <c r="AU22" i="23"/>
  <c r="AU23" i="23"/>
  <c r="AU25" i="23"/>
  <c r="AU12" i="23"/>
  <c r="AU44" i="23"/>
  <c r="AU33" i="23"/>
  <c r="AU30" i="23"/>
  <c r="AU36" i="23"/>
  <c r="AI5" i="18"/>
  <c r="AI70" i="18" s="1"/>
  <c r="AL5" i="18"/>
  <c r="AL70" i="18" s="1"/>
  <c r="AM18" i="18"/>
  <c r="AM14" i="18"/>
  <c r="AM7" i="18"/>
  <c r="AM24" i="18"/>
  <c r="AM25" i="18"/>
  <c r="AM45" i="18"/>
  <c r="AM20" i="18"/>
  <c r="AM28" i="18"/>
  <c r="AM35" i="18"/>
  <c r="AM30" i="18"/>
  <c r="AM34" i="18"/>
  <c r="AM13" i="18"/>
  <c r="AM43" i="18"/>
  <c r="AM26" i="18"/>
  <c r="AM38" i="18"/>
  <c r="AM41" i="18"/>
  <c r="AM6" i="18"/>
  <c r="AM29" i="18"/>
  <c r="AM44" i="18"/>
  <c r="AM39" i="18"/>
  <c r="AM11" i="18"/>
  <c r="AM9" i="18"/>
  <c r="AM21" i="18"/>
  <c r="AM31" i="18"/>
  <c r="AM42" i="18"/>
  <c r="AM32" i="18"/>
  <c r="AM17" i="18"/>
  <c r="AM33" i="18"/>
  <c r="AM12" i="18"/>
  <c r="AM37" i="18"/>
  <c r="AM19" i="18"/>
  <c r="AM15" i="18"/>
  <c r="AM10" i="18"/>
  <c r="AM8" i="18"/>
  <c r="AM36" i="18"/>
  <c r="AM16" i="18"/>
  <c r="AM40" i="18"/>
  <c r="AM23" i="18"/>
  <c r="AM27" i="18"/>
  <c r="AM22" i="18"/>
  <c r="AZ5" i="23"/>
  <c r="AZ70" i="23" s="1"/>
  <c r="AT5" i="23"/>
  <c r="AT70" i="23" s="1"/>
  <c r="AR5" i="18"/>
  <c r="AR70" i="18" s="1"/>
  <c r="AK5" i="22"/>
  <c r="AK70" i="22" s="1"/>
  <c r="AQ5" i="23"/>
  <c r="AQ70" i="23" s="1"/>
  <c r="AP17" i="18"/>
  <c r="AP40" i="18"/>
  <c r="AP23" i="18"/>
  <c r="AP14" i="18"/>
  <c r="AP30" i="18"/>
  <c r="AP33" i="18"/>
  <c r="AP28" i="18"/>
  <c r="AP43" i="18"/>
  <c r="AP36" i="18"/>
  <c r="AP24" i="18"/>
  <c r="AP3" i="18"/>
  <c r="AP20" i="18"/>
  <c r="AP12" i="18"/>
  <c r="AP34" i="18"/>
  <c r="AP35" i="18"/>
  <c r="AP42" i="18"/>
  <c r="AP21" i="18"/>
  <c r="AP15" i="18"/>
  <c r="AP11" i="18"/>
  <c r="AP9" i="18"/>
  <c r="AP37" i="18"/>
  <c r="AP16" i="18"/>
  <c r="AP29" i="18"/>
  <c r="AP44" i="18"/>
  <c r="AP6" i="18"/>
  <c r="AP31" i="18"/>
  <c r="AP18" i="18"/>
  <c r="AP45" i="18"/>
  <c r="AP13" i="18"/>
  <c r="AP27" i="18"/>
  <c r="AP22" i="18"/>
  <c r="AP19" i="18"/>
  <c r="AP8" i="18"/>
  <c r="AP10" i="18"/>
  <c r="AP25" i="18"/>
  <c r="AP39" i="18"/>
  <c r="AP41" i="18"/>
  <c r="AP7" i="18"/>
  <c r="AP26" i="18"/>
  <c r="AP38" i="18"/>
  <c r="AP32" i="18"/>
  <c r="AS19" i="18"/>
  <c r="AS20" i="18"/>
  <c r="AS29" i="18"/>
  <c r="AS9" i="18"/>
  <c r="AS22" i="18"/>
  <c r="AS18" i="18"/>
  <c r="AS32" i="18"/>
  <c r="AS13" i="18"/>
  <c r="AS40" i="18"/>
  <c r="AS24" i="18"/>
  <c r="AS45" i="18"/>
  <c r="AS33" i="18"/>
  <c r="AS12" i="18"/>
  <c r="AS27" i="18"/>
  <c r="AS38" i="18"/>
  <c r="AS37" i="18"/>
  <c r="AS41" i="18"/>
  <c r="AS26" i="18"/>
  <c r="AS14" i="18"/>
  <c r="AS39" i="18"/>
  <c r="AS17" i="18"/>
  <c r="AS8" i="18"/>
  <c r="AS10" i="18"/>
  <c r="AS44" i="18"/>
  <c r="AS30" i="18"/>
  <c r="AS34" i="18"/>
  <c r="AS11" i="18"/>
  <c r="AS6" i="18"/>
  <c r="AS35" i="18"/>
  <c r="AS42" i="18"/>
  <c r="AS16" i="18"/>
  <c r="AS15" i="18"/>
  <c r="AS43" i="18"/>
  <c r="AS21" i="18"/>
  <c r="AS31" i="18"/>
  <c r="AS25" i="18"/>
  <c r="AS3" i="18"/>
  <c r="AS7" i="18"/>
  <c r="AS28" i="18"/>
  <c r="AS23" i="18"/>
  <c r="AS36" i="18"/>
  <c r="AW53" i="3"/>
  <c r="AQ47" i="3"/>
  <c r="AW47" i="3"/>
  <c r="AT50" i="21"/>
  <c r="AS48" i="20"/>
  <c r="AZ50" i="21"/>
  <c r="AP49" i="20"/>
  <c r="AV53" i="20"/>
  <c r="AP53" i="19"/>
  <c r="AV53" i="19"/>
  <c r="AZ53" i="3"/>
  <c r="AP48" i="19"/>
  <c r="AT50" i="3"/>
  <c r="AZ53" i="21"/>
  <c r="AS53" i="20"/>
  <c r="AQ53" i="3"/>
  <c r="AP53" i="20"/>
  <c r="AZ50" i="3"/>
  <c r="AW48" i="21"/>
  <c r="AZ48" i="3"/>
  <c r="AZ47" i="3"/>
  <c r="AS53" i="19"/>
  <c r="AM53" i="19"/>
  <c r="AT47" i="21"/>
  <c r="AQ47" i="21"/>
  <c r="AQ53" i="21"/>
  <c r="AT53" i="3"/>
  <c r="AT53" i="21"/>
  <c r="AM53" i="20"/>
  <c r="AV50" i="19"/>
  <c r="AM47" i="19"/>
  <c r="AM48" i="19"/>
  <c r="AZ46" i="3"/>
  <c r="AQ46" i="3"/>
  <c r="AQ46" i="21"/>
  <c r="AT46" i="21"/>
  <c r="AV46" i="19"/>
  <c r="AP52" i="19"/>
  <c r="AP5" i="19"/>
  <c r="AZ52" i="21"/>
  <c r="AZ5" i="21"/>
  <c r="AS47" i="20"/>
  <c r="AV52" i="20"/>
  <c r="AV5" i="20"/>
  <c r="AP46" i="19"/>
  <c r="AP52" i="20"/>
  <c r="AP5" i="20"/>
  <c r="AP70" i="21"/>
  <c r="AT52" i="21"/>
  <c r="AT5" i="21"/>
  <c r="AX16" i="3"/>
  <c r="AX12" i="3"/>
  <c r="AX20" i="3"/>
  <c r="AX3" i="3"/>
  <c r="AX19" i="3"/>
  <c r="AX8" i="3"/>
  <c r="AX21" i="3"/>
  <c r="AX17" i="3"/>
  <c r="AX18" i="3"/>
  <c r="AX24" i="3"/>
  <c r="AX45" i="3"/>
  <c r="AX28" i="3"/>
  <c r="AX40" i="3"/>
  <c r="AX35" i="3"/>
  <c r="AX39" i="3"/>
  <c r="AX43" i="3"/>
  <c r="AX11" i="3"/>
  <c r="AX9" i="3"/>
  <c r="AX13" i="3"/>
  <c r="AX6" i="3"/>
  <c r="AX10" i="3"/>
  <c r="AX14" i="3"/>
  <c r="AX7" i="3"/>
  <c r="AX37" i="3"/>
  <c r="AX15" i="3"/>
  <c r="AX44" i="3"/>
  <c r="AX36" i="3"/>
  <c r="AX32" i="3"/>
  <c r="AX31" i="3"/>
  <c r="AX23" i="3"/>
  <c r="AX25" i="3"/>
  <c r="AX27" i="3"/>
  <c r="AX38" i="3"/>
  <c r="AX34" i="3"/>
  <c r="AX42" i="3"/>
  <c r="AX41" i="3"/>
  <c r="AX30" i="3"/>
  <c r="AX33" i="3"/>
  <c r="AX29" i="3"/>
  <c r="AX26" i="3"/>
  <c r="AX22" i="3"/>
  <c r="AZ49" i="21"/>
  <c r="AV70" i="3"/>
  <c r="AM46" i="20"/>
  <c r="AT16" i="20"/>
  <c r="AT21" i="20"/>
  <c r="AT3" i="20"/>
  <c r="AT34" i="20"/>
  <c r="AT19" i="20"/>
  <c r="AT30" i="20"/>
  <c r="AT45" i="20"/>
  <c r="AT17" i="20"/>
  <c r="AT29" i="20"/>
  <c r="AT18" i="20"/>
  <c r="AT41" i="20"/>
  <c r="AT9" i="20"/>
  <c r="AT31" i="20"/>
  <c r="AT13" i="20"/>
  <c r="AT14" i="20"/>
  <c r="AT43" i="20"/>
  <c r="AT28" i="20"/>
  <c r="AT32" i="20"/>
  <c r="AT12" i="20"/>
  <c r="AT8" i="20"/>
  <c r="AT33" i="20"/>
  <c r="AT42" i="20"/>
  <c r="AT15" i="20"/>
  <c r="AT10" i="20"/>
  <c r="AT7" i="20"/>
  <c r="AT20" i="20"/>
  <c r="AT11" i="20"/>
  <c r="AT36" i="20"/>
  <c r="AT26" i="20"/>
  <c r="AT39" i="20"/>
  <c r="AT40" i="20"/>
  <c r="AT37" i="20"/>
  <c r="AT35" i="20"/>
  <c r="AT24" i="20"/>
  <c r="AT23" i="20"/>
  <c r="AT38" i="20"/>
  <c r="AT25" i="20"/>
  <c r="AT44" i="20"/>
  <c r="AT27" i="20"/>
  <c r="AT22" i="20"/>
  <c r="AT6" i="20"/>
  <c r="AW47" i="21"/>
  <c r="AP48" i="20"/>
  <c r="AT3" i="19"/>
  <c r="AT16" i="19"/>
  <c r="AT21" i="19"/>
  <c r="AT34" i="19"/>
  <c r="AT15" i="19"/>
  <c r="AT17" i="19"/>
  <c r="AT45" i="19"/>
  <c r="AT38" i="19"/>
  <c r="AT27" i="19"/>
  <c r="AT28" i="19"/>
  <c r="AT7" i="19"/>
  <c r="AT11" i="19"/>
  <c r="AT44" i="19"/>
  <c r="AT6" i="19"/>
  <c r="AT42" i="19"/>
  <c r="AT22" i="19"/>
  <c r="AT26" i="19"/>
  <c r="AT33" i="19"/>
  <c r="AT8" i="19"/>
  <c r="AT19" i="19"/>
  <c r="AT18" i="19"/>
  <c r="AT43" i="19"/>
  <c r="AT32" i="19"/>
  <c r="AT25" i="19"/>
  <c r="AT14" i="19"/>
  <c r="AT13" i="19"/>
  <c r="AT29" i="19"/>
  <c r="AT10" i="19"/>
  <c r="AT20" i="19"/>
  <c r="AT9" i="19"/>
  <c r="AT39" i="19"/>
  <c r="AT35" i="19"/>
  <c r="AT40" i="19"/>
  <c r="AT12" i="19"/>
  <c r="AT37" i="19"/>
  <c r="AT30" i="19"/>
  <c r="AT41" i="19"/>
  <c r="AT23" i="19"/>
  <c r="AT31" i="19"/>
  <c r="AT24" i="19"/>
  <c r="AT36" i="19"/>
  <c r="AV48" i="19"/>
  <c r="AM49" i="19"/>
  <c r="AZ46" i="21"/>
  <c r="AM52" i="20"/>
  <c r="AM5" i="20"/>
  <c r="AW46" i="3"/>
  <c r="AT46" i="3"/>
  <c r="AV70" i="21"/>
  <c r="AT49" i="21"/>
  <c r="BD3" i="3"/>
  <c r="BD16" i="3"/>
  <c r="BD8" i="3"/>
  <c r="BD36" i="3"/>
  <c r="BD19" i="3"/>
  <c r="BD20" i="3"/>
  <c r="BD24" i="3"/>
  <c r="BD12" i="3"/>
  <c r="BG3" i="3"/>
  <c r="BD23" i="3"/>
  <c r="BD37" i="3"/>
  <c r="BD21" i="3"/>
  <c r="BD18" i="3"/>
  <c r="BD17" i="3"/>
  <c r="BD45" i="3"/>
  <c r="BD11" i="3"/>
  <c r="BD29" i="3"/>
  <c r="BD35" i="3"/>
  <c r="BD28" i="3"/>
  <c r="BD34" i="3"/>
  <c r="BD33" i="3"/>
  <c r="BD43" i="3"/>
  <c r="BD31" i="3"/>
  <c r="BD13" i="3"/>
  <c r="BD42" i="3"/>
  <c r="BD6" i="3"/>
  <c r="BD10" i="3"/>
  <c r="BD39" i="3"/>
  <c r="BD7" i="3"/>
  <c r="BD22" i="3"/>
  <c r="BD32" i="3"/>
  <c r="BD9" i="3"/>
  <c r="BD44" i="3"/>
  <c r="BD15" i="3"/>
  <c r="BD40" i="3"/>
  <c r="BD25" i="3"/>
  <c r="BD14" i="3"/>
  <c r="BD27" i="3"/>
  <c r="BD26" i="3"/>
  <c r="BD38" i="3"/>
  <c r="BD30" i="3"/>
  <c r="BD41" i="3"/>
  <c r="AQ48" i="3"/>
  <c r="AQ5" i="3"/>
  <c r="AQ52" i="3"/>
  <c r="AQ5" i="21"/>
  <c r="AQ52" i="21"/>
  <c r="BA43" i="3"/>
  <c r="BA8" i="3"/>
  <c r="BA3" i="3"/>
  <c r="BA36" i="3"/>
  <c r="BA19" i="3"/>
  <c r="BA12" i="3"/>
  <c r="BA16" i="3"/>
  <c r="BA20" i="3"/>
  <c r="BA18" i="3"/>
  <c r="BA45" i="3"/>
  <c r="BA21" i="3"/>
  <c r="BA17" i="3"/>
  <c r="BA24" i="3"/>
  <c r="BA42" i="3"/>
  <c r="BA34" i="3"/>
  <c r="BA40" i="3"/>
  <c r="BA33" i="3"/>
  <c r="BA28" i="3"/>
  <c r="BA39" i="3"/>
  <c r="BA41" i="3"/>
  <c r="BA11" i="3"/>
  <c r="BA13" i="3"/>
  <c r="BA6" i="3"/>
  <c r="BA9" i="3"/>
  <c r="BA10" i="3"/>
  <c r="BA7" i="3"/>
  <c r="BA35" i="3"/>
  <c r="BA44" i="3"/>
  <c r="BA32" i="3"/>
  <c r="BA15" i="3"/>
  <c r="BA31" i="3"/>
  <c r="BA27" i="3"/>
  <c r="BA23" i="3"/>
  <c r="BA26" i="3"/>
  <c r="BA30" i="3"/>
  <c r="BA14" i="3"/>
  <c r="BA37" i="3"/>
  <c r="BA38" i="3"/>
  <c r="BA25" i="3"/>
  <c r="BA29" i="3"/>
  <c r="BA22" i="3"/>
  <c r="AR70" i="20"/>
  <c r="AM48" i="20"/>
  <c r="AW52" i="3"/>
  <c r="AW5" i="3"/>
  <c r="AW50" i="3"/>
  <c r="AS52" i="20"/>
  <c r="AS5" i="20"/>
  <c r="AS49" i="20"/>
  <c r="AT48" i="3"/>
  <c r="AU21" i="3"/>
  <c r="AU8" i="3"/>
  <c r="AU16" i="3"/>
  <c r="AU19" i="3"/>
  <c r="AU12" i="3"/>
  <c r="AU20" i="3"/>
  <c r="AU43" i="3"/>
  <c r="AU9" i="3"/>
  <c r="AU45" i="3"/>
  <c r="AU18" i="3"/>
  <c r="AU17" i="3"/>
  <c r="AU34" i="3"/>
  <c r="AU35" i="3"/>
  <c r="AU39" i="3"/>
  <c r="AU29" i="3"/>
  <c r="AU33" i="3"/>
  <c r="AU41" i="3"/>
  <c r="AU24" i="3"/>
  <c r="AU36" i="3"/>
  <c r="AU38" i="3"/>
  <c r="AU28" i="3"/>
  <c r="AU11" i="3"/>
  <c r="AU13" i="3"/>
  <c r="AU10" i="3"/>
  <c r="AU42" i="3"/>
  <c r="AU31" i="3"/>
  <c r="AU6" i="3"/>
  <c r="AU7" i="3"/>
  <c r="AU14" i="3"/>
  <c r="AU32" i="3"/>
  <c r="AU15" i="3"/>
  <c r="AU37" i="3"/>
  <c r="AU40" i="3"/>
  <c r="AU44" i="3"/>
  <c r="AU23" i="3"/>
  <c r="AU27" i="3"/>
  <c r="AU22" i="3"/>
  <c r="AU26" i="3"/>
  <c r="AU25" i="3"/>
  <c r="AU30" i="3"/>
  <c r="AV50" i="20"/>
  <c r="AV46" i="20"/>
  <c r="AS47" i="19"/>
  <c r="AV49" i="19"/>
  <c r="AP70" i="3"/>
  <c r="AQ21" i="20"/>
  <c r="AQ16" i="20"/>
  <c r="AQ41" i="20"/>
  <c r="AQ17" i="20"/>
  <c r="AQ19" i="20"/>
  <c r="AQ29" i="20"/>
  <c r="AQ45" i="20"/>
  <c r="AQ28" i="20"/>
  <c r="AQ34" i="20"/>
  <c r="AQ30" i="20"/>
  <c r="AQ43" i="20"/>
  <c r="AQ18" i="20"/>
  <c r="AQ9" i="20"/>
  <c r="AQ24" i="20"/>
  <c r="AQ14" i="20"/>
  <c r="AQ13" i="20"/>
  <c r="AQ32" i="20"/>
  <c r="AQ8" i="20"/>
  <c r="AQ12" i="20"/>
  <c r="AQ39" i="20"/>
  <c r="AQ15" i="20"/>
  <c r="AQ10" i="20"/>
  <c r="AQ7" i="20"/>
  <c r="AQ40" i="20"/>
  <c r="AQ11" i="20"/>
  <c r="AQ20" i="20"/>
  <c r="AQ35" i="20"/>
  <c r="AQ31" i="20"/>
  <c r="AQ36" i="20"/>
  <c r="AQ26" i="20"/>
  <c r="AQ25" i="20"/>
  <c r="AQ37" i="20"/>
  <c r="AQ23" i="20"/>
  <c r="AQ6" i="20"/>
  <c r="AQ38" i="20"/>
  <c r="AQ44" i="20"/>
  <c r="AQ42" i="20"/>
  <c r="AQ33" i="20"/>
  <c r="AQ22" i="20"/>
  <c r="AQ27" i="20"/>
  <c r="AZ49" i="3"/>
  <c r="AO70" i="19"/>
  <c r="AW5" i="21"/>
  <c r="AW52" i="21"/>
  <c r="AP46" i="20"/>
  <c r="AS52" i="19"/>
  <c r="AS5" i="19"/>
  <c r="AS70" i="21"/>
  <c r="AZ48" i="21"/>
  <c r="AM49" i="20"/>
  <c r="AW50" i="21"/>
  <c r="AZ3" i="20"/>
  <c r="BC3" i="20"/>
  <c r="AZ16" i="20"/>
  <c r="AZ21" i="20"/>
  <c r="AZ19" i="20"/>
  <c r="AZ30" i="20"/>
  <c r="AZ41" i="20"/>
  <c r="AZ45" i="20"/>
  <c r="AZ37" i="20"/>
  <c r="AZ34" i="20"/>
  <c r="AZ17" i="20"/>
  <c r="AZ44" i="20"/>
  <c r="AZ43" i="20"/>
  <c r="AZ18" i="20"/>
  <c r="AZ36" i="20"/>
  <c r="AZ29" i="20"/>
  <c r="AZ40" i="20"/>
  <c r="AZ9" i="20"/>
  <c r="AZ8" i="20"/>
  <c r="AZ12" i="20"/>
  <c r="AZ28" i="20"/>
  <c r="AZ14" i="20"/>
  <c r="AZ13" i="20"/>
  <c r="AZ32" i="20"/>
  <c r="AZ7" i="20"/>
  <c r="AZ15" i="20"/>
  <c r="AZ39" i="20"/>
  <c r="AZ10" i="20"/>
  <c r="AZ20" i="20"/>
  <c r="AZ22" i="20"/>
  <c r="AZ11" i="20"/>
  <c r="AZ26" i="20"/>
  <c r="AZ35" i="20"/>
  <c r="AZ33" i="20"/>
  <c r="AZ31" i="20"/>
  <c r="AZ25" i="20"/>
  <c r="AZ24" i="20"/>
  <c r="AZ38" i="20"/>
  <c r="AZ42" i="20"/>
  <c r="AZ6" i="20"/>
  <c r="AZ23" i="20"/>
  <c r="AZ27" i="20"/>
  <c r="AS49" i="19"/>
  <c r="AV52" i="19"/>
  <c r="AV5" i="19"/>
  <c r="AW3" i="19"/>
  <c r="AW16" i="19"/>
  <c r="AW28" i="19"/>
  <c r="AW18" i="19"/>
  <c r="AW15" i="19"/>
  <c r="AW21" i="19"/>
  <c r="AW34" i="19"/>
  <c r="AW45" i="19"/>
  <c r="AW27" i="19"/>
  <c r="AW40" i="19"/>
  <c r="AW43" i="19"/>
  <c r="AW11" i="19"/>
  <c r="AW26" i="19"/>
  <c r="AW7" i="19"/>
  <c r="AW6" i="19"/>
  <c r="AW42" i="19"/>
  <c r="AW8" i="19"/>
  <c r="AW33" i="19"/>
  <c r="AW19" i="19"/>
  <c r="AW13" i="19"/>
  <c r="AW41" i="19"/>
  <c r="AW29" i="19"/>
  <c r="AW14" i="19"/>
  <c r="AW10" i="19"/>
  <c r="AW32" i="19"/>
  <c r="AW24" i="19"/>
  <c r="AW37" i="19"/>
  <c r="AW44" i="19"/>
  <c r="AW20" i="19"/>
  <c r="AW38" i="19"/>
  <c r="AW39" i="19"/>
  <c r="AW12" i="19"/>
  <c r="AW23" i="19"/>
  <c r="AW17" i="19"/>
  <c r="AW9" i="19"/>
  <c r="AW35" i="19"/>
  <c r="AW36" i="19"/>
  <c r="AW30" i="19"/>
  <c r="AW31" i="19"/>
  <c r="AW25" i="19"/>
  <c r="AW22" i="19"/>
  <c r="AM70" i="3"/>
  <c r="AW49" i="3"/>
  <c r="AS50" i="20"/>
  <c r="AV47" i="20"/>
  <c r="AW16" i="20"/>
  <c r="AW21" i="20"/>
  <c r="AW3" i="20"/>
  <c r="AW19" i="20"/>
  <c r="AW29" i="20"/>
  <c r="AW41" i="20"/>
  <c r="AW45" i="20"/>
  <c r="AW30" i="20"/>
  <c r="AW37" i="20"/>
  <c r="AW34" i="20"/>
  <c r="AW17" i="20"/>
  <c r="AW15" i="20"/>
  <c r="AW12" i="20"/>
  <c r="AW18" i="20"/>
  <c r="AW9" i="20"/>
  <c r="AW14" i="20"/>
  <c r="AW28" i="20"/>
  <c r="AW13" i="20"/>
  <c r="AW32" i="20"/>
  <c r="AW31" i="20"/>
  <c r="AW8" i="20"/>
  <c r="AW43" i="20"/>
  <c r="AW10" i="20"/>
  <c r="AW33" i="20"/>
  <c r="AW39" i="20"/>
  <c r="AW7" i="20"/>
  <c r="AW20" i="20"/>
  <c r="AW11" i="20"/>
  <c r="AW26" i="20"/>
  <c r="AW40" i="20"/>
  <c r="AW35" i="20"/>
  <c r="AW36" i="20"/>
  <c r="AW23" i="20"/>
  <c r="AW25" i="20"/>
  <c r="AW24" i="20"/>
  <c r="AW22" i="20"/>
  <c r="AW38" i="20"/>
  <c r="AW42" i="20"/>
  <c r="AW6" i="20"/>
  <c r="AW44" i="20"/>
  <c r="AW27" i="20"/>
  <c r="AP49" i="19"/>
  <c r="AV47" i="19"/>
  <c r="AZ34" i="19"/>
  <c r="BC3" i="19"/>
  <c r="AZ3" i="19"/>
  <c r="AZ21" i="19"/>
  <c r="AZ16" i="19"/>
  <c r="AZ42" i="19"/>
  <c r="AZ15" i="19"/>
  <c r="AZ37" i="19"/>
  <c r="AZ43" i="19"/>
  <c r="AZ45" i="19"/>
  <c r="AZ27" i="19"/>
  <c r="AZ11" i="19"/>
  <c r="AZ7" i="19"/>
  <c r="AZ38" i="19"/>
  <c r="AZ28" i="19"/>
  <c r="AZ33" i="19"/>
  <c r="AZ6" i="19"/>
  <c r="AZ26" i="19"/>
  <c r="AZ19" i="19"/>
  <c r="AZ8" i="19"/>
  <c r="AZ29" i="19"/>
  <c r="AZ14" i="19"/>
  <c r="AZ13" i="19"/>
  <c r="AZ32" i="19"/>
  <c r="AZ40" i="19"/>
  <c r="AZ10" i="19"/>
  <c r="AZ35" i="19"/>
  <c r="AZ17" i="19"/>
  <c r="AZ9" i="19"/>
  <c r="AZ12" i="19"/>
  <c r="AZ20" i="19"/>
  <c r="AZ18" i="19"/>
  <c r="AZ39" i="19"/>
  <c r="AZ44" i="19"/>
  <c r="AZ36" i="19"/>
  <c r="AZ30" i="19"/>
  <c r="AZ41" i="19"/>
  <c r="AZ23" i="19"/>
  <c r="AZ31" i="19"/>
  <c r="AZ24" i="19"/>
  <c r="AZ25" i="19"/>
  <c r="AZ22" i="19"/>
  <c r="AM46" i="19"/>
  <c r="AQ49" i="21"/>
  <c r="AQ49" i="3"/>
  <c r="AQ50" i="21"/>
  <c r="AQ48" i="21"/>
  <c r="AI70" i="19"/>
  <c r="BA21" i="21"/>
  <c r="BA3" i="21"/>
  <c r="BA20" i="21"/>
  <c r="BA19" i="21"/>
  <c r="BA26" i="21"/>
  <c r="BA34" i="21"/>
  <c r="BA27" i="21"/>
  <c r="BA45" i="21"/>
  <c r="BA41" i="21"/>
  <c r="BA17" i="21"/>
  <c r="BA16" i="21"/>
  <c r="BA32" i="21"/>
  <c r="BA42" i="21"/>
  <c r="BA24" i="21"/>
  <c r="BA11" i="21"/>
  <c r="BA29" i="21"/>
  <c r="BA7" i="21"/>
  <c r="BA33" i="21"/>
  <c r="BA8" i="21"/>
  <c r="BA9" i="21"/>
  <c r="BA6" i="21"/>
  <c r="BA12" i="21"/>
  <c r="BA15" i="21"/>
  <c r="BA28" i="21"/>
  <c r="BA40" i="21"/>
  <c r="BA30" i="21"/>
  <c r="BA13" i="21"/>
  <c r="BA37" i="21"/>
  <c r="BA44" i="21"/>
  <c r="BA38" i="21"/>
  <c r="BA39" i="21"/>
  <c r="BA22" i="21"/>
  <c r="BA18" i="21"/>
  <c r="BA31" i="21"/>
  <c r="BA23" i="21"/>
  <c r="BA36" i="21"/>
  <c r="BA43" i="21"/>
  <c r="BA25" i="21"/>
  <c r="BA10" i="21"/>
  <c r="BA35" i="21"/>
  <c r="BA14" i="21"/>
  <c r="AS46" i="20"/>
  <c r="AW49" i="21"/>
  <c r="AS70" i="3"/>
  <c r="AR70" i="19"/>
  <c r="AV48" i="20"/>
  <c r="AS48" i="19"/>
  <c r="AM52" i="19"/>
  <c r="AM5" i="19"/>
  <c r="AZ52" i="3"/>
  <c r="AZ5" i="3"/>
  <c r="BD3" i="21"/>
  <c r="BG3" i="21"/>
  <c r="BD18" i="21"/>
  <c r="BD32" i="21"/>
  <c r="BD27" i="21"/>
  <c r="BD19" i="21"/>
  <c r="BD38" i="21"/>
  <c r="BD26" i="21"/>
  <c r="BD17" i="21"/>
  <c r="BD41" i="21"/>
  <c r="BD16" i="21"/>
  <c r="BD45" i="21"/>
  <c r="BD21" i="21"/>
  <c r="BD20" i="21"/>
  <c r="BD11" i="21"/>
  <c r="BD34" i="21"/>
  <c r="BD42" i="21"/>
  <c r="BD9" i="21"/>
  <c r="BD33" i="21"/>
  <c r="BD24" i="21"/>
  <c r="BD7" i="21"/>
  <c r="BD12" i="21"/>
  <c r="BD6" i="21"/>
  <c r="BD40" i="21"/>
  <c r="BD28" i="21"/>
  <c r="BD8" i="21"/>
  <c r="BD30" i="21"/>
  <c r="BD37" i="21"/>
  <c r="BD39" i="21"/>
  <c r="BD44" i="21"/>
  <c r="BD13" i="21"/>
  <c r="BD15" i="21"/>
  <c r="BD22" i="21"/>
  <c r="BD29" i="21"/>
  <c r="BD35" i="21"/>
  <c r="BD36" i="21"/>
  <c r="BD23" i="21"/>
  <c r="BD31" i="21"/>
  <c r="BD14" i="21"/>
  <c r="BD25" i="21"/>
  <c r="BD43" i="21"/>
  <c r="BD10" i="21"/>
  <c r="AM50" i="20"/>
  <c r="AW48" i="3"/>
  <c r="AT52" i="3"/>
  <c r="AT5" i="3"/>
  <c r="AT49" i="3"/>
  <c r="AP47" i="19"/>
  <c r="AP50" i="20"/>
  <c r="AT48" i="21"/>
  <c r="AI70" i="20"/>
  <c r="AM47" i="20"/>
  <c r="AO70" i="20"/>
  <c r="AT47" i="3"/>
  <c r="AL70" i="20"/>
  <c r="AV49" i="20"/>
  <c r="AS50" i="19"/>
  <c r="AM50" i="19"/>
  <c r="AL70" i="19"/>
  <c r="AU18" i="21"/>
  <c r="AU21" i="21"/>
  <c r="AU45" i="21"/>
  <c r="AU26" i="21"/>
  <c r="AU17" i="21"/>
  <c r="AU41" i="21"/>
  <c r="AU16" i="21"/>
  <c r="AU34" i="21"/>
  <c r="AU11" i="21"/>
  <c r="AU19" i="21"/>
  <c r="AU20" i="21"/>
  <c r="AU42" i="21"/>
  <c r="AU7" i="21"/>
  <c r="AU9" i="21"/>
  <c r="AU33" i="21"/>
  <c r="AU6" i="21"/>
  <c r="AU8" i="21"/>
  <c r="AU22" i="21"/>
  <c r="AU28" i="21"/>
  <c r="AU12" i="21"/>
  <c r="AU32" i="21"/>
  <c r="AU30" i="21"/>
  <c r="AU15" i="21"/>
  <c r="AU39" i="21"/>
  <c r="AU13" i="21"/>
  <c r="AU38" i="21"/>
  <c r="AU24" i="21"/>
  <c r="AU37" i="21"/>
  <c r="AU40" i="21"/>
  <c r="AU44" i="21"/>
  <c r="AU31" i="21"/>
  <c r="AU36" i="21"/>
  <c r="AU29" i="21"/>
  <c r="AU10" i="21"/>
  <c r="AU25" i="21"/>
  <c r="AU14" i="21"/>
  <c r="AU23" i="21"/>
  <c r="AU27" i="21"/>
  <c r="AU35" i="21"/>
  <c r="AU43" i="21"/>
  <c r="AQ21" i="19"/>
  <c r="AQ16" i="19"/>
  <c r="AQ11" i="19"/>
  <c r="AQ27" i="19"/>
  <c r="AQ26" i="19"/>
  <c r="AQ15" i="19"/>
  <c r="AQ41" i="19"/>
  <c r="AQ34" i="19"/>
  <c r="AQ37" i="19"/>
  <c r="AQ45" i="19"/>
  <c r="AQ43" i="19"/>
  <c r="AQ40" i="19"/>
  <c r="AQ7" i="19"/>
  <c r="AQ6" i="19"/>
  <c r="AQ38" i="19"/>
  <c r="AQ18" i="19"/>
  <c r="AQ30" i="19"/>
  <c r="AQ33" i="19"/>
  <c r="AQ8" i="19"/>
  <c r="AQ19" i="19"/>
  <c r="AQ42" i="19"/>
  <c r="AQ10" i="19"/>
  <c r="AQ29" i="19"/>
  <c r="AQ13" i="19"/>
  <c r="AQ14" i="19"/>
  <c r="AQ32" i="19"/>
  <c r="AQ28" i="19"/>
  <c r="AQ9" i="19"/>
  <c r="AQ20" i="19"/>
  <c r="AQ36" i="19"/>
  <c r="AQ12" i="19"/>
  <c r="AQ39" i="19"/>
  <c r="AQ35" i="19"/>
  <c r="AQ44" i="19"/>
  <c r="AQ31" i="19"/>
  <c r="AQ23" i="19"/>
  <c r="AQ24" i="19"/>
  <c r="AQ25" i="19"/>
  <c r="AQ17" i="19"/>
  <c r="AQ22" i="19"/>
  <c r="AQ50" i="3"/>
  <c r="AM70" i="21"/>
  <c r="AZ47" i="21"/>
  <c r="AW46" i="21"/>
  <c r="AX3" i="21"/>
  <c r="AX16" i="21"/>
  <c r="AX30" i="21"/>
  <c r="AX34" i="21"/>
  <c r="AX26" i="21"/>
  <c r="AX11" i="21"/>
  <c r="AX19" i="21"/>
  <c r="AX20" i="21"/>
  <c r="AX27" i="21"/>
  <c r="AX41" i="21"/>
  <c r="AX17" i="21"/>
  <c r="AX33" i="21"/>
  <c r="AX21" i="21"/>
  <c r="AX45" i="21"/>
  <c r="AX42" i="21"/>
  <c r="AX7" i="21"/>
  <c r="AX14" i="21"/>
  <c r="AX9" i="21"/>
  <c r="AX28" i="21"/>
  <c r="AX6" i="21"/>
  <c r="AX12" i="21"/>
  <c r="AX32" i="21"/>
  <c r="AX8" i="21"/>
  <c r="AX24" i="21"/>
  <c r="AX39" i="21"/>
  <c r="AX22" i="21"/>
  <c r="AX13" i="21"/>
  <c r="AX38" i="21"/>
  <c r="AX37" i="21"/>
  <c r="AX18" i="21"/>
  <c r="AX40" i="21"/>
  <c r="AX44" i="21"/>
  <c r="AX36" i="21"/>
  <c r="AX15" i="21"/>
  <c r="AX31" i="21"/>
  <c r="AX29" i="21"/>
  <c r="AX43" i="21"/>
  <c r="AX10" i="21"/>
  <c r="AX23" i="21"/>
  <c r="AX35" i="21"/>
  <c r="AX25" i="21"/>
  <c r="AS46" i="19"/>
  <c r="D85" i="2"/>
  <c r="C86" i="2"/>
  <c r="AQ51" i="19" l="1"/>
  <c r="AZ51" i="20"/>
  <c r="AR51" i="22"/>
  <c r="AS50" i="18"/>
  <c r="AU53" i="23"/>
  <c r="BD53" i="23"/>
  <c r="AO53" i="22"/>
  <c r="AI53" i="22"/>
  <c r="AL53" i="22"/>
  <c r="AS53" i="18"/>
  <c r="AV53" i="18"/>
  <c r="AM53" i="18"/>
  <c r="BD51" i="3"/>
  <c r="AI50" i="22"/>
  <c r="AO50" i="22"/>
  <c r="AX51" i="21"/>
  <c r="AU51" i="21"/>
  <c r="AW51" i="20"/>
  <c r="AT51" i="20"/>
  <c r="BA51" i="21"/>
  <c r="AM48" i="18"/>
  <c r="AR47" i="22"/>
  <c r="AU50" i="23"/>
  <c r="AV52" i="18"/>
  <c r="AX53" i="23"/>
  <c r="AX48" i="23"/>
  <c r="AO52" i="22"/>
  <c r="AP46" i="18"/>
  <c r="BA49" i="23"/>
  <c r="BD49" i="23"/>
  <c r="AI49" i="22"/>
  <c r="AO49" i="22"/>
  <c r="AO46" i="22"/>
  <c r="AX51" i="23"/>
  <c r="AX47" i="23"/>
  <c r="BA51" i="23"/>
  <c r="BA47" i="23"/>
  <c r="AX53" i="21"/>
  <c r="AZ51" i="19"/>
  <c r="AW51" i="19"/>
  <c r="AU51" i="3"/>
  <c r="AX51" i="3"/>
  <c r="AP50" i="18"/>
  <c r="AM50" i="18"/>
  <c r="AX46" i="23"/>
  <c r="AX52" i="23"/>
  <c r="AX49" i="23"/>
  <c r="AI52" i="22"/>
  <c r="BA46" i="23"/>
  <c r="BD48" i="23"/>
  <c r="AL51" i="22"/>
  <c r="AL47" i="22"/>
  <c r="AI51" i="22"/>
  <c r="AI47" i="22"/>
  <c r="AT51" i="19"/>
  <c r="AL49" i="22"/>
  <c r="AI46" i="22"/>
  <c r="BA53" i="23"/>
  <c r="BA48" i="23"/>
  <c r="BD46" i="23"/>
  <c r="AU51" i="23"/>
  <c r="AU47" i="23"/>
  <c r="AO51" i="22"/>
  <c r="AO47" i="22"/>
  <c r="BD51" i="23"/>
  <c r="BD47" i="23"/>
  <c r="BD53" i="21"/>
  <c r="AQ51" i="20"/>
  <c r="AU46" i="23"/>
  <c r="AU49" i="23"/>
  <c r="AR48" i="22"/>
  <c r="AR50" i="22"/>
  <c r="AR46" i="22"/>
  <c r="AX50" i="23"/>
  <c r="AL48" i="22"/>
  <c r="BA50" i="23"/>
  <c r="BA52" i="23"/>
  <c r="AO48" i="22"/>
  <c r="BD51" i="21"/>
  <c r="BA51" i="3"/>
  <c r="AU48" i="23"/>
  <c r="AU52" i="23"/>
  <c r="AR53" i="22"/>
  <c r="AR49" i="22"/>
  <c r="AR52" i="22"/>
  <c r="AL52" i="22"/>
  <c r="AL46" i="22"/>
  <c r="AI48" i="22"/>
  <c r="AV50" i="18"/>
  <c r="BD52" i="23"/>
  <c r="BD50" i="23"/>
  <c r="AQ53" i="19"/>
  <c r="AP51" i="18"/>
  <c r="AV49" i="18"/>
  <c r="AP49" i="18"/>
  <c r="AM49" i="18"/>
  <c r="AS49" i="18"/>
  <c r="AM51" i="18"/>
  <c r="AM47" i="18"/>
  <c r="AV51" i="18"/>
  <c r="AV47" i="18"/>
  <c r="AS51" i="18"/>
  <c r="AS47" i="18"/>
  <c r="AP47" i="18"/>
  <c r="AS48" i="18"/>
  <c r="AV48" i="18"/>
  <c r="AP48" i="18"/>
  <c r="AS46" i="18"/>
  <c r="AV46" i="18"/>
  <c r="AM46" i="18"/>
  <c r="AS52" i="18"/>
  <c r="AM52" i="18"/>
  <c r="AP52" i="18"/>
  <c r="AP53" i="18"/>
  <c r="AR5" i="22"/>
  <c r="AR70" i="22" s="1"/>
  <c r="BD5" i="23"/>
  <c r="BD70" i="23" s="1"/>
  <c r="AP5" i="18"/>
  <c r="AP70" i="18" s="1"/>
  <c r="AW18" i="18"/>
  <c r="AW7" i="18"/>
  <c r="AW12" i="18"/>
  <c r="AW27" i="18"/>
  <c r="AW39" i="18"/>
  <c r="AW29" i="18"/>
  <c r="AW19" i="18"/>
  <c r="AW13" i="18"/>
  <c r="AW43" i="18"/>
  <c r="AW9" i="18"/>
  <c r="AW32" i="18"/>
  <c r="AW17" i="18"/>
  <c r="AW33" i="18"/>
  <c r="AW10" i="18"/>
  <c r="AW31" i="18"/>
  <c r="AW30" i="18"/>
  <c r="AW41" i="18"/>
  <c r="AW45" i="18"/>
  <c r="AW34" i="18"/>
  <c r="AW36" i="18"/>
  <c r="AW42" i="18"/>
  <c r="AW35" i="18"/>
  <c r="AW28" i="18"/>
  <c r="AW24" i="18"/>
  <c r="AW6" i="18"/>
  <c r="AW40" i="18"/>
  <c r="AW38" i="18"/>
  <c r="AW15" i="18"/>
  <c r="AW8" i="18"/>
  <c r="AW26" i="18"/>
  <c r="AW44" i="18"/>
  <c r="AW22" i="18"/>
  <c r="AW16" i="18"/>
  <c r="AW11" i="18"/>
  <c r="AW21" i="18"/>
  <c r="AW25" i="18"/>
  <c r="AW3" i="18"/>
  <c r="AW20" i="18"/>
  <c r="AW14" i="18"/>
  <c r="AW23" i="18"/>
  <c r="AW37" i="18"/>
  <c r="AP19" i="22"/>
  <c r="AP7" i="22"/>
  <c r="AP33" i="22"/>
  <c r="AP26" i="22"/>
  <c r="AP36" i="22"/>
  <c r="AP31" i="22"/>
  <c r="AP35" i="22"/>
  <c r="AP32" i="22"/>
  <c r="AP34" i="22"/>
  <c r="AP42" i="22"/>
  <c r="AP8" i="22"/>
  <c r="AP13" i="22"/>
  <c r="AP24" i="22"/>
  <c r="AP44" i="22"/>
  <c r="AP41" i="22"/>
  <c r="AP12" i="22"/>
  <c r="AP23" i="22"/>
  <c r="AP22" i="22"/>
  <c r="AP6" i="22"/>
  <c r="AP16" i="22"/>
  <c r="AP14" i="22"/>
  <c r="AP29" i="22"/>
  <c r="AP10" i="22"/>
  <c r="AP30" i="22"/>
  <c r="AP27" i="22"/>
  <c r="AP18" i="22"/>
  <c r="AP9" i="22"/>
  <c r="AP28" i="22"/>
  <c r="AP15" i="22"/>
  <c r="AP17" i="22"/>
  <c r="AP3" i="22"/>
  <c r="AP20" i="22"/>
  <c r="AP25" i="22"/>
  <c r="AP43" i="22"/>
  <c r="AP40" i="22"/>
  <c r="AP21" i="22"/>
  <c r="AP11" i="22"/>
  <c r="AP39" i="22"/>
  <c r="AP37" i="22"/>
  <c r="AP38" i="22"/>
  <c r="AP45" i="22"/>
  <c r="BB41" i="23"/>
  <c r="BB30" i="23"/>
  <c r="BB25" i="23"/>
  <c r="BB38" i="23"/>
  <c r="BB44" i="23"/>
  <c r="BB37" i="23"/>
  <c r="BB11" i="23"/>
  <c r="BB10" i="23"/>
  <c r="BB32" i="23"/>
  <c r="BB36" i="23"/>
  <c r="BB29" i="23"/>
  <c r="BB6" i="23"/>
  <c r="BB13" i="23"/>
  <c r="BB12" i="23"/>
  <c r="BB39" i="23"/>
  <c r="BB21" i="23"/>
  <c r="BB23" i="23"/>
  <c r="BB42" i="23"/>
  <c r="BB26" i="23"/>
  <c r="BB40" i="23"/>
  <c r="BB22" i="23"/>
  <c r="BB3" i="23"/>
  <c r="BB17" i="23"/>
  <c r="BB43" i="23"/>
  <c r="BB35" i="23"/>
  <c r="BB7" i="23"/>
  <c r="BB19" i="23"/>
  <c r="BB34" i="23"/>
  <c r="BB28" i="23"/>
  <c r="BB18" i="23"/>
  <c r="BB9" i="23"/>
  <c r="BB45" i="23"/>
  <c r="BB15" i="23"/>
  <c r="BB8" i="23"/>
  <c r="BB24" i="23"/>
  <c r="BB31" i="23"/>
  <c r="BB16" i="23"/>
  <c r="BB20" i="23"/>
  <c r="BB14" i="23"/>
  <c r="BB33" i="23"/>
  <c r="BB27" i="23"/>
  <c r="AU5" i="23"/>
  <c r="AU70" i="23" s="1"/>
  <c r="AM16" i="22"/>
  <c r="AM29" i="22"/>
  <c r="AM31" i="22"/>
  <c r="AM39" i="22"/>
  <c r="AM30" i="22"/>
  <c r="AM12" i="22"/>
  <c r="AM17" i="22"/>
  <c r="AM32" i="22"/>
  <c r="AM43" i="22"/>
  <c r="AM15" i="22"/>
  <c r="AM6" i="22"/>
  <c r="AM18" i="22"/>
  <c r="AM26" i="22"/>
  <c r="AM40" i="22"/>
  <c r="AM21" i="22"/>
  <c r="AM11" i="22"/>
  <c r="AM33" i="22"/>
  <c r="AM35" i="22"/>
  <c r="AM27" i="22"/>
  <c r="AM19" i="22"/>
  <c r="AM9" i="22"/>
  <c r="AM23" i="22"/>
  <c r="AM13" i="22"/>
  <c r="AM38" i="22"/>
  <c r="AM41" i="22"/>
  <c r="AM8" i="22"/>
  <c r="AM24" i="22"/>
  <c r="AM37" i="22"/>
  <c r="AM42" i="22"/>
  <c r="AM45" i="22"/>
  <c r="AM25" i="22"/>
  <c r="AM10" i="22"/>
  <c r="AM22" i="22"/>
  <c r="AM36" i="22"/>
  <c r="AM20" i="22"/>
  <c r="AM34" i="22"/>
  <c r="AM28" i="22"/>
  <c r="AM7" i="22"/>
  <c r="AM44" i="22"/>
  <c r="AM14" i="22"/>
  <c r="AZ16" i="18"/>
  <c r="AZ20" i="18"/>
  <c r="AZ32" i="18"/>
  <c r="AZ28" i="18"/>
  <c r="AZ36" i="18"/>
  <c r="AZ25" i="18"/>
  <c r="AZ3" i="18"/>
  <c r="AZ43" i="18"/>
  <c r="AZ8" i="18"/>
  <c r="AZ37" i="18"/>
  <c r="AZ35" i="18"/>
  <c r="AZ19" i="18"/>
  <c r="AZ7" i="18"/>
  <c r="AZ34" i="18"/>
  <c r="AZ27" i="18"/>
  <c r="AZ22" i="18"/>
  <c r="AZ29" i="18"/>
  <c r="AZ23" i="18"/>
  <c r="AZ18" i="18"/>
  <c r="AZ33" i="18"/>
  <c r="AZ26" i="18"/>
  <c r="AZ14" i="18"/>
  <c r="AZ38" i="18"/>
  <c r="AZ17" i="18"/>
  <c r="AZ13" i="18"/>
  <c r="AZ10" i="18"/>
  <c r="AZ40" i="18"/>
  <c r="AZ24" i="18"/>
  <c r="BC3" i="18"/>
  <c r="AZ45" i="18"/>
  <c r="AZ41" i="18"/>
  <c r="AZ11" i="18"/>
  <c r="AZ6" i="18"/>
  <c r="AZ9" i="18"/>
  <c r="AZ39" i="18"/>
  <c r="AZ44" i="18"/>
  <c r="AZ12" i="18"/>
  <c r="AZ30" i="18"/>
  <c r="AZ21" i="18"/>
  <c r="AZ15" i="18"/>
  <c r="AZ42" i="18"/>
  <c r="AZ31" i="18"/>
  <c r="BA5" i="23"/>
  <c r="BA70" i="23" s="1"/>
  <c r="AT17" i="18"/>
  <c r="AT41" i="18"/>
  <c r="AT10" i="18"/>
  <c r="AT9" i="18"/>
  <c r="AT24" i="18"/>
  <c r="AT33" i="18"/>
  <c r="AT30" i="18"/>
  <c r="AT15" i="18"/>
  <c r="AT40" i="18"/>
  <c r="AT21" i="18"/>
  <c r="AT31" i="18"/>
  <c r="AT42" i="18"/>
  <c r="AT36" i="18"/>
  <c r="AT16" i="18"/>
  <c r="AT11" i="18"/>
  <c r="AT28" i="18"/>
  <c r="AT23" i="18"/>
  <c r="AT39" i="18"/>
  <c r="AT25" i="18"/>
  <c r="AT29" i="18"/>
  <c r="AT3" i="18"/>
  <c r="AT34" i="18"/>
  <c r="AT8" i="18"/>
  <c r="AT37" i="18"/>
  <c r="AT38" i="18"/>
  <c r="AT19" i="18"/>
  <c r="AT12" i="18"/>
  <c r="AT7" i="18"/>
  <c r="AT27" i="18"/>
  <c r="AT14" i="18"/>
  <c r="AT18" i="18"/>
  <c r="AT20" i="18"/>
  <c r="AT26" i="18"/>
  <c r="AT32" i="18"/>
  <c r="AT44" i="18"/>
  <c r="AT43" i="18"/>
  <c r="AT22" i="18"/>
  <c r="AT6" i="18"/>
  <c r="AT45" i="18"/>
  <c r="AT13" i="18"/>
  <c r="AT35" i="18"/>
  <c r="AY21" i="23"/>
  <c r="AY11" i="23"/>
  <c r="AY8" i="23"/>
  <c r="AY9" i="23"/>
  <c r="AY39" i="23"/>
  <c r="AY16" i="23"/>
  <c r="AY20" i="23"/>
  <c r="AY13" i="23"/>
  <c r="AY12" i="23"/>
  <c r="AY22" i="23"/>
  <c r="AY18" i="23"/>
  <c r="AY42" i="23"/>
  <c r="AY26" i="23"/>
  <c r="AY24" i="23"/>
  <c r="AY23" i="23"/>
  <c r="AY45" i="23"/>
  <c r="AY6" i="23"/>
  <c r="AY35" i="23"/>
  <c r="AY30" i="23"/>
  <c r="AY36" i="23"/>
  <c r="AY34" i="23"/>
  <c r="AY43" i="23"/>
  <c r="AY10" i="23"/>
  <c r="AY17" i="23"/>
  <c r="AY44" i="23"/>
  <c r="AY41" i="23"/>
  <c r="AY15" i="23"/>
  <c r="AY38" i="23"/>
  <c r="AY31" i="23"/>
  <c r="AY25" i="23"/>
  <c r="AY37" i="23"/>
  <c r="AY32" i="23"/>
  <c r="AY7" i="23"/>
  <c r="AY14" i="23"/>
  <c r="AY33" i="23"/>
  <c r="AY19" i="23"/>
  <c r="AY28" i="23"/>
  <c r="AY29" i="23"/>
  <c r="AY40" i="23"/>
  <c r="AY27" i="23"/>
  <c r="AI5" i="22"/>
  <c r="AI70" i="22" s="1"/>
  <c r="AV5" i="18"/>
  <c r="AV70" i="18" s="1"/>
  <c r="AS5" i="18"/>
  <c r="AS70" i="18" s="1"/>
  <c r="AV34" i="22"/>
  <c r="AV42" i="22"/>
  <c r="AV43" i="22"/>
  <c r="AV22" i="22"/>
  <c r="AV6" i="22"/>
  <c r="AV45" i="22"/>
  <c r="AV31" i="22"/>
  <c r="AV26" i="22"/>
  <c r="AV15" i="22"/>
  <c r="AV27" i="22"/>
  <c r="AV33" i="22"/>
  <c r="AY3" i="22"/>
  <c r="AV41" i="22"/>
  <c r="AV29" i="22"/>
  <c r="AV28" i="22"/>
  <c r="AV38" i="22"/>
  <c r="AV35" i="22"/>
  <c r="AV25" i="22"/>
  <c r="AV3" i="22"/>
  <c r="AV17" i="22"/>
  <c r="AV32" i="22"/>
  <c r="AV39" i="22"/>
  <c r="AV14" i="22"/>
  <c r="AV21" i="22"/>
  <c r="AV11" i="22"/>
  <c r="AV9" i="22"/>
  <c r="AV23" i="22"/>
  <c r="AV37" i="22"/>
  <c r="AV19" i="22"/>
  <c r="AV20" i="22"/>
  <c r="AV8" i="22"/>
  <c r="AV13" i="22"/>
  <c r="AV44" i="22"/>
  <c r="AV40" i="22"/>
  <c r="AV16" i="22"/>
  <c r="AV12" i="22"/>
  <c r="AV7" i="22"/>
  <c r="AV30" i="22"/>
  <c r="AV36" i="22"/>
  <c r="AV18" i="22"/>
  <c r="AV24" i="22"/>
  <c r="AV10" i="22"/>
  <c r="AX5" i="23"/>
  <c r="AX70" i="23" s="1"/>
  <c r="AO5" i="22"/>
  <c r="AO70" i="22" s="1"/>
  <c r="BH41" i="23"/>
  <c r="BH20" i="23"/>
  <c r="BH18" i="23"/>
  <c r="BH33" i="23"/>
  <c r="BH31" i="23"/>
  <c r="BH16" i="23"/>
  <c r="BH15" i="23"/>
  <c r="BH35" i="23"/>
  <c r="BH30" i="23"/>
  <c r="BH50" i="23" s="1"/>
  <c r="BH22" i="23"/>
  <c r="BH23" i="23"/>
  <c r="BH26" i="23"/>
  <c r="BH6" i="23"/>
  <c r="BH13" i="23"/>
  <c r="BH27" i="23"/>
  <c r="BH14" i="23"/>
  <c r="BH45" i="23"/>
  <c r="BH42" i="23"/>
  <c r="BH24" i="23"/>
  <c r="BH38" i="23"/>
  <c r="BH44" i="23"/>
  <c r="BH10" i="23"/>
  <c r="BH19" i="23"/>
  <c r="BH37" i="23"/>
  <c r="BH43" i="23"/>
  <c r="BK3" i="23"/>
  <c r="BH28" i="23"/>
  <c r="BH39" i="23"/>
  <c r="BH25" i="23"/>
  <c r="BH9" i="23"/>
  <c r="BH12" i="23"/>
  <c r="BH3" i="23"/>
  <c r="BH34" i="23"/>
  <c r="BH8" i="23"/>
  <c r="BH32" i="23"/>
  <c r="BH40" i="23"/>
  <c r="BH21" i="23"/>
  <c r="BH11" i="23"/>
  <c r="BH29" i="23"/>
  <c r="BH7" i="23"/>
  <c r="BH36" i="23"/>
  <c r="BH17" i="23"/>
  <c r="AM5" i="18"/>
  <c r="AM70" i="18" s="1"/>
  <c r="AS16" i="22"/>
  <c r="AS20" i="22"/>
  <c r="AS7" i="22"/>
  <c r="AS39" i="22"/>
  <c r="AS14" i="22"/>
  <c r="AS45" i="22"/>
  <c r="AS17" i="22"/>
  <c r="AS11" i="22"/>
  <c r="AS8" i="22"/>
  <c r="AS13" i="22"/>
  <c r="AS44" i="22"/>
  <c r="AS41" i="22"/>
  <c r="AS9" i="22"/>
  <c r="AS26" i="22"/>
  <c r="AS36" i="22"/>
  <c r="AS10" i="22"/>
  <c r="AS40" i="22"/>
  <c r="AS18" i="22"/>
  <c r="AS34" i="22"/>
  <c r="AS28" i="22"/>
  <c r="AS43" i="22"/>
  <c r="AS22" i="22"/>
  <c r="AS6" i="22"/>
  <c r="AS21" i="22"/>
  <c r="AS38" i="22"/>
  <c r="AS31" i="22"/>
  <c r="AS30" i="22"/>
  <c r="AS25" i="22"/>
  <c r="AS3" i="22"/>
  <c r="AS29" i="22"/>
  <c r="AS33" i="22"/>
  <c r="AS35" i="22"/>
  <c r="AS15" i="22"/>
  <c r="AS42" i="22"/>
  <c r="AS27" i="22"/>
  <c r="AS19" i="22"/>
  <c r="AS32" i="22"/>
  <c r="AS12" i="22"/>
  <c r="AS37" i="22"/>
  <c r="AS24" i="22"/>
  <c r="AS23" i="22"/>
  <c r="BE21" i="23"/>
  <c r="BE43" i="23"/>
  <c r="BE18" i="23"/>
  <c r="BE27" i="23"/>
  <c r="BE33" i="23"/>
  <c r="BE34" i="23"/>
  <c r="BE12" i="23"/>
  <c r="BE37" i="23"/>
  <c r="BE40" i="23"/>
  <c r="BE25" i="23"/>
  <c r="BE24" i="23"/>
  <c r="BE22" i="23"/>
  <c r="BE41" i="23"/>
  <c r="BE6" i="23"/>
  <c r="BE35" i="23"/>
  <c r="BE36" i="23"/>
  <c r="BE31" i="23"/>
  <c r="BE28" i="23"/>
  <c r="BE11" i="23"/>
  <c r="BE14" i="23"/>
  <c r="BE17" i="23"/>
  <c r="BE23" i="23"/>
  <c r="BE13" i="23"/>
  <c r="BE3" i="23"/>
  <c r="BE20" i="23"/>
  <c r="BE8" i="23"/>
  <c r="BE32" i="23"/>
  <c r="BE30" i="23"/>
  <c r="BE19" i="23"/>
  <c r="BE16" i="23"/>
  <c r="BE15" i="23"/>
  <c r="BE29" i="23"/>
  <c r="BE38" i="23"/>
  <c r="BE9" i="23"/>
  <c r="BE44" i="23"/>
  <c r="BE45" i="23"/>
  <c r="BE42" i="23"/>
  <c r="BE26" i="23"/>
  <c r="BE7" i="23"/>
  <c r="BE39" i="23"/>
  <c r="BE10" i="23"/>
  <c r="AQ27" i="18"/>
  <c r="AQ11" i="18"/>
  <c r="AQ12" i="18"/>
  <c r="AQ40" i="18"/>
  <c r="AQ32" i="18"/>
  <c r="AQ26" i="18"/>
  <c r="AQ34" i="18"/>
  <c r="AQ8" i="18"/>
  <c r="AQ38" i="18"/>
  <c r="AQ39" i="18"/>
  <c r="AQ28" i="18"/>
  <c r="AQ45" i="18"/>
  <c r="AQ22" i="18"/>
  <c r="AQ43" i="18"/>
  <c r="AQ9" i="18"/>
  <c r="AQ24" i="18"/>
  <c r="AQ19" i="18"/>
  <c r="AQ41" i="18"/>
  <c r="AQ33" i="18"/>
  <c r="AQ35" i="18"/>
  <c r="AQ14" i="18"/>
  <c r="AQ25" i="18"/>
  <c r="AQ17" i="18"/>
  <c r="AQ37" i="18"/>
  <c r="AQ13" i="18"/>
  <c r="AQ10" i="18"/>
  <c r="AQ31" i="18"/>
  <c r="AQ44" i="18"/>
  <c r="AQ16" i="18"/>
  <c r="AQ29" i="18"/>
  <c r="AQ42" i="18"/>
  <c r="AQ21" i="18"/>
  <c r="AQ36" i="18"/>
  <c r="AQ15" i="18"/>
  <c r="AQ6" i="18"/>
  <c r="AQ18" i="18"/>
  <c r="AQ20" i="18"/>
  <c r="AQ30" i="18"/>
  <c r="AQ7" i="18"/>
  <c r="AQ23" i="18"/>
  <c r="AL5" i="22"/>
  <c r="AL70" i="22" s="1"/>
  <c r="AZ53" i="20"/>
  <c r="AX53" i="3"/>
  <c r="AQ53" i="20"/>
  <c r="AT50" i="20"/>
  <c r="AW47" i="20"/>
  <c r="AU47" i="3"/>
  <c r="AX47" i="21"/>
  <c r="AU50" i="21"/>
  <c r="BA53" i="21"/>
  <c r="AX48" i="21"/>
  <c r="BA46" i="21"/>
  <c r="AZ53" i="19"/>
  <c r="AW53" i="19"/>
  <c r="BD53" i="3"/>
  <c r="AT48" i="19"/>
  <c r="BD50" i="21"/>
  <c r="AX50" i="3"/>
  <c r="AU53" i="21"/>
  <c r="AZ47" i="20"/>
  <c r="AU48" i="3"/>
  <c r="AU50" i="3"/>
  <c r="BA53" i="3"/>
  <c r="BD50" i="3"/>
  <c r="AW50" i="19"/>
  <c r="AT53" i="20"/>
  <c r="AX48" i="3"/>
  <c r="AT48" i="20"/>
  <c r="AQ47" i="19"/>
  <c r="AW48" i="20"/>
  <c r="AW49" i="20"/>
  <c r="BA50" i="3"/>
  <c r="AX47" i="3"/>
  <c r="AX46" i="21"/>
  <c r="AZ50" i="20"/>
  <c r="AT46" i="20"/>
  <c r="AX50" i="21"/>
  <c r="BA48" i="21"/>
  <c r="AW53" i="20"/>
  <c r="AQ50" i="20"/>
  <c r="AU53" i="3"/>
  <c r="AT53" i="19"/>
  <c r="AU46" i="21"/>
  <c r="AT46" i="19"/>
  <c r="AQ46" i="20"/>
  <c r="AQ46" i="19"/>
  <c r="AZ46" i="20"/>
  <c r="AU52" i="3"/>
  <c r="AU5" i="3"/>
  <c r="BA49" i="3"/>
  <c r="AM70" i="20"/>
  <c r="AX49" i="3"/>
  <c r="AV70" i="20"/>
  <c r="AW46" i="19"/>
  <c r="AW70" i="21"/>
  <c r="BD46" i="3"/>
  <c r="BH12" i="3"/>
  <c r="BH19" i="3"/>
  <c r="BH16" i="3"/>
  <c r="BH8" i="3"/>
  <c r="BK3" i="3"/>
  <c r="BH20" i="3"/>
  <c r="BH3" i="3"/>
  <c r="BH17" i="3"/>
  <c r="BH21" i="3"/>
  <c r="BH18" i="3"/>
  <c r="BH24" i="3"/>
  <c r="BH29" i="3"/>
  <c r="BH39" i="3"/>
  <c r="BH41" i="3"/>
  <c r="BH34" i="3"/>
  <c r="BH45" i="3"/>
  <c r="BH11" i="3"/>
  <c r="BH6" i="3"/>
  <c r="BH10" i="3"/>
  <c r="BH43" i="3"/>
  <c r="BH13" i="3"/>
  <c r="BH9" i="3"/>
  <c r="BH35" i="3"/>
  <c r="BH15" i="3"/>
  <c r="BH36" i="3"/>
  <c r="BH44" i="3"/>
  <c r="BH40" i="3"/>
  <c r="BH28" i="3"/>
  <c r="BH32" i="3"/>
  <c r="BH30" i="3"/>
  <c r="BH7" i="3"/>
  <c r="BH31" i="3"/>
  <c r="BH25" i="3"/>
  <c r="BH42" i="3"/>
  <c r="BH14" i="3"/>
  <c r="BH23" i="3"/>
  <c r="BH27" i="3"/>
  <c r="BH37" i="3"/>
  <c r="BH33" i="3"/>
  <c r="BH38" i="3"/>
  <c r="BH26" i="3"/>
  <c r="BH22" i="3"/>
  <c r="AX52" i="3"/>
  <c r="AX5" i="3"/>
  <c r="AQ70" i="3"/>
  <c r="AT52" i="20"/>
  <c r="AT5" i="20"/>
  <c r="BD5" i="21"/>
  <c r="BD52" i="21"/>
  <c r="AY21" i="21"/>
  <c r="AY45" i="21"/>
  <c r="AY26" i="21"/>
  <c r="AY19" i="21"/>
  <c r="AY20" i="21"/>
  <c r="AY16" i="21"/>
  <c r="AY17" i="21"/>
  <c r="AY41" i="21"/>
  <c r="AY11" i="21"/>
  <c r="AY42" i="21"/>
  <c r="AY34" i="21"/>
  <c r="AY9" i="21"/>
  <c r="AY32" i="21"/>
  <c r="AY12" i="21"/>
  <c r="AY33" i="21"/>
  <c r="AY8" i="21"/>
  <c r="AY7" i="21"/>
  <c r="AY30" i="21"/>
  <c r="AY38" i="21"/>
  <c r="AY37" i="21"/>
  <c r="AY6" i="21"/>
  <c r="AY28" i="21"/>
  <c r="AY39" i="21"/>
  <c r="AY24" i="21"/>
  <c r="AY44" i="21"/>
  <c r="AY22" i="21"/>
  <c r="AY40" i="21"/>
  <c r="AY15" i="21"/>
  <c r="AY31" i="21"/>
  <c r="AY18" i="21"/>
  <c r="AY10" i="21"/>
  <c r="AY43" i="21"/>
  <c r="AY13" i="21"/>
  <c r="AY25" i="21"/>
  <c r="AY23" i="21"/>
  <c r="AY29" i="21"/>
  <c r="AY27" i="21"/>
  <c r="AY35" i="21"/>
  <c r="AY14" i="21"/>
  <c r="AY36" i="21"/>
  <c r="BD47" i="21"/>
  <c r="BA49" i="21"/>
  <c r="BA5" i="21"/>
  <c r="BA52" i="21"/>
  <c r="AZ49" i="19"/>
  <c r="AW46" i="20"/>
  <c r="AT52" i="19"/>
  <c r="AT5" i="19"/>
  <c r="AZ70" i="21"/>
  <c r="AV70" i="19"/>
  <c r="AU47" i="21"/>
  <c r="BD46" i="21"/>
  <c r="AU16" i="19"/>
  <c r="AU21" i="19"/>
  <c r="AU45" i="19"/>
  <c r="AU37" i="19"/>
  <c r="AU33" i="19"/>
  <c r="AU28" i="19"/>
  <c r="AU34" i="19"/>
  <c r="AU25" i="19"/>
  <c r="AU11" i="19"/>
  <c r="AU15" i="19"/>
  <c r="AU27" i="19"/>
  <c r="AU43" i="19"/>
  <c r="AU40" i="19"/>
  <c r="AU38" i="19"/>
  <c r="AU6" i="19"/>
  <c r="AU8" i="19"/>
  <c r="AU42" i="19"/>
  <c r="AU19" i="19"/>
  <c r="AU7" i="19"/>
  <c r="AU26" i="19"/>
  <c r="AU29" i="19"/>
  <c r="AU10" i="19"/>
  <c r="AU32" i="19"/>
  <c r="AU13" i="19"/>
  <c r="AU14" i="19"/>
  <c r="AU17" i="19"/>
  <c r="AU12" i="19"/>
  <c r="AU9" i="19"/>
  <c r="AU35" i="19"/>
  <c r="AU39" i="19"/>
  <c r="AU18" i="19"/>
  <c r="AU41" i="19"/>
  <c r="AU20" i="19"/>
  <c r="AU44" i="19"/>
  <c r="AU30" i="19"/>
  <c r="AU36" i="19"/>
  <c r="AU23" i="19"/>
  <c r="AU31" i="19"/>
  <c r="AU24" i="19"/>
  <c r="AU22" i="19"/>
  <c r="AU41" i="20"/>
  <c r="AU21" i="20"/>
  <c r="AU16" i="20"/>
  <c r="AU30" i="20"/>
  <c r="AU19" i="20"/>
  <c r="AU24" i="20"/>
  <c r="AU42" i="20"/>
  <c r="AU37" i="20"/>
  <c r="AU45" i="20"/>
  <c r="AU29" i="20"/>
  <c r="AU17" i="20"/>
  <c r="AU28" i="20"/>
  <c r="AU43" i="20"/>
  <c r="AU40" i="20"/>
  <c r="AU8" i="20"/>
  <c r="AU9" i="20"/>
  <c r="AU18" i="20"/>
  <c r="AU34" i="20"/>
  <c r="AU14" i="20"/>
  <c r="AU13" i="20"/>
  <c r="AU32" i="20"/>
  <c r="AU39" i="20"/>
  <c r="AU7" i="20"/>
  <c r="AU15" i="20"/>
  <c r="AU10" i="20"/>
  <c r="AU25" i="20"/>
  <c r="AU26" i="20"/>
  <c r="AU12" i="20"/>
  <c r="AU20" i="20"/>
  <c r="AU11" i="20"/>
  <c r="AU31" i="20"/>
  <c r="AU33" i="20"/>
  <c r="AU36" i="20"/>
  <c r="AU35" i="20"/>
  <c r="AU6" i="20"/>
  <c r="AU23" i="20"/>
  <c r="AU44" i="20"/>
  <c r="AU38" i="20"/>
  <c r="AU22" i="20"/>
  <c r="AU27" i="20"/>
  <c r="AX41" i="20"/>
  <c r="AX21" i="20"/>
  <c r="AX16" i="20"/>
  <c r="AX3" i="20"/>
  <c r="AX19" i="20"/>
  <c r="AX17" i="20"/>
  <c r="AX34" i="20"/>
  <c r="AX30" i="20"/>
  <c r="AX45" i="20"/>
  <c r="AX37" i="20"/>
  <c r="AX32" i="20"/>
  <c r="AX40" i="20"/>
  <c r="AX29" i="20"/>
  <c r="AX18" i="20"/>
  <c r="AX8" i="20"/>
  <c r="AX39" i="20"/>
  <c r="AX9" i="20"/>
  <c r="AX14" i="20"/>
  <c r="AX28" i="20"/>
  <c r="AX15" i="20"/>
  <c r="AX13" i="20"/>
  <c r="AX24" i="20"/>
  <c r="AX43" i="20"/>
  <c r="AX10" i="20"/>
  <c r="AX7" i="20"/>
  <c r="AX11" i="20"/>
  <c r="AX20" i="20"/>
  <c r="AX12" i="20"/>
  <c r="AX35" i="20"/>
  <c r="AX36" i="20"/>
  <c r="AX33" i="20"/>
  <c r="AX31" i="20"/>
  <c r="AX23" i="20"/>
  <c r="AX38" i="20"/>
  <c r="AX42" i="20"/>
  <c r="AX6" i="20"/>
  <c r="AX26" i="20"/>
  <c r="AX44" i="20"/>
  <c r="AX27" i="20"/>
  <c r="AX22" i="20"/>
  <c r="AX25" i="20"/>
  <c r="AQ5" i="19"/>
  <c r="AQ52" i="19"/>
  <c r="AQ50" i="19"/>
  <c r="AQ48" i="19"/>
  <c r="AU49" i="21"/>
  <c r="BD48" i="21"/>
  <c r="AZ48" i="19"/>
  <c r="AW47" i="19"/>
  <c r="AU46" i="3"/>
  <c r="AU49" i="3"/>
  <c r="AS70" i="20"/>
  <c r="BA46" i="3"/>
  <c r="AY19" i="3"/>
  <c r="AY16" i="3"/>
  <c r="AY36" i="3"/>
  <c r="AY8" i="3"/>
  <c r="AY12" i="3"/>
  <c r="AY18" i="3"/>
  <c r="AY20" i="3"/>
  <c r="AY24" i="3"/>
  <c r="AY37" i="3"/>
  <c r="AY17" i="3"/>
  <c r="AY21" i="3"/>
  <c r="AY29" i="3"/>
  <c r="AY45" i="3"/>
  <c r="AY33" i="3"/>
  <c r="AY41" i="3"/>
  <c r="AY39" i="3"/>
  <c r="AY35" i="3"/>
  <c r="AY28" i="3"/>
  <c r="AY40" i="3"/>
  <c r="AY43" i="3"/>
  <c r="AY11" i="3"/>
  <c r="AY42" i="3"/>
  <c r="AY13" i="3"/>
  <c r="AY10" i="3"/>
  <c r="AY6" i="3"/>
  <c r="AY31" i="3"/>
  <c r="AY25" i="3"/>
  <c r="AY15" i="3"/>
  <c r="AY9" i="3"/>
  <c r="AY7" i="3"/>
  <c r="AY32" i="3"/>
  <c r="AY44" i="3"/>
  <c r="AY26" i="3"/>
  <c r="AY22" i="3"/>
  <c r="AY27" i="3"/>
  <c r="AY14" i="3"/>
  <c r="AY23" i="3"/>
  <c r="AY34" i="3"/>
  <c r="AY30" i="3"/>
  <c r="AY38" i="3"/>
  <c r="AW52" i="20"/>
  <c r="AW5" i="20"/>
  <c r="AU48" i="21"/>
  <c r="AM70" i="19"/>
  <c r="BA47" i="21"/>
  <c r="AZ52" i="19"/>
  <c r="AZ5" i="19"/>
  <c r="BB19" i="3"/>
  <c r="BB8" i="3"/>
  <c r="BB12" i="3"/>
  <c r="BB3" i="3"/>
  <c r="BB39" i="3"/>
  <c r="BB20" i="3"/>
  <c r="BB16" i="3"/>
  <c r="BB9" i="3"/>
  <c r="BB10" i="3"/>
  <c r="BB21" i="3"/>
  <c r="BB18" i="3"/>
  <c r="BB17" i="3"/>
  <c r="BB45" i="3"/>
  <c r="BB38" i="3"/>
  <c r="BB37" i="3"/>
  <c r="BB28" i="3"/>
  <c r="BB24" i="3"/>
  <c r="BB35" i="3"/>
  <c r="BB41" i="3"/>
  <c r="BB43" i="3"/>
  <c r="BB6" i="3"/>
  <c r="BB13" i="3"/>
  <c r="BB11" i="3"/>
  <c r="BB40" i="3"/>
  <c r="BB32" i="3"/>
  <c r="BB7" i="3"/>
  <c r="BB33" i="3"/>
  <c r="BB15" i="3"/>
  <c r="BB44" i="3"/>
  <c r="BB36" i="3"/>
  <c r="BB26" i="3"/>
  <c r="BB30" i="3"/>
  <c r="BB31" i="3"/>
  <c r="BB22" i="3"/>
  <c r="BB14" i="3"/>
  <c r="BB27" i="3"/>
  <c r="BB23" i="3"/>
  <c r="BB42" i="3"/>
  <c r="BB29" i="3"/>
  <c r="BB25" i="3"/>
  <c r="BB34" i="3"/>
  <c r="BD47" i="3"/>
  <c r="BD49" i="21"/>
  <c r="AZ46" i="19"/>
  <c r="AW50" i="20"/>
  <c r="AW48" i="19"/>
  <c r="AW49" i="19"/>
  <c r="AZ52" i="20"/>
  <c r="AZ5" i="20"/>
  <c r="BA47" i="3"/>
  <c r="BA48" i="3"/>
  <c r="AT47" i="20"/>
  <c r="AX46" i="3"/>
  <c r="AP70" i="19"/>
  <c r="AT70" i="3"/>
  <c r="AX5" i="21"/>
  <c r="AX52" i="21"/>
  <c r="BH21" i="21"/>
  <c r="BK3" i="21"/>
  <c r="BH3" i="21"/>
  <c r="BH19" i="21"/>
  <c r="BH34" i="21"/>
  <c r="BH45" i="21"/>
  <c r="BH11" i="21"/>
  <c r="BH26" i="21"/>
  <c r="BH25" i="21"/>
  <c r="BH16" i="21"/>
  <c r="BH20" i="21"/>
  <c r="BH41" i="21"/>
  <c r="BH17" i="21"/>
  <c r="BH42" i="21"/>
  <c r="BH12" i="21"/>
  <c r="BH33" i="21"/>
  <c r="BH9" i="21"/>
  <c r="BH28" i="21"/>
  <c r="BH7" i="21"/>
  <c r="BH8" i="21"/>
  <c r="BH27" i="21"/>
  <c r="BH24" i="21"/>
  <c r="BH32" i="21"/>
  <c r="BH30" i="21"/>
  <c r="BH15" i="21"/>
  <c r="BH40" i="21"/>
  <c r="BH6" i="21"/>
  <c r="BH22" i="21"/>
  <c r="BH31" i="21"/>
  <c r="BH13" i="21"/>
  <c r="BH44" i="21"/>
  <c r="BH37" i="21"/>
  <c r="BH18" i="21"/>
  <c r="BH38" i="21"/>
  <c r="BH39" i="21"/>
  <c r="BH36" i="21"/>
  <c r="BH35" i="21"/>
  <c r="BH29" i="21"/>
  <c r="BH23" i="21"/>
  <c r="BH14" i="21"/>
  <c r="BH43" i="21"/>
  <c r="BH10" i="21"/>
  <c r="BA50" i="21"/>
  <c r="AZ50" i="19"/>
  <c r="BA3" i="19"/>
  <c r="BA19" i="19"/>
  <c r="BA21" i="19"/>
  <c r="BA16" i="19"/>
  <c r="BA33" i="19"/>
  <c r="BA25" i="19"/>
  <c r="BA37" i="19"/>
  <c r="BA15" i="19"/>
  <c r="BA17" i="19"/>
  <c r="BA41" i="19"/>
  <c r="BA45" i="19"/>
  <c r="BA34" i="19"/>
  <c r="BA11" i="19"/>
  <c r="BA22" i="19"/>
  <c r="BA38" i="19"/>
  <c r="BA27" i="19"/>
  <c r="BA39" i="19"/>
  <c r="BA28" i="19"/>
  <c r="BA43" i="19"/>
  <c r="BA40" i="19"/>
  <c r="BA6" i="19"/>
  <c r="BA7" i="19"/>
  <c r="BA18" i="19"/>
  <c r="BA29" i="19"/>
  <c r="BA26" i="19"/>
  <c r="BA8" i="19"/>
  <c r="BA42" i="19"/>
  <c r="BA35" i="19"/>
  <c r="BA14" i="19"/>
  <c r="BA10" i="19"/>
  <c r="BA32" i="19"/>
  <c r="BA13" i="19"/>
  <c r="BA24" i="19"/>
  <c r="BA20" i="19"/>
  <c r="BA9" i="19"/>
  <c r="BA12" i="19"/>
  <c r="BA30" i="19"/>
  <c r="BA44" i="19"/>
  <c r="BA36" i="19"/>
  <c r="BA31" i="19"/>
  <c r="BA23" i="19"/>
  <c r="AW52" i="19"/>
  <c r="AW5" i="19"/>
  <c r="AZ48" i="20"/>
  <c r="AQ48" i="20"/>
  <c r="AW70" i="3"/>
  <c r="BD52" i="3"/>
  <c r="BD5" i="3"/>
  <c r="AT49" i="19"/>
  <c r="AU5" i="21"/>
  <c r="AU52" i="21"/>
  <c r="BE3" i="21"/>
  <c r="BE16" i="21"/>
  <c r="BE26" i="21"/>
  <c r="BE45" i="21"/>
  <c r="BE34" i="21"/>
  <c r="BE41" i="21"/>
  <c r="BE20" i="21"/>
  <c r="BE11" i="21"/>
  <c r="BE19" i="21"/>
  <c r="BE21" i="21"/>
  <c r="BE17" i="21"/>
  <c r="BE38" i="21"/>
  <c r="BE42" i="21"/>
  <c r="BE9" i="21"/>
  <c r="BE24" i="21"/>
  <c r="BE33" i="21"/>
  <c r="BE14" i="21"/>
  <c r="BE7" i="21"/>
  <c r="BE12" i="21"/>
  <c r="BE27" i="21"/>
  <c r="BE32" i="21"/>
  <c r="BE15" i="21"/>
  <c r="BE28" i="21"/>
  <c r="BE30" i="21"/>
  <c r="BE22" i="21"/>
  <c r="BE6" i="21"/>
  <c r="BE13" i="21"/>
  <c r="BE8" i="21"/>
  <c r="BE44" i="21"/>
  <c r="BE37" i="21"/>
  <c r="BE18" i="21"/>
  <c r="BE40" i="21"/>
  <c r="BE39" i="21"/>
  <c r="BE31" i="21"/>
  <c r="BE29" i="21"/>
  <c r="BE10" i="21"/>
  <c r="BE43" i="21"/>
  <c r="BE25" i="21"/>
  <c r="BE23" i="21"/>
  <c r="BE35" i="21"/>
  <c r="BE36" i="21"/>
  <c r="AZ47" i="19"/>
  <c r="BD3" i="19"/>
  <c r="BD19" i="19"/>
  <c r="BD16" i="19"/>
  <c r="BG3" i="19"/>
  <c r="BD21" i="19"/>
  <c r="BD27" i="19"/>
  <c r="BD15" i="19"/>
  <c r="BD41" i="19"/>
  <c r="BD34" i="19"/>
  <c r="BD45" i="19"/>
  <c r="BD37" i="19"/>
  <c r="BD28" i="19"/>
  <c r="BD43" i="19"/>
  <c r="BD38" i="19"/>
  <c r="BD11" i="19"/>
  <c r="BD7" i="19"/>
  <c r="BD40" i="19"/>
  <c r="BD6" i="19"/>
  <c r="BD33" i="19"/>
  <c r="BD42" i="19"/>
  <c r="BD8" i="19"/>
  <c r="BD29" i="19"/>
  <c r="BD26" i="19"/>
  <c r="BD18" i="19"/>
  <c r="BD25" i="19"/>
  <c r="BD32" i="19"/>
  <c r="BD10" i="19"/>
  <c r="BD14" i="19"/>
  <c r="BD36" i="19"/>
  <c r="BD13" i="19"/>
  <c r="BD12" i="19"/>
  <c r="BD9" i="19"/>
  <c r="BD35" i="19"/>
  <c r="BD20" i="19"/>
  <c r="BD30" i="19"/>
  <c r="BD44" i="19"/>
  <c r="BD39" i="19"/>
  <c r="BD17" i="19"/>
  <c r="BD31" i="19"/>
  <c r="BD24" i="19"/>
  <c r="BD23" i="19"/>
  <c r="BD22" i="19"/>
  <c r="AZ49" i="20"/>
  <c r="BD16" i="20"/>
  <c r="BG3" i="20"/>
  <c r="BD21" i="20"/>
  <c r="BD3" i="20"/>
  <c r="BD24" i="20"/>
  <c r="BD19" i="20"/>
  <c r="BD44" i="20"/>
  <c r="BD30" i="20"/>
  <c r="BD45" i="20"/>
  <c r="BD17" i="20"/>
  <c r="BD20" i="20"/>
  <c r="BD29" i="20"/>
  <c r="BD34" i="20"/>
  <c r="BD22" i="20"/>
  <c r="BD18" i="20"/>
  <c r="BD9" i="20"/>
  <c r="BD10" i="20"/>
  <c r="BD41" i="20"/>
  <c r="BD40" i="20"/>
  <c r="BD37" i="20"/>
  <c r="BD13" i="20"/>
  <c r="BD28" i="20"/>
  <c r="BD32" i="20"/>
  <c r="BD14" i="20"/>
  <c r="BD43" i="20"/>
  <c r="BD39" i="20"/>
  <c r="BD8" i="20"/>
  <c r="BD15" i="20"/>
  <c r="BD7" i="20"/>
  <c r="BD31" i="20"/>
  <c r="BD12" i="20"/>
  <c r="BD35" i="20"/>
  <c r="BD6" i="20"/>
  <c r="BD11" i="20"/>
  <c r="BD26" i="20"/>
  <c r="BD27" i="20"/>
  <c r="BD33" i="20"/>
  <c r="BD36" i="20"/>
  <c r="BD42" i="20"/>
  <c r="BD23" i="20"/>
  <c r="BD25" i="20"/>
  <c r="BD38" i="20"/>
  <c r="AS70" i="19"/>
  <c r="AQ49" i="20"/>
  <c r="BD48" i="3"/>
  <c r="BD49" i="3"/>
  <c r="BE20" i="3"/>
  <c r="BE8" i="3"/>
  <c r="BE12" i="3"/>
  <c r="BE16" i="3"/>
  <c r="BE3" i="3"/>
  <c r="BE18" i="3"/>
  <c r="BE19" i="3"/>
  <c r="BE17" i="3"/>
  <c r="BE33" i="3"/>
  <c r="BE13" i="3"/>
  <c r="BE21" i="3"/>
  <c r="BE24" i="3"/>
  <c r="BE35" i="3"/>
  <c r="BE39" i="3"/>
  <c r="BE34" i="3"/>
  <c r="BE38" i="3"/>
  <c r="BE40" i="3"/>
  <c r="BE37" i="3"/>
  <c r="BE45" i="3"/>
  <c r="BE31" i="3"/>
  <c r="BE29" i="3"/>
  <c r="BE36" i="3"/>
  <c r="BE28" i="3"/>
  <c r="BE11" i="3"/>
  <c r="BE43" i="3"/>
  <c r="BE9" i="3"/>
  <c r="BE42" i="3"/>
  <c r="BE6" i="3"/>
  <c r="BE10" i="3"/>
  <c r="BE7" i="3"/>
  <c r="BE32" i="3"/>
  <c r="BE44" i="3"/>
  <c r="BE15" i="3"/>
  <c r="BE22" i="3"/>
  <c r="BE27" i="3"/>
  <c r="BE41" i="3"/>
  <c r="BE14" i="3"/>
  <c r="BE23" i="3"/>
  <c r="BE25" i="3"/>
  <c r="BE26" i="3"/>
  <c r="BE30" i="3"/>
  <c r="AT50" i="19"/>
  <c r="AT47" i="19"/>
  <c r="AT49" i="20"/>
  <c r="AT70" i="21"/>
  <c r="AP70" i="20"/>
  <c r="AQ52" i="20"/>
  <c r="AQ5" i="20"/>
  <c r="AX49" i="21"/>
  <c r="AQ49" i="19"/>
  <c r="AZ70" i="3"/>
  <c r="BB3" i="21"/>
  <c r="BB19" i="21"/>
  <c r="BB17" i="21"/>
  <c r="BB41" i="21"/>
  <c r="BB18" i="21"/>
  <c r="BB45" i="21"/>
  <c r="BB20" i="21"/>
  <c r="BB21" i="21"/>
  <c r="BB16" i="21"/>
  <c r="BB26" i="21"/>
  <c r="BB27" i="21"/>
  <c r="BB11" i="21"/>
  <c r="BB28" i="21"/>
  <c r="BB34" i="21"/>
  <c r="BB42" i="21"/>
  <c r="BB9" i="21"/>
  <c r="BB33" i="21"/>
  <c r="BB12" i="21"/>
  <c r="BB6" i="21"/>
  <c r="BB40" i="21"/>
  <c r="BB32" i="21"/>
  <c r="BB7" i="21"/>
  <c r="BB8" i="21"/>
  <c r="BB37" i="21"/>
  <c r="BB24" i="21"/>
  <c r="BB30" i="21"/>
  <c r="BB13" i="21"/>
  <c r="BB39" i="21"/>
  <c r="BB38" i="21"/>
  <c r="BB22" i="21"/>
  <c r="BB44" i="21"/>
  <c r="BB15" i="21"/>
  <c r="BB31" i="21"/>
  <c r="BB36" i="21"/>
  <c r="BB29" i="21"/>
  <c r="BB10" i="21"/>
  <c r="BB25" i="21"/>
  <c r="BB14" i="21"/>
  <c r="BB23" i="21"/>
  <c r="BB43" i="21"/>
  <c r="BB35" i="21"/>
  <c r="AX45" i="19"/>
  <c r="AX3" i="19"/>
  <c r="AX21" i="19"/>
  <c r="AX16" i="19"/>
  <c r="AX29" i="19"/>
  <c r="AX28" i="19"/>
  <c r="AX34" i="19"/>
  <c r="AX27" i="19"/>
  <c r="AX37" i="19"/>
  <c r="AX43" i="19"/>
  <c r="AX15" i="19"/>
  <c r="AX38" i="19"/>
  <c r="AX6" i="19"/>
  <c r="AX11" i="19"/>
  <c r="AX39" i="19"/>
  <c r="AX40" i="19"/>
  <c r="AX8" i="19"/>
  <c r="AX22" i="19"/>
  <c r="AX19" i="19"/>
  <c r="AX42" i="19"/>
  <c r="AX33" i="19"/>
  <c r="AX7" i="19"/>
  <c r="AX26" i="19"/>
  <c r="AX25" i="19"/>
  <c r="AX13" i="19"/>
  <c r="AX32" i="19"/>
  <c r="AX10" i="19"/>
  <c r="AX44" i="19"/>
  <c r="AX17" i="19"/>
  <c r="AX20" i="19"/>
  <c r="AX14" i="19"/>
  <c r="AX12" i="19"/>
  <c r="AX18" i="19"/>
  <c r="AX35" i="19"/>
  <c r="AX30" i="19"/>
  <c r="AX41" i="19"/>
  <c r="AX9" i="19"/>
  <c r="AX31" i="19"/>
  <c r="AX24" i="19"/>
  <c r="AX36" i="19"/>
  <c r="AX23" i="19"/>
  <c r="BA16" i="20"/>
  <c r="BA3" i="20"/>
  <c r="BA21" i="20"/>
  <c r="BA30" i="20"/>
  <c r="BA19" i="20"/>
  <c r="BA37" i="20"/>
  <c r="BA28" i="20"/>
  <c r="BA41" i="20"/>
  <c r="BA29" i="20"/>
  <c r="BA17" i="20"/>
  <c r="BA34" i="20"/>
  <c r="BA45" i="20"/>
  <c r="BA18" i="20"/>
  <c r="BA40" i="20"/>
  <c r="BA9" i="20"/>
  <c r="BA14" i="20"/>
  <c r="BA42" i="20"/>
  <c r="BA32" i="20"/>
  <c r="BA13" i="20"/>
  <c r="BA31" i="20"/>
  <c r="BA8" i="20"/>
  <c r="BA43" i="20"/>
  <c r="BA15" i="20"/>
  <c r="BA39" i="20"/>
  <c r="BA12" i="20"/>
  <c r="BA10" i="20"/>
  <c r="BA11" i="20"/>
  <c r="BA36" i="20"/>
  <c r="BA26" i="20"/>
  <c r="BA7" i="20"/>
  <c r="BA33" i="20"/>
  <c r="BA20" i="20"/>
  <c r="BA35" i="20"/>
  <c r="BA25" i="20"/>
  <c r="BA23" i="20"/>
  <c r="BA44" i="20"/>
  <c r="BA22" i="20"/>
  <c r="BA27" i="20"/>
  <c r="BA6" i="20"/>
  <c r="BA38" i="20"/>
  <c r="BA24" i="20"/>
  <c r="AQ47" i="20"/>
  <c r="BA5" i="3"/>
  <c r="BA52" i="3"/>
  <c r="AQ70" i="21"/>
  <c r="C87" i="2"/>
  <c r="D86" i="2"/>
  <c r="BH51" i="3" l="1"/>
  <c r="AQ53" i="18"/>
  <c r="BH53" i="23"/>
  <c r="AS53" i="22"/>
  <c r="AZ53" i="18"/>
  <c r="AW53" i="18"/>
  <c r="AS48" i="22"/>
  <c r="AV53" i="22"/>
  <c r="BD51" i="19"/>
  <c r="BE51" i="21"/>
  <c r="AS50" i="22"/>
  <c r="AM50" i="22"/>
  <c r="AQ50" i="18"/>
  <c r="BE53" i="23"/>
  <c r="AX51" i="19"/>
  <c r="AU51" i="19"/>
  <c r="BE48" i="23"/>
  <c r="BH48" i="23"/>
  <c r="AZ47" i="18"/>
  <c r="AV52" i="22"/>
  <c r="AM52" i="22"/>
  <c r="AP53" i="22"/>
  <c r="AM53" i="22"/>
  <c r="AY51" i="21"/>
  <c r="AY50" i="23"/>
  <c r="BE46" i="23"/>
  <c r="BB53" i="21"/>
  <c r="BE51" i="23"/>
  <c r="BE47" i="23"/>
  <c r="AM51" i="22"/>
  <c r="AM47" i="22"/>
  <c r="AP51" i="22"/>
  <c r="AP47" i="22"/>
  <c r="AU50" i="20"/>
  <c r="AU53" i="19"/>
  <c r="BE52" i="23"/>
  <c r="BE49" i="23"/>
  <c r="AS49" i="22"/>
  <c r="BH52" i="23"/>
  <c r="AV50" i="22"/>
  <c r="AV48" i="22"/>
  <c r="AY51" i="23"/>
  <c r="AY49" i="23"/>
  <c r="AS51" i="22"/>
  <c r="AS47" i="22"/>
  <c r="BH51" i="23"/>
  <c r="BH47" i="23"/>
  <c r="AV51" i="22"/>
  <c r="AV47" i="22"/>
  <c r="BH46" i="23"/>
  <c r="AT50" i="18"/>
  <c r="AZ50" i="18"/>
  <c r="BB49" i="23"/>
  <c r="AP48" i="22"/>
  <c r="AP49" i="22"/>
  <c r="BB51" i="23"/>
  <c r="BB47" i="23"/>
  <c r="BB51" i="21"/>
  <c r="BE51" i="3"/>
  <c r="BD51" i="20"/>
  <c r="BA51" i="19"/>
  <c r="BH51" i="21"/>
  <c r="AY51" i="3"/>
  <c r="AX48" i="20"/>
  <c r="AX51" i="20"/>
  <c r="AU51" i="20"/>
  <c r="BE50" i="23"/>
  <c r="AS52" i="22"/>
  <c r="AV46" i="22"/>
  <c r="AY53" i="23"/>
  <c r="AY46" i="23"/>
  <c r="AY52" i="23"/>
  <c r="AM48" i="22"/>
  <c r="BB53" i="23"/>
  <c r="AP46" i="22"/>
  <c r="BA53" i="20"/>
  <c r="BA51" i="20"/>
  <c r="BB51" i="3"/>
  <c r="AQ48" i="18"/>
  <c r="AS46" i="22"/>
  <c r="BH49" i="23"/>
  <c r="AV49" i="22"/>
  <c r="AY47" i="23"/>
  <c r="AY48" i="23"/>
  <c r="AM49" i="22"/>
  <c r="AM46" i="22"/>
  <c r="BB52" i="23"/>
  <c r="BB46" i="23"/>
  <c r="BB48" i="23"/>
  <c r="BB50" i="23"/>
  <c r="AP52" i="22"/>
  <c r="AP50" i="22"/>
  <c r="AW50" i="18"/>
  <c r="AZ51" i="18"/>
  <c r="AT49" i="18"/>
  <c r="AW49" i="18"/>
  <c r="AZ49" i="18"/>
  <c r="AQ49" i="18"/>
  <c r="AQ51" i="18"/>
  <c r="AQ47" i="18"/>
  <c r="AT51" i="18"/>
  <c r="AT47" i="18"/>
  <c r="AW51" i="18"/>
  <c r="AW47" i="18"/>
  <c r="AW48" i="18"/>
  <c r="AT48" i="18"/>
  <c r="AZ48" i="18"/>
  <c r="AZ46" i="18"/>
  <c r="AW46" i="18"/>
  <c r="AT46" i="18"/>
  <c r="AQ46" i="18"/>
  <c r="AQ52" i="18"/>
  <c r="AT52" i="18"/>
  <c r="AZ52" i="18"/>
  <c r="AW52" i="18"/>
  <c r="AT5" i="18"/>
  <c r="AT70" i="18" s="1"/>
  <c r="AT53" i="18"/>
  <c r="AZ5" i="18"/>
  <c r="AZ70" i="18" s="1"/>
  <c r="AX18" i="18"/>
  <c r="AX7" i="18"/>
  <c r="AX11" i="18"/>
  <c r="AX9" i="18"/>
  <c r="AX22" i="18"/>
  <c r="AX34" i="18"/>
  <c r="AX44" i="18"/>
  <c r="AX29" i="18"/>
  <c r="AX27" i="18"/>
  <c r="AX32" i="18"/>
  <c r="AX45" i="18"/>
  <c r="AX13" i="18"/>
  <c r="AX43" i="18"/>
  <c r="AX25" i="18"/>
  <c r="AX24" i="18"/>
  <c r="AX17" i="18"/>
  <c r="AX33" i="18"/>
  <c r="AX12" i="18"/>
  <c r="AX14" i="18"/>
  <c r="AX42" i="18"/>
  <c r="AX37" i="18"/>
  <c r="AX26" i="18"/>
  <c r="AX31" i="18"/>
  <c r="AX6" i="18"/>
  <c r="AX36" i="18"/>
  <c r="AX39" i="18"/>
  <c r="AX3" i="18"/>
  <c r="AX41" i="18"/>
  <c r="AX28" i="18"/>
  <c r="AX21" i="18"/>
  <c r="AX35" i="18"/>
  <c r="AX16" i="18"/>
  <c r="AX15" i="18"/>
  <c r="AX40" i="18"/>
  <c r="AX10" i="18"/>
  <c r="AX30" i="18"/>
  <c r="AX19" i="18"/>
  <c r="AX20" i="18"/>
  <c r="AX8" i="18"/>
  <c r="AX23" i="18"/>
  <c r="AX38" i="18"/>
  <c r="BH5" i="23"/>
  <c r="BH70" i="23" s="1"/>
  <c r="AU45" i="18"/>
  <c r="AU14" i="18"/>
  <c r="AU29" i="18"/>
  <c r="AU23" i="18"/>
  <c r="AU36" i="18"/>
  <c r="AU43" i="18"/>
  <c r="AU18" i="18"/>
  <c r="AU41" i="18"/>
  <c r="AU34" i="18"/>
  <c r="AU35" i="18"/>
  <c r="AU25" i="18"/>
  <c r="AU32" i="18"/>
  <c r="AU37" i="18"/>
  <c r="AU22" i="18"/>
  <c r="AU40" i="18"/>
  <c r="AU24" i="18"/>
  <c r="AU39" i="18"/>
  <c r="AU6" i="18"/>
  <c r="AU11" i="18"/>
  <c r="AU17" i="18"/>
  <c r="AU30" i="18"/>
  <c r="AU8" i="18"/>
  <c r="AU9" i="18"/>
  <c r="AU42" i="18"/>
  <c r="AU7" i="18"/>
  <c r="AU38" i="18"/>
  <c r="AU16" i="18"/>
  <c r="AU15" i="18"/>
  <c r="AU13" i="18"/>
  <c r="AU12" i="18"/>
  <c r="AU27" i="18"/>
  <c r="AU21" i="18"/>
  <c r="AU10" i="18"/>
  <c r="AU19" i="18"/>
  <c r="AU20" i="18"/>
  <c r="AU28" i="18"/>
  <c r="AU26" i="18"/>
  <c r="AU31" i="18"/>
  <c r="AU33" i="18"/>
  <c r="AU44" i="18"/>
  <c r="AP5" i="22"/>
  <c r="AP70" i="22" s="1"/>
  <c r="BF34" i="23"/>
  <c r="BF27" i="23"/>
  <c r="BF14" i="23"/>
  <c r="BF9" i="23"/>
  <c r="BF44" i="23"/>
  <c r="BF28" i="23"/>
  <c r="BF37" i="23"/>
  <c r="BF13" i="23"/>
  <c r="BF30" i="23"/>
  <c r="BF12" i="23"/>
  <c r="BF41" i="23"/>
  <c r="BF42" i="23"/>
  <c r="BF33" i="23"/>
  <c r="BF39" i="23"/>
  <c r="BF25" i="23"/>
  <c r="BF19" i="23"/>
  <c r="BF45" i="23"/>
  <c r="BF43" i="23"/>
  <c r="BF10" i="23"/>
  <c r="BF36" i="23"/>
  <c r="BF23" i="23"/>
  <c r="BF3" i="23"/>
  <c r="BF15" i="23"/>
  <c r="BF8" i="23"/>
  <c r="BF32" i="23"/>
  <c r="BF17" i="23"/>
  <c r="BF18" i="23"/>
  <c r="BF26" i="23"/>
  <c r="BF6" i="23"/>
  <c r="BF38" i="23"/>
  <c r="BF31" i="23"/>
  <c r="BF16" i="23"/>
  <c r="BF11" i="23"/>
  <c r="BF29" i="23"/>
  <c r="BF7" i="23"/>
  <c r="BF24" i="23"/>
  <c r="BF21" i="23"/>
  <c r="BF20" i="23"/>
  <c r="BF35" i="23"/>
  <c r="BF40" i="23"/>
  <c r="BF22" i="23"/>
  <c r="BA45" i="18"/>
  <c r="BA6" i="18"/>
  <c r="BA29" i="18"/>
  <c r="BA9" i="18"/>
  <c r="BA39" i="18"/>
  <c r="BA12" i="18"/>
  <c r="BA17" i="18"/>
  <c r="BA33" i="18"/>
  <c r="BA26" i="18"/>
  <c r="BA31" i="18"/>
  <c r="BA22" i="18"/>
  <c r="BA7" i="18"/>
  <c r="BA16" i="18"/>
  <c r="BA41" i="18"/>
  <c r="BA40" i="18"/>
  <c r="BA43" i="18"/>
  <c r="BA27" i="18"/>
  <c r="BA25" i="18"/>
  <c r="BA28" i="18"/>
  <c r="BA21" i="18"/>
  <c r="BA30" i="18"/>
  <c r="BA24" i="18"/>
  <c r="BA3" i="18"/>
  <c r="BA34" i="18"/>
  <c r="BA11" i="18"/>
  <c r="BA8" i="18"/>
  <c r="BA36" i="18"/>
  <c r="BA10" i="18"/>
  <c r="BA19" i="18"/>
  <c r="BA15" i="18"/>
  <c r="BA35" i="18"/>
  <c r="BA23" i="18"/>
  <c r="BA44" i="18"/>
  <c r="BA20" i="18"/>
  <c r="BA18" i="18"/>
  <c r="BA13" i="18"/>
  <c r="BA32" i="18"/>
  <c r="BA14" i="18"/>
  <c r="BA42" i="18"/>
  <c r="BA37" i="18"/>
  <c r="BA38" i="18"/>
  <c r="BE5" i="23"/>
  <c r="BE70" i="23" s="1"/>
  <c r="AS5" i="22"/>
  <c r="AS70" i="22" s="1"/>
  <c r="BL3" i="23"/>
  <c r="BL31" i="23"/>
  <c r="BL27" i="23"/>
  <c r="BL20" i="23"/>
  <c r="BL30" i="23"/>
  <c r="BL24" i="23"/>
  <c r="BO3" i="23"/>
  <c r="BL37" i="23"/>
  <c r="BL6" i="23"/>
  <c r="BL10" i="23"/>
  <c r="BL14" i="23"/>
  <c r="BL12" i="23"/>
  <c r="BL19" i="23"/>
  <c r="BL45" i="23"/>
  <c r="BL43" i="23"/>
  <c r="BL32" i="23"/>
  <c r="BL36" i="23"/>
  <c r="BL21" i="23"/>
  <c r="BL26" i="23"/>
  <c r="BL29" i="23"/>
  <c r="BL38" i="23"/>
  <c r="BL44" i="23"/>
  <c r="BL18" i="23"/>
  <c r="BL15" i="23"/>
  <c r="BL8" i="23"/>
  <c r="BL9" i="23"/>
  <c r="BL23" i="23"/>
  <c r="BL16" i="23"/>
  <c r="BL28" i="23"/>
  <c r="BL7" i="23"/>
  <c r="BL39" i="23"/>
  <c r="BL25" i="23"/>
  <c r="BL41" i="23"/>
  <c r="BL11" i="23"/>
  <c r="BL35" i="23"/>
  <c r="BL40" i="23"/>
  <c r="BL17" i="23"/>
  <c r="BL34" i="23"/>
  <c r="BL42" i="23"/>
  <c r="BL13" i="23"/>
  <c r="BL33" i="23"/>
  <c r="BL22" i="23"/>
  <c r="AY5" i="23"/>
  <c r="AY70" i="23" s="1"/>
  <c r="BD18" i="18"/>
  <c r="BD20" i="18"/>
  <c r="BD29" i="18"/>
  <c r="BD26" i="18"/>
  <c r="BD30" i="18"/>
  <c r="BD41" i="18"/>
  <c r="BD22" i="18"/>
  <c r="BD43" i="18"/>
  <c r="BD27" i="18"/>
  <c r="BD38" i="18"/>
  <c r="BD37" i="18"/>
  <c r="BD12" i="18"/>
  <c r="BD7" i="18"/>
  <c r="BD44" i="18"/>
  <c r="BD42" i="18"/>
  <c r="BD45" i="18"/>
  <c r="BD13" i="18"/>
  <c r="BD10" i="18"/>
  <c r="BD35" i="18"/>
  <c r="BD32" i="18"/>
  <c r="BD3" i="18"/>
  <c r="BD15" i="18"/>
  <c r="BD33" i="18"/>
  <c r="BD6" i="18"/>
  <c r="BD36" i="18"/>
  <c r="BD24" i="18"/>
  <c r="BG3" i="18"/>
  <c r="BD17" i="18"/>
  <c r="BD40" i="18"/>
  <c r="BD23" i="18"/>
  <c r="BD31" i="18"/>
  <c r="BD25" i="18"/>
  <c r="BD16" i="18"/>
  <c r="BD28" i="18"/>
  <c r="BD8" i="18"/>
  <c r="BD9" i="18"/>
  <c r="BD14" i="18"/>
  <c r="BD19" i="18"/>
  <c r="BD34" i="18"/>
  <c r="BD11" i="18"/>
  <c r="BD21" i="18"/>
  <c r="BD39" i="18"/>
  <c r="AW5" i="18"/>
  <c r="AW70" i="18" s="1"/>
  <c r="AV5" i="22"/>
  <c r="AV70" i="22" s="1"/>
  <c r="BC16" i="23"/>
  <c r="BC28" i="23"/>
  <c r="BC29" i="23"/>
  <c r="BC7" i="23"/>
  <c r="BC14" i="23"/>
  <c r="BC30" i="23"/>
  <c r="BC11" i="23"/>
  <c r="BC8" i="23"/>
  <c r="BC27" i="23"/>
  <c r="BC33" i="23"/>
  <c r="BC37" i="23"/>
  <c r="BC20" i="23"/>
  <c r="BC22" i="23"/>
  <c r="BC40" i="23"/>
  <c r="BC44" i="23"/>
  <c r="BC34" i="23"/>
  <c r="BC42" i="23"/>
  <c r="BC13" i="23"/>
  <c r="BC36" i="23"/>
  <c r="BC23" i="23"/>
  <c r="BC41" i="23"/>
  <c r="BC39" i="23"/>
  <c r="BC26" i="23"/>
  <c r="BC9" i="23"/>
  <c r="BC25" i="23"/>
  <c r="BC18" i="23"/>
  <c r="BC6" i="23"/>
  <c r="BC10" i="23"/>
  <c r="BC24" i="23"/>
  <c r="BC12" i="23"/>
  <c r="BC19" i="23"/>
  <c r="BC45" i="23"/>
  <c r="BC43" i="23"/>
  <c r="BC38" i="23"/>
  <c r="BC17" i="23"/>
  <c r="BC21" i="23"/>
  <c r="BC15" i="23"/>
  <c r="BC32" i="23"/>
  <c r="BC35" i="23"/>
  <c r="BC31" i="23"/>
  <c r="AQ45" i="22"/>
  <c r="AQ33" i="22"/>
  <c r="AQ10" i="22"/>
  <c r="AQ26" i="22"/>
  <c r="AQ27" i="22"/>
  <c r="AQ17" i="22"/>
  <c r="AQ29" i="22"/>
  <c r="AQ44" i="22"/>
  <c r="AQ36" i="22"/>
  <c r="AQ6" i="22"/>
  <c r="AQ18" i="22"/>
  <c r="AQ20" i="22"/>
  <c r="AQ43" i="22"/>
  <c r="AQ24" i="22"/>
  <c r="AQ13" i="22"/>
  <c r="AQ41" i="22"/>
  <c r="AQ14" i="22"/>
  <c r="AQ16" i="22"/>
  <c r="AQ42" i="22"/>
  <c r="AQ9" i="22"/>
  <c r="AQ22" i="22"/>
  <c r="AQ35" i="22"/>
  <c r="AQ23" i="22"/>
  <c r="AQ21" i="22"/>
  <c r="AQ7" i="22"/>
  <c r="AQ28" i="22"/>
  <c r="AQ39" i="22"/>
  <c r="AQ15" i="22"/>
  <c r="AQ12" i="22"/>
  <c r="AQ19" i="22"/>
  <c r="AQ11" i="22"/>
  <c r="AQ31" i="22"/>
  <c r="AQ38" i="22"/>
  <c r="AQ30" i="22"/>
  <c r="AQ37" i="22"/>
  <c r="AQ34" i="22"/>
  <c r="AQ25" i="22"/>
  <c r="AQ8" i="22"/>
  <c r="AQ40" i="22"/>
  <c r="AQ32" i="22"/>
  <c r="AQ5" i="18"/>
  <c r="AQ70" i="18" s="1"/>
  <c r="AT17" i="22"/>
  <c r="AT31" i="22"/>
  <c r="AT9" i="22"/>
  <c r="AT38" i="22"/>
  <c r="AT6" i="22"/>
  <c r="AT20" i="22"/>
  <c r="AT18" i="22"/>
  <c r="AT33" i="22"/>
  <c r="AT14" i="22"/>
  <c r="AT7" i="22"/>
  <c r="AT22" i="22"/>
  <c r="AT27" i="22"/>
  <c r="AT24" i="22"/>
  <c r="AT3" i="22"/>
  <c r="AT26" i="22"/>
  <c r="AT12" i="22"/>
  <c r="AT41" i="22"/>
  <c r="AT34" i="22"/>
  <c r="AT25" i="22"/>
  <c r="AT40" i="22"/>
  <c r="AT30" i="22"/>
  <c r="AT21" i="22"/>
  <c r="AT29" i="22"/>
  <c r="AT28" i="22"/>
  <c r="AT37" i="22"/>
  <c r="AT36" i="22"/>
  <c r="AT32" i="22"/>
  <c r="AT23" i="22"/>
  <c r="AT44" i="22"/>
  <c r="AT39" i="22"/>
  <c r="AT19" i="22"/>
  <c r="AT11" i="22"/>
  <c r="AT43" i="22"/>
  <c r="AT13" i="22"/>
  <c r="AT10" i="22"/>
  <c r="AT16" i="22"/>
  <c r="AT45" i="22"/>
  <c r="AT42" i="22"/>
  <c r="AT8" i="22"/>
  <c r="AT15" i="22"/>
  <c r="AT35" i="22"/>
  <c r="BI21" i="23"/>
  <c r="BI20" i="23"/>
  <c r="BI6" i="23"/>
  <c r="BI7" i="23"/>
  <c r="BI24" i="23"/>
  <c r="BI16" i="23"/>
  <c r="BI15" i="23"/>
  <c r="BI13" i="23"/>
  <c r="BI38" i="23"/>
  <c r="BI23" i="23"/>
  <c r="BI26" i="23"/>
  <c r="BI11" i="23"/>
  <c r="BI22" i="23"/>
  <c r="BI30" i="23"/>
  <c r="BI36" i="23"/>
  <c r="BI28" i="23"/>
  <c r="BI43" i="23"/>
  <c r="BI29" i="23"/>
  <c r="BI31" i="23"/>
  <c r="BI25" i="23"/>
  <c r="BI41" i="23"/>
  <c r="BI42" i="23"/>
  <c r="BI35" i="23"/>
  <c r="BI40" i="23"/>
  <c r="BI27" i="23"/>
  <c r="BI45" i="23"/>
  <c r="BI39" i="23"/>
  <c r="BI33" i="23"/>
  <c r="BI17" i="23"/>
  <c r="BI44" i="23"/>
  <c r="BI19" i="23"/>
  <c r="BI34" i="23"/>
  <c r="BI32" i="23"/>
  <c r="BI18" i="23"/>
  <c r="BI9" i="23"/>
  <c r="BI12" i="23"/>
  <c r="BI3" i="23"/>
  <c r="BI37" i="23"/>
  <c r="BI8" i="23"/>
  <c r="BI10" i="23"/>
  <c r="BI14" i="23"/>
  <c r="AZ21" i="22"/>
  <c r="AZ23" i="22"/>
  <c r="AZ8" i="22"/>
  <c r="AZ26" i="22"/>
  <c r="AZ35" i="22"/>
  <c r="BC3" i="22"/>
  <c r="AZ32" i="22"/>
  <c r="AZ18" i="22"/>
  <c r="AZ25" i="22"/>
  <c r="AZ39" i="22"/>
  <c r="AZ38" i="22"/>
  <c r="AZ14" i="22"/>
  <c r="AZ42" i="22"/>
  <c r="AZ43" i="22"/>
  <c r="AZ19" i="22"/>
  <c r="AZ11" i="22"/>
  <c r="AZ33" i="22"/>
  <c r="AZ24" i="22"/>
  <c r="AZ15" i="22"/>
  <c r="AZ3" i="22"/>
  <c r="AZ30" i="22"/>
  <c r="AZ16" i="22"/>
  <c r="AZ17" i="22"/>
  <c r="AZ29" i="22"/>
  <c r="AZ37" i="22"/>
  <c r="AZ22" i="22"/>
  <c r="AZ34" i="22"/>
  <c r="AZ40" i="22"/>
  <c r="AZ12" i="22"/>
  <c r="AZ44" i="22"/>
  <c r="AZ27" i="22"/>
  <c r="AZ7" i="22"/>
  <c r="AZ45" i="22"/>
  <c r="AZ41" i="22"/>
  <c r="AZ31" i="22"/>
  <c r="AZ9" i="22"/>
  <c r="AZ36" i="22"/>
  <c r="AZ6" i="22"/>
  <c r="AZ20" i="22"/>
  <c r="AZ13" i="22"/>
  <c r="AZ28" i="22"/>
  <c r="AZ10" i="22"/>
  <c r="AM5" i="22"/>
  <c r="AM70" i="22" s="1"/>
  <c r="AW41" i="22"/>
  <c r="AW9" i="22"/>
  <c r="AW13" i="22"/>
  <c r="AW35" i="22"/>
  <c r="AW27" i="22"/>
  <c r="AW24" i="22"/>
  <c r="AW34" i="22"/>
  <c r="AW42" i="22"/>
  <c r="AW23" i="22"/>
  <c r="AW44" i="22"/>
  <c r="AW30" i="22"/>
  <c r="AW16" i="22"/>
  <c r="AW10" i="22"/>
  <c r="AW37" i="22"/>
  <c r="AW18" i="22"/>
  <c r="AW45" i="22"/>
  <c r="AW29" i="22"/>
  <c r="AW7" i="22"/>
  <c r="AW36" i="22"/>
  <c r="AW6" i="22"/>
  <c r="AW33" i="22"/>
  <c r="AW19" i="22"/>
  <c r="AW14" i="22"/>
  <c r="AW43" i="22"/>
  <c r="AW15" i="22"/>
  <c r="AW40" i="22"/>
  <c r="AW32" i="22"/>
  <c r="AW21" i="22"/>
  <c r="AW20" i="22"/>
  <c r="AW8" i="22"/>
  <c r="AW31" i="22"/>
  <c r="AW39" i="22"/>
  <c r="AW12" i="22"/>
  <c r="AW26" i="22"/>
  <c r="AW3" i="22"/>
  <c r="AW17" i="22"/>
  <c r="AW28" i="22"/>
  <c r="AW38" i="22"/>
  <c r="AW22" i="22"/>
  <c r="AW25" i="22"/>
  <c r="AW11" i="22"/>
  <c r="BB5" i="23"/>
  <c r="BB70" i="23" s="1"/>
  <c r="AX50" i="19"/>
  <c r="BB50" i="21"/>
  <c r="BE47" i="3"/>
  <c r="BD53" i="20"/>
  <c r="AY47" i="3"/>
  <c r="AU53" i="20"/>
  <c r="AY49" i="21"/>
  <c r="BE53" i="21"/>
  <c r="BH48" i="21"/>
  <c r="BD50" i="19"/>
  <c r="BA49" i="20"/>
  <c r="AY53" i="3"/>
  <c r="BD53" i="19"/>
  <c r="BA50" i="19"/>
  <c r="BH47" i="3"/>
  <c r="BE53" i="3"/>
  <c r="AU47" i="20"/>
  <c r="BA50" i="20"/>
  <c r="BD50" i="20"/>
  <c r="AX53" i="20"/>
  <c r="AY47" i="21"/>
  <c r="BH53" i="3"/>
  <c r="BA49" i="19"/>
  <c r="BB50" i="3"/>
  <c r="BH50" i="3"/>
  <c r="AX53" i="19"/>
  <c r="BH53" i="21"/>
  <c r="AX50" i="20"/>
  <c r="AY53" i="21"/>
  <c r="BH48" i="3"/>
  <c r="BB53" i="3"/>
  <c r="BA48" i="20"/>
  <c r="BE48" i="3"/>
  <c r="BD48" i="20"/>
  <c r="BA53" i="19"/>
  <c r="BB47" i="21"/>
  <c r="BB48" i="3"/>
  <c r="AU48" i="20"/>
  <c r="BE46" i="3"/>
  <c r="BB46" i="3"/>
  <c r="BD46" i="20"/>
  <c r="AU46" i="20"/>
  <c r="BE3" i="19"/>
  <c r="BE16" i="19"/>
  <c r="BE45" i="19"/>
  <c r="BE21" i="19"/>
  <c r="BE17" i="19"/>
  <c r="BE43" i="19"/>
  <c r="BE28" i="19"/>
  <c r="BE26" i="19"/>
  <c r="BE15" i="19"/>
  <c r="BE34" i="19"/>
  <c r="BE37" i="19"/>
  <c r="BE27" i="19"/>
  <c r="BE11" i="19"/>
  <c r="BE40" i="19"/>
  <c r="BE38" i="19"/>
  <c r="BE32" i="19"/>
  <c r="BE39" i="19"/>
  <c r="BE7" i="19"/>
  <c r="BE6" i="19"/>
  <c r="BE25" i="19"/>
  <c r="BE29" i="19"/>
  <c r="BE19" i="19"/>
  <c r="BE22" i="19"/>
  <c r="BE30" i="19"/>
  <c r="BE42" i="19"/>
  <c r="BE8" i="19"/>
  <c r="BE33" i="19"/>
  <c r="BE10" i="19"/>
  <c r="BE13" i="19"/>
  <c r="BE14" i="19"/>
  <c r="BE20" i="19"/>
  <c r="BE18" i="19"/>
  <c r="BE35" i="19"/>
  <c r="BE12" i="19"/>
  <c r="BE44" i="19"/>
  <c r="BE36" i="19"/>
  <c r="BE41" i="19"/>
  <c r="BE24" i="19"/>
  <c r="BE9" i="19"/>
  <c r="BE23" i="19"/>
  <c r="BE31" i="19"/>
  <c r="AX46" i="19"/>
  <c r="BE21" i="20"/>
  <c r="BE3" i="20"/>
  <c r="BE16" i="20"/>
  <c r="BE19" i="20"/>
  <c r="BE41" i="20"/>
  <c r="BE18" i="20"/>
  <c r="BE34" i="20"/>
  <c r="BE37" i="20"/>
  <c r="BE29" i="20"/>
  <c r="BE28" i="20"/>
  <c r="BE45" i="20"/>
  <c r="BE17" i="20"/>
  <c r="BE10" i="20"/>
  <c r="BE30" i="20"/>
  <c r="BE36" i="20"/>
  <c r="BE9" i="20"/>
  <c r="BE44" i="20"/>
  <c r="BE7" i="20"/>
  <c r="BE8" i="20"/>
  <c r="BE42" i="20"/>
  <c r="BE40" i="20"/>
  <c r="BE32" i="20"/>
  <c r="BE14" i="20"/>
  <c r="BE39" i="20"/>
  <c r="BE43" i="20"/>
  <c r="BE15" i="20"/>
  <c r="BE13" i="20"/>
  <c r="BE12" i="20"/>
  <c r="BE11" i="20"/>
  <c r="BE20" i="20"/>
  <c r="BE33" i="20"/>
  <c r="BE35" i="20"/>
  <c r="BE31" i="20"/>
  <c r="BE26" i="20"/>
  <c r="BE27" i="20"/>
  <c r="BE6" i="20"/>
  <c r="BE22" i="20"/>
  <c r="BE23" i="20"/>
  <c r="BE25" i="20"/>
  <c r="BE38" i="20"/>
  <c r="BE24" i="20"/>
  <c r="BD49" i="19"/>
  <c r="BH50" i="21"/>
  <c r="BH46" i="21"/>
  <c r="AZ70" i="19"/>
  <c r="AX49" i="20"/>
  <c r="BA70" i="21"/>
  <c r="BD49" i="20"/>
  <c r="BE49" i="21"/>
  <c r="BA5" i="19"/>
  <c r="BA52" i="19"/>
  <c r="BA70" i="3"/>
  <c r="BA46" i="20"/>
  <c r="BE50" i="3"/>
  <c r="BH3" i="20"/>
  <c r="BK3" i="20"/>
  <c r="BH16" i="20"/>
  <c r="BH21" i="20"/>
  <c r="BH18" i="20"/>
  <c r="BH19" i="20"/>
  <c r="BH34" i="20"/>
  <c r="BH17" i="20"/>
  <c r="BH30" i="20"/>
  <c r="BH45" i="20"/>
  <c r="BH41" i="20"/>
  <c r="BH20" i="20"/>
  <c r="BH43" i="20"/>
  <c r="BH37" i="20"/>
  <c r="BH29" i="20"/>
  <c r="BH10" i="20"/>
  <c r="BH9" i="20"/>
  <c r="BH40" i="20"/>
  <c r="BH13" i="20"/>
  <c r="BH28" i="20"/>
  <c r="BH15" i="20"/>
  <c r="BH32" i="20"/>
  <c r="BH8" i="20"/>
  <c r="BH14" i="20"/>
  <c r="BH39" i="20"/>
  <c r="BH25" i="20"/>
  <c r="BH12" i="20"/>
  <c r="BH7" i="20"/>
  <c r="BH11" i="20"/>
  <c r="BH22" i="20"/>
  <c r="BH6" i="20"/>
  <c r="BH33" i="20"/>
  <c r="BH36" i="20"/>
  <c r="BH35" i="20"/>
  <c r="BH31" i="20"/>
  <c r="BH26" i="20"/>
  <c r="BH24" i="20"/>
  <c r="BH23" i="20"/>
  <c r="BH38" i="20"/>
  <c r="BH42" i="20"/>
  <c r="BH27" i="20"/>
  <c r="BH44" i="20"/>
  <c r="AX70" i="21"/>
  <c r="AY5" i="3"/>
  <c r="AY52" i="3"/>
  <c r="AX52" i="20"/>
  <c r="AX5" i="20"/>
  <c r="AU49" i="20"/>
  <c r="BD70" i="21"/>
  <c r="AW70" i="19"/>
  <c r="BH47" i="21"/>
  <c r="AY19" i="19"/>
  <c r="AY16" i="19"/>
  <c r="AY33" i="19"/>
  <c r="AY21" i="19"/>
  <c r="AY17" i="19"/>
  <c r="AY45" i="19"/>
  <c r="AY27" i="19"/>
  <c r="AY34" i="19"/>
  <c r="AY15" i="19"/>
  <c r="AY37" i="19"/>
  <c r="AY38" i="19"/>
  <c r="AY7" i="19"/>
  <c r="AY43" i="19"/>
  <c r="AY11" i="19"/>
  <c r="AY40" i="19"/>
  <c r="AY39" i="19"/>
  <c r="AY31" i="19"/>
  <c r="AY6" i="19"/>
  <c r="AY28" i="19"/>
  <c r="AY25" i="19"/>
  <c r="AY42" i="19"/>
  <c r="AY8" i="19"/>
  <c r="AY29" i="19"/>
  <c r="AY26" i="19"/>
  <c r="AY13" i="19"/>
  <c r="AY14" i="19"/>
  <c r="AY32" i="19"/>
  <c r="AY24" i="19"/>
  <c r="AY20" i="19"/>
  <c r="AY10" i="19"/>
  <c r="AY9" i="19"/>
  <c r="AY12" i="19"/>
  <c r="AY30" i="19"/>
  <c r="AY35" i="19"/>
  <c r="AY41" i="19"/>
  <c r="AY44" i="19"/>
  <c r="AY23" i="19"/>
  <c r="AY18" i="19"/>
  <c r="AY36" i="19"/>
  <c r="AY22" i="19"/>
  <c r="AX52" i="19"/>
  <c r="AX5" i="19"/>
  <c r="BD48" i="19"/>
  <c r="BE50" i="21"/>
  <c r="BH49" i="21"/>
  <c r="AZ70" i="20"/>
  <c r="BC20" i="3"/>
  <c r="BC8" i="3"/>
  <c r="BC19" i="3"/>
  <c r="BC16" i="3"/>
  <c r="BC35" i="3"/>
  <c r="BC12" i="3"/>
  <c r="BC18" i="3"/>
  <c r="BC21" i="3"/>
  <c r="BC41" i="3"/>
  <c r="BC17" i="3"/>
  <c r="BC45" i="3"/>
  <c r="BC13" i="3"/>
  <c r="BC40" i="3"/>
  <c r="BC36" i="3"/>
  <c r="BC38" i="3"/>
  <c r="BC29" i="3"/>
  <c r="BC33" i="3"/>
  <c r="BC7" i="3"/>
  <c r="BC37" i="3"/>
  <c r="BC28" i="3"/>
  <c r="BC43" i="3"/>
  <c r="BC11" i="3"/>
  <c r="BC9" i="3"/>
  <c r="BC10" i="3"/>
  <c r="BC24" i="3"/>
  <c r="BC39" i="3"/>
  <c r="BC6" i="3"/>
  <c r="BC32" i="3"/>
  <c r="BC15" i="3"/>
  <c r="BC31" i="3"/>
  <c r="BC44" i="3"/>
  <c r="BC25" i="3"/>
  <c r="BC14" i="3"/>
  <c r="BC23" i="3"/>
  <c r="BC27" i="3"/>
  <c r="BC42" i="3"/>
  <c r="BC22" i="3"/>
  <c r="BC34" i="3"/>
  <c r="BC30" i="3"/>
  <c r="BC26" i="3"/>
  <c r="AX47" i="20"/>
  <c r="AU49" i="19"/>
  <c r="AT70" i="19"/>
  <c r="BE5" i="3"/>
  <c r="BE52" i="3"/>
  <c r="AX47" i="19"/>
  <c r="BB5" i="21"/>
  <c r="BB52" i="21"/>
  <c r="AY48" i="3"/>
  <c r="AY46" i="3"/>
  <c r="AY50" i="21"/>
  <c r="AX70" i="3"/>
  <c r="BH49" i="3"/>
  <c r="BL21" i="21"/>
  <c r="BL18" i="21"/>
  <c r="BL45" i="21"/>
  <c r="BL19" i="21"/>
  <c r="BO3" i="21"/>
  <c r="BL3" i="21"/>
  <c r="BL16" i="21"/>
  <c r="BL27" i="21"/>
  <c r="BL17" i="21"/>
  <c r="BL30" i="21"/>
  <c r="BL41" i="21"/>
  <c r="BL20" i="21"/>
  <c r="BL26" i="21"/>
  <c r="BL32" i="21"/>
  <c r="BL42" i="21"/>
  <c r="BL34" i="21"/>
  <c r="BL11" i="21"/>
  <c r="BL33" i="21"/>
  <c r="BL9" i="21"/>
  <c r="BL8" i="21"/>
  <c r="BL7" i="21"/>
  <c r="BL39" i="21"/>
  <c r="BL10" i="21"/>
  <c r="BL28" i="21"/>
  <c r="BL6" i="21"/>
  <c r="BL40" i="21"/>
  <c r="BL38" i="21"/>
  <c r="BL44" i="21"/>
  <c r="BL31" i="21"/>
  <c r="BL37" i="21"/>
  <c r="BL13" i="21"/>
  <c r="BL12" i="21"/>
  <c r="BL24" i="21"/>
  <c r="BL22" i="21"/>
  <c r="BL15" i="21"/>
  <c r="BL14" i="21"/>
  <c r="BL43" i="21"/>
  <c r="BL25" i="21"/>
  <c r="BL23" i="21"/>
  <c r="BL36" i="21"/>
  <c r="BL29" i="21"/>
  <c r="BL35" i="21"/>
  <c r="BD5" i="19"/>
  <c r="BD52" i="19"/>
  <c r="BE5" i="21"/>
  <c r="BE52" i="21"/>
  <c r="BD70" i="3"/>
  <c r="AU50" i="19"/>
  <c r="AU48" i="19"/>
  <c r="AY46" i="21"/>
  <c r="AU70" i="3"/>
  <c r="BB49" i="21"/>
  <c r="BD52" i="20"/>
  <c r="BD5" i="20"/>
  <c r="BE48" i="21"/>
  <c r="BF19" i="21"/>
  <c r="BF21" i="21"/>
  <c r="BF3" i="21"/>
  <c r="BF16" i="21"/>
  <c r="BF34" i="21"/>
  <c r="BF41" i="21"/>
  <c r="BF20" i="21"/>
  <c r="BF45" i="21"/>
  <c r="BF17" i="21"/>
  <c r="BF18" i="21"/>
  <c r="BF26" i="21"/>
  <c r="BF42" i="21"/>
  <c r="BF11" i="21"/>
  <c r="BF8" i="21"/>
  <c r="BF24" i="21"/>
  <c r="BF33" i="21"/>
  <c r="BF9" i="21"/>
  <c r="BF32" i="21"/>
  <c r="BF12" i="21"/>
  <c r="BF30" i="21"/>
  <c r="BF40" i="21"/>
  <c r="BF6" i="21"/>
  <c r="BF28" i="21"/>
  <c r="BF13" i="21"/>
  <c r="BF22" i="21"/>
  <c r="BF7" i="21"/>
  <c r="BF37" i="21"/>
  <c r="BF38" i="21"/>
  <c r="BF15" i="21"/>
  <c r="BF39" i="21"/>
  <c r="BF44" i="21"/>
  <c r="BF23" i="21"/>
  <c r="BF29" i="21"/>
  <c r="BF10" i="21"/>
  <c r="BF36" i="21"/>
  <c r="BF25" i="21"/>
  <c r="BF27" i="21"/>
  <c r="BF43" i="21"/>
  <c r="BF14" i="21"/>
  <c r="BF35" i="21"/>
  <c r="BF31" i="21"/>
  <c r="BA48" i="19"/>
  <c r="BA47" i="19"/>
  <c r="BH46" i="3"/>
  <c r="BA47" i="20"/>
  <c r="AX49" i="19"/>
  <c r="BK3" i="19"/>
  <c r="BH3" i="19"/>
  <c r="BH21" i="19"/>
  <c r="BH16" i="19"/>
  <c r="BH37" i="19"/>
  <c r="BH41" i="19"/>
  <c r="BH28" i="19"/>
  <c r="BH31" i="19"/>
  <c r="BH27" i="19"/>
  <c r="BH34" i="19"/>
  <c r="BH45" i="19"/>
  <c r="BH15" i="19"/>
  <c r="BH11" i="19"/>
  <c r="BH43" i="19"/>
  <c r="BH38" i="19"/>
  <c r="BH44" i="19"/>
  <c r="BH29" i="19"/>
  <c r="BH7" i="19"/>
  <c r="BH39" i="19"/>
  <c r="BH40" i="19"/>
  <c r="BH33" i="19"/>
  <c r="BH25" i="19"/>
  <c r="BH6" i="19"/>
  <c r="BH19" i="19"/>
  <c r="BH26" i="19"/>
  <c r="BH42" i="19"/>
  <c r="BH8" i="19"/>
  <c r="BH14" i="19"/>
  <c r="BH10" i="19"/>
  <c r="BH32" i="19"/>
  <c r="BH13" i="19"/>
  <c r="BH9" i="19"/>
  <c r="BH17" i="19"/>
  <c r="BH20" i="19"/>
  <c r="BH18" i="19"/>
  <c r="BH36" i="19"/>
  <c r="BH30" i="19"/>
  <c r="BH35" i="19"/>
  <c r="BH12" i="19"/>
  <c r="BH24" i="19"/>
  <c r="BH23" i="19"/>
  <c r="BH22" i="19"/>
  <c r="BE47" i="21"/>
  <c r="BA46" i="19"/>
  <c r="BB47" i="3"/>
  <c r="AW70" i="20"/>
  <c r="AQ70" i="19"/>
  <c r="AX46" i="20"/>
  <c r="AU52" i="20"/>
  <c r="AU5" i="20"/>
  <c r="AU5" i="19"/>
  <c r="AU52" i="19"/>
  <c r="AT70" i="20"/>
  <c r="BI12" i="3"/>
  <c r="BI8" i="3"/>
  <c r="BI20" i="3"/>
  <c r="BI19" i="3"/>
  <c r="BI24" i="3"/>
  <c r="BI16" i="3"/>
  <c r="BI3" i="3"/>
  <c r="BI17" i="3"/>
  <c r="BI18" i="3"/>
  <c r="BI40" i="3"/>
  <c r="BI21" i="3"/>
  <c r="BI35" i="3"/>
  <c r="BI29" i="3"/>
  <c r="BI45" i="3"/>
  <c r="BI39" i="3"/>
  <c r="BI11" i="3"/>
  <c r="BI9" i="3"/>
  <c r="BI10" i="3"/>
  <c r="BI13" i="3"/>
  <c r="BI6" i="3"/>
  <c r="BI43" i="3"/>
  <c r="BI28" i="3"/>
  <c r="BI42" i="3"/>
  <c r="BI32" i="3"/>
  <c r="BI44" i="3"/>
  <c r="BI7" i="3"/>
  <c r="BI15" i="3"/>
  <c r="BI36" i="3"/>
  <c r="BI33" i="3"/>
  <c r="BI26" i="3"/>
  <c r="BI31" i="3"/>
  <c r="BI30" i="3"/>
  <c r="BI22" i="3"/>
  <c r="BI14" i="3"/>
  <c r="BI23" i="3"/>
  <c r="BI27" i="3"/>
  <c r="BI41" i="3"/>
  <c r="BI38" i="3"/>
  <c r="BI37" i="3"/>
  <c r="BI25" i="3"/>
  <c r="BI34" i="3"/>
  <c r="BC21" i="21"/>
  <c r="BC19" i="21"/>
  <c r="BC41" i="21"/>
  <c r="BC16" i="21"/>
  <c r="BC17" i="21"/>
  <c r="BC20" i="21"/>
  <c r="BC37" i="21"/>
  <c r="BC18" i="21"/>
  <c r="BC45" i="21"/>
  <c r="BC34" i="21"/>
  <c r="BC25" i="21"/>
  <c r="BC32" i="21"/>
  <c r="BC11" i="21"/>
  <c r="BC33" i="21"/>
  <c r="BC26" i="21"/>
  <c r="BC42" i="21"/>
  <c r="BC28" i="21"/>
  <c r="BC8" i="21"/>
  <c r="BC9" i="21"/>
  <c r="BC12" i="21"/>
  <c r="BC7" i="21"/>
  <c r="BC24" i="21"/>
  <c r="BC30" i="21"/>
  <c r="BC44" i="21"/>
  <c r="BC27" i="21"/>
  <c r="BC6" i="21"/>
  <c r="BC15" i="21"/>
  <c r="BC13" i="21"/>
  <c r="BC38" i="21"/>
  <c r="BC40" i="21"/>
  <c r="BC31" i="21"/>
  <c r="BC39" i="21"/>
  <c r="BC23" i="21"/>
  <c r="BC43" i="21"/>
  <c r="BC36" i="21"/>
  <c r="BC14" i="21"/>
  <c r="BC29" i="21"/>
  <c r="BC10" i="21"/>
  <c r="BC22" i="21"/>
  <c r="BC35" i="21"/>
  <c r="BA52" i="20"/>
  <c r="BA5" i="20"/>
  <c r="BB46" i="21"/>
  <c r="AQ70" i="20"/>
  <c r="BE49" i="3"/>
  <c r="BE46" i="21"/>
  <c r="AU70" i="21"/>
  <c r="BB3" i="19"/>
  <c r="BB21" i="19"/>
  <c r="BB16" i="19"/>
  <c r="BB37" i="19"/>
  <c r="BB45" i="19"/>
  <c r="BB15" i="19"/>
  <c r="BB38" i="19"/>
  <c r="BB34" i="19"/>
  <c r="BB27" i="19"/>
  <c r="BB20" i="19"/>
  <c r="BB40" i="19"/>
  <c r="BB11" i="19"/>
  <c r="BB6" i="19"/>
  <c r="BB28" i="19"/>
  <c r="BB7" i="19"/>
  <c r="BB43" i="19"/>
  <c r="BB25" i="19"/>
  <c r="BB33" i="19"/>
  <c r="BB8" i="19"/>
  <c r="BB19" i="19"/>
  <c r="BB29" i="19"/>
  <c r="BB32" i="19"/>
  <c r="BB42" i="19"/>
  <c r="BB26" i="19"/>
  <c r="BB10" i="19"/>
  <c r="BB14" i="19"/>
  <c r="BB24" i="19"/>
  <c r="BB13" i="19"/>
  <c r="BB12" i="19"/>
  <c r="BB9" i="19"/>
  <c r="BB17" i="19"/>
  <c r="BB41" i="19"/>
  <c r="BB18" i="19"/>
  <c r="BB35" i="19"/>
  <c r="BB30" i="19"/>
  <c r="BB44" i="19"/>
  <c r="BB39" i="19"/>
  <c r="BB36" i="19"/>
  <c r="BB31" i="19"/>
  <c r="BB23" i="19"/>
  <c r="BB22" i="19"/>
  <c r="BB49" i="3"/>
  <c r="AY49" i="3"/>
  <c r="AU46" i="19"/>
  <c r="AU47" i="19"/>
  <c r="AY48" i="21"/>
  <c r="BH52" i="3"/>
  <c r="BH5" i="3"/>
  <c r="BH70" i="3" s="1"/>
  <c r="BB5" i="3"/>
  <c r="BB52" i="3"/>
  <c r="AX48" i="19"/>
  <c r="BB48" i="21"/>
  <c r="BB16" i="20"/>
  <c r="BB19" i="20"/>
  <c r="BB21" i="20"/>
  <c r="BB3" i="20"/>
  <c r="BB34" i="20"/>
  <c r="BB37" i="20"/>
  <c r="BB29" i="20"/>
  <c r="BB41" i="20"/>
  <c r="BB17" i="20"/>
  <c r="BB43" i="20"/>
  <c r="BB9" i="20"/>
  <c r="BB30" i="20"/>
  <c r="BB18" i="20"/>
  <c r="BB45" i="20"/>
  <c r="BB8" i="20"/>
  <c r="BB40" i="20"/>
  <c r="BB13" i="20"/>
  <c r="BB32" i="20"/>
  <c r="BB28" i="20"/>
  <c r="BB14" i="20"/>
  <c r="BB12" i="20"/>
  <c r="BB15" i="20"/>
  <c r="BB39" i="20"/>
  <c r="BB10" i="20"/>
  <c r="BB26" i="20"/>
  <c r="BB20" i="20"/>
  <c r="BB31" i="20"/>
  <c r="BB33" i="20"/>
  <c r="BB7" i="20"/>
  <c r="BB35" i="20"/>
  <c r="BB24" i="20"/>
  <c r="BB6" i="20"/>
  <c r="BB23" i="20"/>
  <c r="BB36" i="20"/>
  <c r="BB44" i="20"/>
  <c r="BB11" i="20"/>
  <c r="BB38" i="20"/>
  <c r="BB27" i="20"/>
  <c r="BB42" i="20"/>
  <c r="BB25" i="20"/>
  <c r="BB22" i="20"/>
  <c r="BF3" i="3"/>
  <c r="BF12" i="3"/>
  <c r="BF19" i="3"/>
  <c r="BF40" i="3"/>
  <c r="BF20" i="3"/>
  <c r="BF8" i="3"/>
  <c r="BF36" i="3"/>
  <c r="BF16" i="3"/>
  <c r="BF24" i="3"/>
  <c r="BF18" i="3"/>
  <c r="BF17" i="3"/>
  <c r="BF21" i="3"/>
  <c r="BF38" i="3"/>
  <c r="BF45" i="3"/>
  <c r="BF29" i="3"/>
  <c r="BF35" i="3"/>
  <c r="BF30" i="3"/>
  <c r="BF37" i="3"/>
  <c r="BF33" i="3"/>
  <c r="BF28" i="3"/>
  <c r="BF43" i="3"/>
  <c r="BF42" i="3"/>
  <c r="BF11" i="3"/>
  <c r="BF9" i="3"/>
  <c r="BF10" i="3"/>
  <c r="BF31" i="3"/>
  <c r="BF13" i="3"/>
  <c r="BF39" i="3"/>
  <c r="BF6" i="3"/>
  <c r="BF32" i="3"/>
  <c r="BF7" i="3"/>
  <c r="BF15" i="3"/>
  <c r="BF44" i="3"/>
  <c r="BF41" i="3"/>
  <c r="BF22" i="3"/>
  <c r="BF14" i="3"/>
  <c r="BF23" i="3"/>
  <c r="BF27" i="3"/>
  <c r="BF25" i="3"/>
  <c r="BF34" i="3"/>
  <c r="BF26" i="3"/>
  <c r="BD47" i="20"/>
  <c r="BD46" i="19"/>
  <c r="BD47" i="19"/>
  <c r="BH52" i="21"/>
  <c r="BH5" i="21"/>
  <c r="BI3" i="21"/>
  <c r="BI21" i="21"/>
  <c r="BI19" i="21"/>
  <c r="BI16" i="21"/>
  <c r="BI25" i="21"/>
  <c r="BI17" i="21"/>
  <c r="BI18" i="21"/>
  <c r="BI45" i="21"/>
  <c r="BI34" i="21"/>
  <c r="BI41" i="21"/>
  <c r="BI26" i="21"/>
  <c r="BI42" i="21"/>
  <c r="BI20" i="21"/>
  <c r="BI11" i="21"/>
  <c r="BI43" i="21"/>
  <c r="BI6" i="21"/>
  <c r="BI32" i="21"/>
  <c r="BI8" i="21"/>
  <c r="BI7" i="21"/>
  <c r="BI33" i="21"/>
  <c r="BI12" i="21"/>
  <c r="BI30" i="21"/>
  <c r="BI28" i="21"/>
  <c r="BI9" i="21"/>
  <c r="BI15" i="21"/>
  <c r="BI37" i="21"/>
  <c r="BI24" i="21"/>
  <c r="BI27" i="21"/>
  <c r="BI13" i="21"/>
  <c r="BI39" i="21"/>
  <c r="BI22" i="21"/>
  <c r="BI38" i="21"/>
  <c r="BI44" i="21"/>
  <c r="BI40" i="21"/>
  <c r="BI31" i="21"/>
  <c r="BI10" i="21"/>
  <c r="BI23" i="21"/>
  <c r="BI36" i="21"/>
  <c r="BI29" i="21"/>
  <c r="BI14" i="21"/>
  <c r="BI35" i="21"/>
  <c r="AY50" i="3"/>
  <c r="AY45" i="20"/>
  <c r="AY16" i="20"/>
  <c r="AY21" i="20"/>
  <c r="AY19" i="20"/>
  <c r="AY17" i="20"/>
  <c r="AY41" i="20"/>
  <c r="AY29" i="20"/>
  <c r="AY37" i="20"/>
  <c r="AY34" i="20"/>
  <c r="AY18" i="20"/>
  <c r="AY30" i="20"/>
  <c r="AY9" i="20"/>
  <c r="AY28" i="20"/>
  <c r="AY14" i="20"/>
  <c r="AY12" i="20"/>
  <c r="AY31" i="20"/>
  <c r="AY13" i="20"/>
  <c r="AY24" i="20"/>
  <c r="AY40" i="20"/>
  <c r="AY8" i="20"/>
  <c r="AY32" i="20"/>
  <c r="AY7" i="20"/>
  <c r="AY39" i="20"/>
  <c r="AY43" i="20"/>
  <c r="AY35" i="20"/>
  <c r="AY10" i="20"/>
  <c r="AY15" i="20"/>
  <c r="AY11" i="20"/>
  <c r="AY20" i="20"/>
  <c r="AY26" i="20"/>
  <c r="AY36" i="20"/>
  <c r="AY33" i="20"/>
  <c r="AY27" i="20"/>
  <c r="AY42" i="20"/>
  <c r="AY22" i="20"/>
  <c r="AY6" i="20"/>
  <c r="AY38" i="20"/>
  <c r="AY44" i="20"/>
  <c r="AY23" i="20"/>
  <c r="AY25" i="20"/>
  <c r="AY52" i="21"/>
  <c r="AY5" i="21"/>
  <c r="BL35" i="3"/>
  <c r="BL16" i="3"/>
  <c r="BL12" i="3"/>
  <c r="BL3" i="3"/>
  <c r="BL20" i="3"/>
  <c r="BL8" i="3"/>
  <c r="BL19" i="3"/>
  <c r="BO3" i="3"/>
  <c r="BL18" i="3"/>
  <c r="BL17" i="3"/>
  <c r="BL24" i="3"/>
  <c r="BL22" i="3"/>
  <c r="BL21" i="3"/>
  <c r="BL28" i="3"/>
  <c r="BL40" i="3"/>
  <c r="BL45" i="3"/>
  <c r="BL38" i="3"/>
  <c r="BL39" i="3"/>
  <c r="BL29" i="3"/>
  <c r="BL36" i="3"/>
  <c r="BL43" i="3"/>
  <c r="BL11" i="3"/>
  <c r="BL13" i="3"/>
  <c r="BL42" i="3"/>
  <c r="BL9" i="3"/>
  <c r="BL6" i="3"/>
  <c r="BL10" i="3"/>
  <c r="BL7" i="3"/>
  <c r="BL37" i="3"/>
  <c r="BL32" i="3"/>
  <c r="BL15" i="3"/>
  <c r="BL33" i="3"/>
  <c r="BL44" i="3"/>
  <c r="BL30" i="3"/>
  <c r="BL31" i="3"/>
  <c r="BL14" i="3"/>
  <c r="BL23" i="3"/>
  <c r="BL27" i="3"/>
  <c r="BL41" i="3"/>
  <c r="BL26" i="3"/>
  <c r="BL25" i="3"/>
  <c r="BL34" i="3"/>
  <c r="D87" i="2"/>
  <c r="C88" i="2"/>
  <c r="BI47" i="3" l="1"/>
  <c r="BI51" i="21"/>
  <c r="AU53" i="18"/>
  <c r="AX53" i="18"/>
  <c r="AX50" i="18"/>
  <c r="BI53" i="23"/>
  <c r="BL53" i="23"/>
  <c r="AT53" i="22"/>
  <c r="AW53" i="22"/>
  <c r="AQ53" i="22"/>
  <c r="BD53" i="18"/>
  <c r="BA53" i="18"/>
  <c r="AZ53" i="22"/>
  <c r="BE51" i="20"/>
  <c r="AT48" i="22"/>
  <c r="AQ50" i="22"/>
  <c r="AQ48" i="22"/>
  <c r="AQ52" i="22"/>
  <c r="BC53" i="23"/>
  <c r="BL51" i="3"/>
  <c r="BF51" i="3"/>
  <c r="BL47" i="21"/>
  <c r="BH51" i="19"/>
  <c r="BI51" i="3"/>
  <c r="BB51" i="20"/>
  <c r="BE51" i="19"/>
  <c r="AZ49" i="22"/>
  <c r="BL50" i="23"/>
  <c r="BC48" i="23"/>
  <c r="BD50" i="18"/>
  <c r="BB51" i="19"/>
  <c r="BF48" i="23"/>
  <c r="AZ48" i="22"/>
  <c r="BC46" i="23"/>
  <c r="BL52" i="23"/>
  <c r="BL46" i="3"/>
  <c r="BI49" i="23"/>
  <c r="BF50" i="23"/>
  <c r="AT50" i="22"/>
  <c r="AZ51" i="22"/>
  <c r="AZ47" i="22"/>
  <c r="BC51" i="21"/>
  <c r="AW52" i="22"/>
  <c r="AW46" i="22"/>
  <c r="AZ50" i="22"/>
  <c r="BI50" i="23"/>
  <c r="AT52" i="22"/>
  <c r="AT46" i="22"/>
  <c r="AQ49" i="22"/>
  <c r="BC49" i="23"/>
  <c r="BC52" i="23"/>
  <c r="BL48" i="23"/>
  <c r="BL46" i="23"/>
  <c r="BF53" i="23"/>
  <c r="AT51" i="22"/>
  <c r="AT47" i="22"/>
  <c r="BC48" i="21"/>
  <c r="BF51" i="21"/>
  <c r="AW50" i="22"/>
  <c r="AW49" i="22"/>
  <c r="BI52" i="23"/>
  <c r="BF52" i="23"/>
  <c r="AU50" i="18"/>
  <c r="BI51" i="23"/>
  <c r="BI47" i="23"/>
  <c r="AQ51" i="22"/>
  <c r="AQ47" i="22"/>
  <c r="BC51" i="23"/>
  <c r="BC47" i="23"/>
  <c r="BL51" i="23"/>
  <c r="BL47" i="23"/>
  <c r="AW48" i="22"/>
  <c r="AZ52" i="22"/>
  <c r="BF49" i="23"/>
  <c r="AW51" i="22"/>
  <c r="AW47" i="22"/>
  <c r="BF51" i="23"/>
  <c r="BF47" i="23"/>
  <c r="AY51" i="20"/>
  <c r="BL51" i="21"/>
  <c r="BC51" i="3"/>
  <c r="AY51" i="19"/>
  <c r="BH51" i="20"/>
  <c r="AZ46" i="22"/>
  <c r="BI46" i="23"/>
  <c r="BI48" i="23"/>
  <c r="AT49" i="22"/>
  <c r="AQ46" i="22"/>
  <c r="BC50" i="23"/>
  <c r="BL49" i="23"/>
  <c r="BA50" i="18"/>
  <c r="BF46" i="23"/>
  <c r="BD49" i="18"/>
  <c r="AU49" i="18"/>
  <c r="BA49" i="18"/>
  <c r="AX49" i="18"/>
  <c r="BH50" i="19"/>
  <c r="AX51" i="18"/>
  <c r="AX47" i="18"/>
  <c r="AU51" i="18"/>
  <c r="AU47" i="18"/>
  <c r="BA51" i="18"/>
  <c r="BA47" i="18"/>
  <c r="BD51" i="18"/>
  <c r="BD47" i="18"/>
  <c r="BD48" i="18"/>
  <c r="AX48" i="18"/>
  <c r="BA48" i="18"/>
  <c r="AU48" i="18"/>
  <c r="BA46" i="18"/>
  <c r="BD46" i="18"/>
  <c r="AU46" i="18"/>
  <c r="AX46" i="18"/>
  <c r="BA52" i="18"/>
  <c r="AU52" i="18"/>
  <c r="AX52" i="18"/>
  <c r="BD52" i="18"/>
  <c r="AX16" i="22"/>
  <c r="AX38" i="22"/>
  <c r="AX33" i="22"/>
  <c r="AX26" i="22"/>
  <c r="AX6" i="22"/>
  <c r="AX45" i="22"/>
  <c r="AX25" i="22"/>
  <c r="AX28" i="22"/>
  <c r="AX13" i="22"/>
  <c r="AX32" i="22"/>
  <c r="AX41" i="22"/>
  <c r="AX39" i="22"/>
  <c r="AX12" i="22"/>
  <c r="AX22" i="22"/>
  <c r="AX30" i="22"/>
  <c r="AX21" i="22"/>
  <c r="AX34" i="22"/>
  <c r="AX42" i="22"/>
  <c r="AX9" i="22"/>
  <c r="AX36" i="22"/>
  <c r="AX10" i="22"/>
  <c r="AX18" i="22"/>
  <c r="AX37" i="22"/>
  <c r="AX31" i="22"/>
  <c r="AX40" i="22"/>
  <c r="AX44" i="22"/>
  <c r="AX19" i="22"/>
  <c r="AX7" i="22"/>
  <c r="AX43" i="22"/>
  <c r="AX23" i="22"/>
  <c r="AX15" i="22"/>
  <c r="AX3" i="22"/>
  <c r="AX20" i="22"/>
  <c r="AX29" i="22"/>
  <c r="AX8" i="22"/>
  <c r="AX14" i="22"/>
  <c r="AX17" i="22"/>
  <c r="AX11" i="22"/>
  <c r="AX35" i="22"/>
  <c r="AX24" i="22"/>
  <c r="AX27" i="22"/>
  <c r="AZ5" i="22"/>
  <c r="AZ70" i="22" s="1"/>
  <c r="BG3" i="22"/>
  <c r="BD20" i="22"/>
  <c r="BD42" i="22"/>
  <c r="BD33" i="22"/>
  <c r="BD22" i="22"/>
  <c r="BD6" i="22"/>
  <c r="BD21" i="22"/>
  <c r="BD34" i="22"/>
  <c r="BD23" i="22"/>
  <c r="BD12" i="22"/>
  <c r="BD30" i="22"/>
  <c r="BD32" i="22"/>
  <c r="BD18" i="22"/>
  <c r="BD45" i="22"/>
  <c r="BD39" i="22"/>
  <c r="BD7" i="22"/>
  <c r="BD24" i="22"/>
  <c r="BD3" i="22"/>
  <c r="BD41" i="22"/>
  <c r="BD31" i="22"/>
  <c r="BD8" i="22"/>
  <c r="BD44" i="22"/>
  <c r="BD40" i="22"/>
  <c r="BD19" i="22"/>
  <c r="BD29" i="22"/>
  <c r="BD9" i="22"/>
  <c r="BD38" i="22"/>
  <c r="BD15" i="22"/>
  <c r="BD17" i="22"/>
  <c r="BD43" i="22"/>
  <c r="BD13" i="22"/>
  <c r="BD10" i="22"/>
  <c r="BD16" i="22"/>
  <c r="BD11" i="22"/>
  <c r="BD25" i="22"/>
  <c r="BD26" i="22"/>
  <c r="BD14" i="22"/>
  <c r="BD37" i="22"/>
  <c r="BD36" i="22"/>
  <c r="BD28" i="22"/>
  <c r="BD35" i="22"/>
  <c r="BD27" i="22"/>
  <c r="BE17" i="18"/>
  <c r="BE37" i="18"/>
  <c r="BE34" i="18"/>
  <c r="BE10" i="18"/>
  <c r="BE14" i="18"/>
  <c r="BE3" i="18"/>
  <c r="BE32" i="18"/>
  <c r="BE40" i="18"/>
  <c r="BE6" i="18"/>
  <c r="BE22" i="18"/>
  <c r="BE20" i="18"/>
  <c r="BE23" i="18"/>
  <c r="BE29" i="18"/>
  <c r="BE9" i="18"/>
  <c r="BE24" i="18"/>
  <c r="BE21" i="18"/>
  <c r="BE33" i="18"/>
  <c r="BE28" i="18"/>
  <c r="BE8" i="18"/>
  <c r="BE31" i="18"/>
  <c r="BE39" i="18"/>
  <c r="BE18" i="18"/>
  <c r="BE11" i="18"/>
  <c r="BE12" i="18"/>
  <c r="BE36" i="18"/>
  <c r="BE25" i="18"/>
  <c r="BE45" i="18"/>
  <c r="BE7" i="18"/>
  <c r="BE44" i="18"/>
  <c r="BE38" i="18"/>
  <c r="BE30" i="18"/>
  <c r="BE16" i="18"/>
  <c r="BE41" i="18"/>
  <c r="BE13" i="18"/>
  <c r="BE26" i="18"/>
  <c r="BE35" i="18"/>
  <c r="BE42" i="18"/>
  <c r="BE27" i="18"/>
  <c r="BE19" i="18"/>
  <c r="BE15" i="18"/>
  <c r="BE43" i="18"/>
  <c r="BS3" i="23"/>
  <c r="BP34" i="23"/>
  <c r="BP11" i="23"/>
  <c r="BP13" i="23"/>
  <c r="BP39" i="23"/>
  <c r="BP33" i="23"/>
  <c r="BP8" i="23"/>
  <c r="BP41" i="23"/>
  <c r="BP26" i="23"/>
  <c r="BP10" i="23"/>
  <c r="BP32" i="23"/>
  <c r="BP24" i="23"/>
  <c r="BP44" i="23"/>
  <c r="BP19" i="23"/>
  <c r="BP37" i="23"/>
  <c r="BP15" i="23"/>
  <c r="BP38" i="23"/>
  <c r="BP12" i="23"/>
  <c r="BP23" i="23"/>
  <c r="BP3" i="23"/>
  <c r="BP20" i="23"/>
  <c r="BP7" i="23"/>
  <c r="BP27" i="23"/>
  <c r="BP25" i="23"/>
  <c r="BP6" i="23"/>
  <c r="BP16" i="23"/>
  <c r="BP29" i="23"/>
  <c r="BP17" i="23"/>
  <c r="BP36" i="23"/>
  <c r="BP21" i="23"/>
  <c r="BP42" i="23"/>
  <c r="BP35" i="23"/>
  <c r="BP14" i="23"/>
  <c r="BP31" i="23"/>
  <c r="BP30" i="23"/>
  <c r="BP45" i="23"/>
  <c r="BP43" i="23"/>
  <c r="BP18" i="23"/>
  <c r="BP9" i="23"/>
  <c r="BP40" i="23"/>
  <c r="BP28" i="23"/>
  <c r="BP22" i="23"/>
  <c r="BA5" i="18"/>
  <c r="BA70" i="18" s="1"/>
  <c r="BA20" i="22"/>
  <c r="BA17" i="22"/>
  <c r="BA8" i="22"/>
  <c r="BA13" i="22"/>
  <c r="BA15" i="22"/>
  <c r="BA16" i="22"/>
  <c r="BA32" i="22"/>
  <c r="BA25" i="22"/>
  <c r="BA24" i="22"/>
  <c r="BA38" i="22"/>
  <c r="BA19" i="22"/>
  <c r="BA37" i="22"/>
  <c r="BA9" i="22"/>
  <c r="BA43" i="22"/>
  <c r="BA10" i="22"/>
  <c r="BA45" i="22"/>
  <c r="BA39" i="22"/>
  <c r="BA29" i="22"/>
  <c r="BA31" i="22"/>
  <c r="BA30" i="22"/>
  <c r="BA28" i="22"/>
  <c r="BA11" i="22"/>
  <c r="BA44" i="22"/>
  <c r="BA6" i="22"/>
  <c r="BA14" i="22"/>
  <c r="BA3" i="22"/>
  <c r="BA41" i="22"/>
  <c r="BA23" i="22"/>
  <c r="BA40" i="22"/>
  <c r="BA35" i="22"/>
  <c r="BA27" i="22"/>
  <c r="BA21" i="22"/>
  <c r="BA34" i="22"/>
  <c r="BA12" i="22"/>
  <c r="BA36" i="22"/>
  <c r="BA26" i="22"/>
  <c r="BA18" i="22"/>
  <c r="BA7" i="22"/>
  <c r="BA33" i="22"/>
  <c r="BA42" i="22"/>
  <c r="BA22" i="22"/>
  <c r="BJ21" i="23"/>
  <c r="BJ45" i="23"/>
  <c r="BJ8" i="23"/>
  <c r="BJ35" i="23"/>
  <c r="BJ23" i="23"/>
  <c r="BJ7" i="23"/>
  <c r="BJ26" i="23"/>
  <c r="BJ34" i="23"/>
  <c r="BJ25" i="23"/>
  <c r="BJ33" i="23"/>
  <c r="BJ44" i="23"/>
  <c r="BJ37" i="23"/>
  <c r="BJ36" i="23"/>
  <c r="BJ31" i="23"/>
  <c r="BJ11" i="23"/>
  <c r="BJ29" i="23"/>
  <c r="BJ27" i="23"/>
  <c r="BJ12" i="23"/>
  <c r="BJ18" i="23"/>
  <c r="BJ6" i="23"/>
  <c r="BJ13" i="23"/>
  <c r="BJ30" i="23"/>
  <c r="BJ50" i="23" s="1"/>
  <c r="BJ24" i="23"/>
  <c r="BJ19" i="23"/>
  <c r="BJ42" i="23"/>
  <c r="BJ40" i="23"/>
  <c r="BJ22" i="23"/>
  <c r="BJ28" i="23"/>
  <c r="BJ10" i="23"/>
  <c r="BJ3" i="23"/>
  <c r="BJ41" i="23"/>
  <c r="BJ39" i="23"/>
  <c r="BJ32" i="23"/>
  <c r="BJ9" i="23"/>
  <c r="BJ20" i="23"/>
  <c r="BJ16" i="23"/>
  <c r="BJ15" i="23"/>
  <c r="BJ43" i="23"/>
  <c r="BJ38" i="23"/>
  <c r="BJ14" i="23"/>
  <c r="BJ17" i="23"/>
  <c r="AU28" i="22"/>
  <c r="AU34" i="22"/>
  <c r="AU25" i="22"/>
  <c r="AU44" i="22"/>
  <c r="AU24" i="22"/>
  <c r="AU21" i="22"/>
  <c r="AU20" i="22"/>
  <c r="AU29" i="22"/>
  <c r="AU38" i="22"/>
  <c r="AU32" i="22"/>
  <c r="AU16" i="22"/>
  <c r="AU17" i="22"/>
  <c r="AU9" i="22"/>
  <c r="AU13" i="22"/>
  <c r="AU15" i="22"/>
  <c r="AU45" i="22"/>
  <c r="AU11" i="22"/>
  <c r="AU33" i="22"/>
  <c r="AU6" i="22"/>
  <c r="AU10" i="22"/>
  <c r="AU19" i="22"/>
  <c r="AU35" i="22"/>
  <c r="AU12" i="22"/>
  <c r="AU8" i="22"/>
  <c r="AU22" i="22"/>
  <c r="AU41" i="22"/>
  <c r="AU31" i="22"/>
  <c r="AU7" i="22"/>
  <c r="AU36" i="22"/>
  <c r="AU30" i="22"/>
  <c r="AU37" i="22"/>
  <c r="AU42" i="22"/>
  <c r="AU39" i="22"/>
  <c r="AU26" i="22"/>
  <c r="AU27" i="22"/>
  <c r="AU18" i="22"/>
  <c r="AU23" i="22"/>
  <c r="AU43" i="22"/>
  <c r="AU40" i="22"/>
  <c r="AU14" i="22"/>
  <c r="BH17" i="18"/>
  <c r="BH15" i="18"/>
  <c r="BH6" i="18"/>
  <c r="BH31" i="18"/>
  <c r="BH25" i="18"/>
  <c r="BH16" i="18"/>
  <c r="BH20" i="18"/>
  <c r="BH33" i="18"/>
  <c r="BH21" i="18"/>
  <c r="BH35" i="18"/>
  <c r="BH44" i="18"/>
  <c r="BH3" i="18"/>
  <c r="BH11" i="18"/>
  <c r="BH40" i="18"/>
  <c r="BH26" i="18"/>
  <c r="BH32" i="18"/>
  <c r="BH37" i="18"/>
  <c r="BH34" i="18"/>
  <c r="BH12" i="18"/>
  <c r="BH14" i="18"/>
  <c r="BH38" i="18"/>
  <c r="BH19" i="18"/>
  <c r="BH7" i="18"/>
  <c r="BH28" i="18"/>
  <c r="BH27" i="18"/>
  <c r="BH24" i="18"/>
  <c r="BH18" i="18"/>
  <c r="BH13" i="18"/>
  <c r="BH43" i="18"/>
  <c r="BH9" i="18"/>
  <c r="BH42" i="18"/>
  <c r="BH41" i="18"/>
  <c r="BH29" i="18"/>
  <c r="BH8" i="18"/>
  <c r="BH36" i="18"/>
  <c r="BH22" i="18"/>
  <c r="BK3" i="18"/>
  <c r="BH45" i="18"/>
  <c r="BH23" i="18"/>
  <c r="BH10" i="18"/>
  <c r="BH39" i="18"/>
  <c r="BH30" i="18"/>
  <c r="AT5" i="22"/>
  <c r="AT70" i="22" s="1"/>
  <c r="AU5" i="18"/>
  <c r="AU70" i="18" s="1"/>
  <c r="BI5" i="23"/>
  <c r="BI70" i="23" s="1"/>
  <c r="BB45" i="18"/>
  <c r="BB43" i="18"/>
  <c r="BB6" i="18"/>
  <c r="BB23" i="18"/>
  <c r="BB38" i="18"/>
  <c r="BB19" i="18"/>
  <c r="BB11" i="18"/>
  <c r="BB35" i="18"/>
  <c r="BB26" i="18"/>
  <c r="BB24" i="18"/>
  <c r="BB17" i="18"/>
  <c r="BB37" i="18"/>
  <c r="BB12" i="18"/>
  <c r="BB14" i="18"/>
  <c r="BB30" i="18"/>
  <c r="BB34" i="18"/>
  <c r="BB33" i="18"/>
  <c r="BB7" i="18"/>
  <c r="BB31" i="18"/>
  <c r="BB25" i="18"/>
  <c r="BB16" i="18"/>
  <c r="BB41" i="18"/>
  <c r="BB15" i="18"/>
  <c r="BB27" i="18"/>
  <c r="BB36" i="18"/>
  <c r="BB39" i="18"/>
  <c r="BB3" i="18"/>
  <c r="BB29" i="18"/>
  <c r="BB22" i="18"/>
  <c r="BB10" i="18"/>
  <c r="BB44" i="18"/>
  <c r="BB21" i="18"/>
  <c r="BB20" i="18"/>
  <c r="BB13" i="18"/>
  <c r="BB28" i="18"/>
  <c r="BB32" i="18"/>
  <c r="BB18" i="18"/>
  <c r="BB40" i="18"/>
  <c r="BB8" i="18"/>
  <c r="BB9" i="18"/>
  <c r="BB42" i="18"/>
  <c r="AY18" i="18"/>
  <c r="AY41" i="18"/>
  <c r="AY22" i="18"/>
  <c r="AY23" i="18"/>
  <c r="AY38" i="18"/>
  <c r="AY19" i="18"/>
  <c r="AY37" i="18"/>
  <c r="AY28" i="18"/>
  <c r="AY26" i="18"/>
  <c r="AY39" i="18"/>
  <c r="AY45" i="18"/>
  <c r="AY8" i="18"/>
  <c r="AY12" i="18"/>
  <c r="AY9" i="18"/>
  <c r="AY31" i="18"/>
  <c r="AY17" i="18"/>
  <c r="AY11" i="18"/>
  <c r="AY40" i="18"/>
  <c r="AY14" i="18"/>
  <c r="AY42" i="18"/>
  <c r="AY16" i="18"/>
  <c r="AY30" i="18"/>
  <c r="AY33" i="18"/>
  <c r="AY7" i="18"/>
  <c r="AY36" i="18"/>
  <c r="AY21" i="18"/>
  <c r="AY25" i="18"/>
  <c r="AY13" i="18"/>
  <c r="AY10" i="18"/>
  <c r="AY35" i="18"/>
  <c r="AY34" i="18"/>
  <c r="AY32" i="18"/>
  <c r="AY15" i="18"/>
  <c r="AY6" i="18"/>
  <c r="AY44" i="18"/>
  <c r="AY29" i="18"/>
  <c r="AY20" i="18"/>
  <c r="AY43" i="18"/>
  <c r="AY27" i="18"/>
  <c r="AY24" i="18"/>
  <c r="BD5" i="18"/>
  <c r="BD70" i="18" s="1"/>
  <c r="BC5" i="23"/>
  <c r="BC70" i="23" s="1"/>
  <c r="BG45" i="23"/>
  <c r="BG8" i="23"/>
  <c r="BG7" i="23"/>
  <c r="BG31" i="23"/>
  <c r="BG44" i="23"/>
  <c r="BG9" i="23"/>
  <c r="BG21" i="23"/>
  <c r="BG29" i="23"/>
  <c r="BG11" i="23"/>
  <c r="BG38" i="23"/>
  <c r="BG40" i="23"/>
  <c r="BG15" i="23"/>
  <c r="BG19" i="23"/>
  <c r="BG20" i="23"/>
  <c r="BG22" i="23"/>
  <c r="BG32" i="23"/>
  <c r="BG39" i="23"/>
  <c r="BG18" i="23"/>
  <c r="BG24" i="23"/>
  <c r="BG16" i="23"/>
  <c r="BG34" i="23"/>
  <c r="BG43" i="23"/>
  <c r="BG30" i="23"/>
  <c r="BG17" i="23"/>
  <c r="BG37" i="23"/>
  <c r="BG26" i="23"/>
  <c r="BG27" i="23"/>
  <c r="BG33" i="23"/>
  <c r="BG42" i="23"/>
  <c r="BG28" i="23"/>
  <c r="BG6" i="23"/>
  <c r="BG35" i="23"/>
  <c r="BG10" i="23"/>
  <c r="BG12" i="23"/>
  <c r="BG41" i="23"/>
  <c r="BG14" i="23"/>
  <c r="BG13" i="23"/>
  <c r="BG36" i="23"/>
  <c r="BG23" i="23"/>
  <c r="BG25" i="23"/>
  <c r="AW5" i="22"/>
  <c r="AW70" i="22" s="1"/>
  <c r="AQ5" i="22"/>
  <c r="AQ70" i="22" s="1"/>
  <c r="BL5" i="23"/>
  <c r="BL70" i="23" s="1"/>
  <c r="BM15" i="23"/>
  <c r="BM27" i="23"/>
  <c r="BM31" i="23"/>
  <c r="BM21" i="23"/>
  <c r="BM36" i="23"/>
  <c r="BM30" i="23"/>
  <c r="BM16" i="23"/>
  <c r="BM42" i="23"/>
  <c r="BM8" i="23"/>
  <c r="BM40" i="23"/>
  <c r="BM25" i="23"/>
  <c r="BM37" i="23"/>
  <c r="BM23" i="23"/>
  <c r="BM13" i="23"/>
  <c r="BM9" i="23"/>
  <c r="BM12" i="23"/>
  <c r="BM28" i="23"/>
  <c r="BM3" i="23"/>
  <c r="BM10" i="23"/>
  <c r="BM17" i="23"/>
  <c r="BM33" i="23"/>
  <c r="BM45" i="23"/>
  <c r="BM26" i="23"/>
  <c r="BM6" i="23"/>
  <c r="BM38" i="23"/>
  <c r="BM14" i="23"/>
  <c r="BM19" i="23"/>
  <c r="BM32" i="23"/>
  <c r="BM18" i="23"/>
  <c r="BM44" i="23"/>
  <c r="BM29" i="23"/>
  <c r="BM11" i="23"/>
  <c r="BM34" i="23"/>
  <c r="BM20" i="23"/>
  <c r="BM43" i="23"/>
  <c r="BM7" i="23"/>
  <c r="BM24" i="23"/>
  <c r="BM22" i="23"/>
  <c r="BM41" i="23"/>
  <c r="BM35" i="23"/>
  <c r="BM39" i="23"/>
  <c r="BF5" i="23"/>
  <c r="BF70" i="23" s="1"/>
  <c r="AX5" i="18"/>
  <c r="AX70" i="18" s="1"/>
  <c r="BH53" i="20"/>
  <c r="BB47" i="20"/>
  <c r="BL49" i="3"/>
  <c r="BC46" i="21"/>
  <c r="BC48" i="3"/>
  <c r="BL50" i="3"/>
  <c r="BI53" i="21"/>
  <c r="BH47" i="20"/>
  <c r="BE50" i="20"/>
  <c r="BB48" i="20"/>
  <c r="AY48" i="20"/>
  <c r="BC53" i="3"/>
  <c r="AY49" i="20"/>
  <c r="BE47" i="20"/>
  <c r="BH48" i="19"/>
  <c r="BI53" i="3"/>
  <c r="BH49" i="20"/>
  <c r="BL53" i="3"/>
  <c r="AY53" i="20"/>
  <c r="BC53" i="21"/>
  <c r="BH53" i="19"/>
  <c r="AY50" i="19"/>
  <c r="BH48" i="20"/>
  <c r="BF46" i="3"/>
  <c r="AY53" i="19"/>
  <c r="BF53" i="3"/>
  <c r="BI46" i="21"/>
  <c r="BB48" i="19"/>
  <c r="BF53" i="21"/>
  <c r="BL48" i="21"/>
  <c r="BI47" i="21"/>
  <c r="BE48" i="19"/>
  <c r="BF47" i="3"/>
  <c r="BH50" i="20"/>
  <c r="BC49" i="21"/>
  <c r="BL53" i="21"/>
  <c r="BB53" i="20"/>
  <c r="BB53" i="19"/>
  <c r="BF48" i="21"/>
  <c r="BC50" i="3"/>
  <c r="BE53" i="20"/>
  <c r="BE53" i="19"/>
  <c r="BF46" i="21"/>
  <c r="BC5" i="3"/>
  <c r="BC70" i="3" s="1"/>
  <c r="BJ21" i="21"/>
  <c r="BJ18" i="21"/>
  <c r="BJ3" i="21"/>
  <c r="BJ16" i="21"/>
  <c r="BJ19" i="21"/>
  <c r="BJ27" i="21"/>
  <c r="BJ41" i="21"/>
  <c r="BJ17" i="21"/>
  <c r="BJ34" i="21"/>
  <c r="BJ20" i="21"/>
  <c r="BJ33" i="21"/>
  <c r="BJ45" i="21"/>
  <c r="BJ11" i="21"/>
  <c r="BJ26" i="21"/>
  <c r="BJ42" i="21"/>
  <c r="BJ12" i="21"/>
  <c r="BJ9" i="21"/>
  <c r="BJ6" i="21"/>
  <c r="BJ24" i="21"/>
  <c r="BJ8" i="21"/>
  <c r="BJ28" i="21"/>
  <c r="BJ7" i="21"/>
  <c r="BJ32" i="21"/>
  <c r="BJ39" i="21"/>
  <c r="BJ22" i="21"/>
  <c r="BJ30" i="21"/>
  <c r="BJ40" i="21"/>
  <c r="BJ13" i="21"/>
  <c r="BJ15" i="21"/>
  <c r="BJ37" i="21"/>
  <c r="BJ38" i="21"/>
  <c r="BJ44" i="21"/>
  <c r="BJ23" i="21"/>
  <c r="BJ31" i="21"/>
  <c r="BJ14" i="21"/>
  <c r="BJ25" i="21"/>
  <c r="BJ29" i="21"/>
  <c r="BJ35" i="21"/>
  <c r="BJ10" i="21"/>
  <c r="BJ43" i="21"/>
  <c r="BJ36" i="21"/>
  <c r="BJ3" i="3"/>
  <c r="BJ42" i="3"/>
  <c r="BJ16" i="3"/>
  <c r="BJ12" i="3"/>
  <c r="BJ8" i="3"/>
  <c r="BJ37" i="3"/>
  <c r="BJ19" i="3"/>
  <c r="BJ20" i="3"/>
  <c r="BJ38" i="3"/>
  <c r="BJ18" i="3"/>
  <c r="BJ9" i="3"/>
  <c r="BJ41" i="3"/>
  <c r="BJ21" i="3"/>
  <c r="BJ24" i="3"/>
  <c r="BJ17" i="3"/>
  <c r="BJ33" i="3"/>
  <c r="BJ36" i="3"/>
  <c r="BJ40" i="3"/>
  <c r="BJ28" i="3"/>
  <c r="BJ35" i="3"/>
  <c r="BJ29" i="3"/>
  <c r="BJ45" i="3"/>
  <c r="BJ39" i="3"/>
  <c r="BJ30" i="3"/>
  <c r="BJ43" i="3"/>
  <c r="BJ11" i="3"/>
  <c r="BJ6" i="3"/>
  <c r="BJ13" i="3"/>
  <c r="BJ10" i="3"/>
  <c r="BJ7" i="3"/>
  <c r="BJ34" i="3"/>
  <c r="BJ14" i="3"/>
  <c r="BJ15" i="3"/>
  <c r="BJ23" i="3"/>
  <c r="BJ44" i="3"/>
  <c r="BJ31" i="3"/>
  <c r="BJ32" i="3"/>
  <c r="BJ27" i="3"/>
  <c r="BJ26" i="3"/>
  <c r="BJ25" i="3"/>
  <c r="BJ22" i="3"/>
  <c r="AU70" i="19"/>
  <c r="BH46" i="19"/>
  <c r="BC47" i="3"/>
  <c r="BP16" i="3"/>
  <c r="BP19" i="3"/>
  <c r="BS3" i="3"/>
  <c r="BP12" i="3"/>
  <c r="BP3" i="3"/>
  <c r="BP8" i="3"/>
  <c r="BP20" i="3"/>
  <c r="BP37" i="3"/>
  <c r="BP10" i="3"/>
  <c r="BP21" i="3"/>
  <c r="BP41" i="3"/>
  <c r="BP18" i="3"/>
  <c r="BP17" i="3"/>
  <c r="BP24" i="3"/>
  <c r="BP30" i="3"/>
  <c r="BP36" i="3"/>
  <c r="BP42" i="3"/>
  <c r="BP28" i="3"/>
  <c r="BP29" i="3"/>
  <c r="BP39" i="3"/>
  <c r="BP43" i="3"/>
  <c r="BP40" i="3"/>
  <c r="BP33" i="3"/>
  <c r="BP35" i="3"/>
  <c r="BP45" i="3"/>
  <c r="BP11" i="3"/>
  <c r="BP9" i="3"/>
  <c r="BP13" i="3"/>
  <c r="BP6" i="3"/>
  <c r="BP32" i="3"/>
  <c r="BP34" i="3"/>
  <c r="BP38" i="3"/>
  <c r="BP44" i="3"/>
  <c r="BP15" i="3"/>
  <c r="BP22" i="3"/>
  <c r="BP7" i="3"/>
  <c r="BP26" i="3"/>
  <c r="BP31" i="3"/>
  <c r="BP25" i="3"/>
  <c r="BP27" i="3"/>
  <c r="BP14" i="3"/>
  <c r="BP23" i="3"/>
  <c r="BI48" i="21"/>
  <c r="BH70" i="21"/>
  <c r="BF48" i="3"/>
  <c r="BF49" i="3"/>
  <c r="BB50" i="20"/>
  <c r="BA70" i="20"/>
  <c r="AU70" i="20"/>
  <c r="BF50" i="21"/>
  <c r="BF47" i="21"/>
  <c r="BE70" i="21"/>
  <c r="BL50" i="21"/>
  <c r="BM3" i="21"/>
  <c r="BM21" i="21"/>
  <c r="BM45" i="21"/>
  <c r="BM17" i="21"/>
  <c r="BM19" i="21"/>
  <c r="BM16" i="21"/>
  <c r="BM20" i="21"/>
  <c r="BM27" i="21"/>
  <c r="BM41" i="21"/>
  <c r="BM34" i="21"/>
  <c r="BM18" i="21"/>
  <c r="BM26" i="21"/>
  <c r="BM11" i="21"/>
  <c r="BM28" i="21"/>
  <c r="BM42" i="21"/>
  <c r="BM8" i="21"/>
  <c r="BM33" i="21"/>
  <c r="BM24" i="21"/>
  <c r="BM9" i="21"/>
  <c r="BM7" i="21"/>
  <c r="BM32" i="21"/>
  <c r="BM12" i="21"/>
  <c r="BM30" i="21"/>
  <c r="BM6" i="21"/>
  <c r="BM22" i="21"/>
  <c r="BM44" i="21"/>
  <c r="BM35" i="21"/>
  <c r="BM13" i="21"/>
  <c r="BM37" i="21"/>
  <c r="BM40" i="21"/>
  <c r="BM38" i="21"/>
  <c r="BM39" i="21"/>
  <c r="BM15" i="21"/>
  <c r="BM14" i="21"/>
  <c r="BM43" i="21"/>
  <c r="BM25" i="21"/>
  <c r="BM10" i="21"/>
  <c r="BM36" i="21"/>
  <c r="BM23" i="21"/>
  <c r="BM31" i="21"/>
  <c r="BM29" i="21"/>
  <c r="AY49" i="19"/>
  <c r="BG41" i="21"/>
  <c r="BG20" i="21"/>
  <c r="BG21" i="21"/>
  <c r="BG16" i="21"/>
  <c r="BG17" i="21"/>
  <c r="BG19" i="21"/>
  <c r="BG28" i="21"/>
  <c r="BG45" i="21"/>
  <c r="BG18" i="21"/>
  <c r="BG26" i="21"/>
  <c r="BG34" i="21"/>
  <c r="BG11" i="21"/>
  <c r="BG42" i="21"/>
  <c r="BG25" i="21"/>
  <c r="BG33" i="21"/>
  <c r="BG8" i="21"/>
  <c r="BG9" i="21"/>
  <c r="BG32" i="21"/>
  <c r="BG30" i="21"/>
  <c r="BG39" i="21"/>
  <c r="BG12" i="21"/>
  <c r="BG6" i="21"/>
  <c r="BG7" i="21"/>
  <c r="BG40" i="21"/>
  <c r="BG24" i="21"/>
  <c r="BG37" i="21"/>
  <c r="BG22" i="21"/>
  <c r="BG13" i="21"/>
  <c r="BG44" i="21"/>
  <c r="BG38" i="21"/>
  <c r="BG43" i="21"/>
  <c r="BG15" i="21"/>
  <c r="BG31" i="21"/>
  <c r="BG14" i="21"/>
  <c r="BG10" i="21"/>
  <c r="BG27" i="21"/>
  <c r="BG23" i="21"/>
  <c r="BG36" i="21"/>
  <c r="BG35" i="21"/>
  <c r="BG29" i="21"/>
  <c r="BP17" i="21"/>
  <c r="BS3" i="21"/>
  <c r="BP3" i="21"/>
  <c r="BP21" i="21"/>
  <c r="BP19" i="21"/>
  <c r="BP16" i="21"/>
  <c r="BP45" i="21"/>
  <c r="BP37" i="21"/>
  <c r="BP18" i="21"/>
  <c r="BP41" i="21"/>
  <c r="BP30" i="21"/>
  <c r="BP25" i="21"/>
  <c r="BP33" i="21"/>
  <c r="BP20" i="21"/>
  <c r="BP26" i="21"/>
  <c r="BP11" i="21"/>
  <c r="BP42" i="21"/>
  <c r="BP34" i="21"/>
  <c r="BP32" i="21"/>
  <c r="BP6" i="21"/>
  <c r="BP8" i="21"/>
  <c r="BP9" i="21"/>
  <c r="BP28" i="21"/>
  <c r="BP7" i="21"/>
  <c r="BP24" i="21"/>
  <c r="BP12" i="21"/>
  <c r="BP40" i="21"/>
  <c r="BP38" i="21"/>
  <c r="BP13" i="21"/>
  <c r="BP15" i="21"/>
  <c r="BP39" i="21"/>
  <c r="BP44" i="21"/>
  <c r="BP22" i="21"/>
  <c r="BP31" i="21"/>
  <c r="BP14" i="21"/>
  <c r="BP43" i="21"/>
  <c r="BP27" i="21"/>
  <c r="BP23" i="21"/>
  <c r="BP29" i="21"/>
  <c r="BP10" i="21"/>
  <c r="BP36" i="21"/>
  <c r="BP35" i="21"/>
  <c r="AX70" i="20"/>
  <c r="BL21" i="20"/>
  <c r="BO3" i="20"/>
  <c r="BL16" i="20"/>
  <c r="BL3" i="20"/>
  <c r="BL19" i="20"/>
  <c r="BL18" i="20"/>
  <c r="BL44" i="20"/>
  <c r="BL34" i="20"/>
  <c r="BL17" i="20"/>
  <c r="BL30" i="20"/>
  <c r="BL37" i="20"/>
  <c r="BL20" i="20"/>
  <c r="BL29" i="20"/>
  <c r="BL36" i="20"/>
  <c r="BL41" i="20"/>
  <c r="BL9" i="20"/>
  <c r="BL45" i="20"/>
  <c r="BL8" i="20"/>
  <c r="BL13" i="20"/>
  <c r="BL40" i="20"/>
  <c r="BL42" i="20"/>
  <c r="BL14" i="20"/>
  <c r="BL43" i="20"/>
  <c r="BL15" i="20"/>
  <c r="BL28" i="20"/>
  <c r="BL39" i="20"/>
  <c r="BL32" i="20"/>
  <c r="BL10" i="20"/>
  <c r="BL12" i="20"/>
  <c r="BL7" i="20"/>
  <c r="BL33" i="20"/>
  <c r="BL35" i="20"/>
  <c r="BL6" i="20"/>
  <c r="BL11" i="20"/>
  <c r="BL26" i="20"/>
  <c r="BL27" i="20"/>
  <c r="BL38" i="20"/>
  <c r="BL31" i="20"/>
  <c r="BL25" i="20"/>
  <c r="BL24" i="20"/>
  <c r="BL22" i="20"/>
  <c r="BL23" i="20"/>
  <c r="BF16" i="20"/>
  <c r="BF3" i="20"/>
  <c r="BF21" i="20"/>
  <c r="BF41" i="20"/>
  <c r="BF19" i="20"/>
  <c r="BF29" i="20"/>
  <c r="BF42" i="20"/>
  <c r="BF24" i="20"/>
  <c r="BF17" i="20"/>
  <c r="BF37" i="20"/>
  <c r="BF30" i="20"/>
  <c r="BF18" i="20"/>
  <c r="BF10" i="20"/>
  <c r="BF9" i="20"/>
  <c r="BF45" i="20"/>
  <c r="BF40" i="20"/>
  <c r="BF32" i="20"/>
  <c r="BF13" i="20"/>
  <c r="BF31" i="20"/>
  <c r="BF34" i="20"/>
  <c r="BF14" i="20"/>
  <c r="BF39" i="20"/>
  <c r="BF36" i="20"/>
  <c r="BF8" i="20"/>
  <c r="BF43" i="20"/>
  <c r="BF15" i="20"/>
  <c r="BF28" i="20"/>
  <c r="BF12" i="20"/>
  <c r="BF20" i="20"/>
  <c r="BF7" i="20"/>
  <c r="BF33" i="20"/>
  <c r="BF26" i="20"/>
  <c r="BF11" i="20"/>
  <c r="BF6" i="20"/>
  <c r="BF44" i="20"/>
  <c r="BF38" i="20"/>
  <c r="BF23" i="20"/>
  <c r="BF25" i="20"/>
  <c r="BF35" i="20"/>
  <c r="BF50" i="20" s="1"/>
  <c r="BF27" i="20"/>
  <c r="BF22" i="20"/>
  <c r="BE50" i="19"/>
  <c r="BI52" i="3"/>
  <c r="BI5" i="3"/>
  <c r="BL47" i="3"/>
  <c r="AY47" i="20"/>
  <c r="AY50" i="20"/>
  <c r="BC45" i="20"/>
  <c r="BC16" i="20"/>
  <c r="BC21" i="20"/>
  <c r="BC19" i="20"/>
  <c r="BC30" i="20"/>
  <c r="BC37" i="20"/>
  <c r="BC29" i="20"/>
  <c r="BC17" i="20"/>
  <c r="BC34" i="20"/>
  <c r="BC41" i="20"/>
  <c r="BC40" i="20"/>
  <c r="BC18" i="20"/>
  <c r="BC9" i="20"/>
  <c r="BC8" i="20"/>
  <c r="BC32" i="20"/>
  <c r="BC13" i="20"/>
  <c r="BC14" i="20"/>
  <c r="BC43" i="20"/>
  <c r="BC12" i="20"/>
  <c r="BC15" i="20"/>
  <c r="BC39" i="20"/>
  <c r="BC28" i="20"/>
  <c r="BC10" i="20"/>
  <c r="BC7" i="20"/>
  <c r="BC31" i="20"/>
  <c r="BC20" i="20"/>
  <c r="BC11" i="20"/>
  <c r="BC35" i="20"/>
  <c r="BC36" i="20"/>
  <c r="BC26" i="20"/>
  <c r="BC22" i="20"/>
  <c r="BC38" i="20"/>
  <c r="BC33" i="20"/>
  <c r="BC44" i="20"/>
  <c r="BC25" i="20"/>
  <c r="BC24" i="20"/>
  <c r="BC6" i="20"/>
  <c r="BC23" i="20"/>
  <c r="BC42" i="20"/>
  <c r="BC27" i="20"/>
  <c r="BB47" i="19"/>
  <c r="BB52" i="19"/>
  <c r="BB5" i="19"/>
  <c r="BC19" i="19"/>
  <c r="BC21" i="19"/>
  <c r="BC37" i="19"/>
  <c r="BC16" i="19"/>
  <c r="BC34" i="19"/>
  <c r="BC15" i="19"/>
  <c r="BC28" i="19"/>
  <c r="BC45" i="19"/>
  <c r="BC27" i="19"/>
  <c r="BC6" i="19"/>
  <c r="BC38" i="19"/>
  <c r="BC40" i="19"/>
  <c r="BC11" i="19"/>
  <c r="BC43" i="19"/>
  <c r="BC26" i="19"/>
  <c r="BC25" i="19"/>
  <c r="BC7" i="19"/>
  <c r="BC42" i="19"/>
  <c r="BC29" i="19"/>
  <c r="BC14" i="19"/>
  <c r="BC32" i="19"/>
  <c r="BC33" i="19"/>
  <c r="BC13" i="19"/>
  <c r="BC10" i="19"/>
  <c r="BC44" i="19"/>
  <c r="BC9" i="19"/>
  <c r="BC8" i="19"/>
  <c r="BC17" i="19"/>
  <c r="BC12" i="19"/>
  <c r="BC39" i="19"/>
  <c r="BC18" i="19"/>
  <c r="BC20" i="19"/>
  <c r="BC36" i="19"/>
  <c r="BC30" i="19"/>
  <c r="BC41" i="19"/>
  <c r="BC35" i="19"/>
  <c r="BC23" i="19"/>
  <c r="BC24" i="19"/>
  <c r="BC31" i="19"/>
  <c r="BC22" i="19"/>
  <c r="BC50" i="21"/>
  <c r="BI50" i="3"/>
  <c r="BD70" i="19"/>
  <c r="BL46" i="21"/>
  <c r="BI16" i="20"/>
  <c r="BI3" i="20"/>
  <c r="BI21" i="20"/>
  <c r="BI18" i="20"/>
  <c r="BI19" i="20"/>
  <c r="BI34" i="20"/>
  <c r="BI30" i="20"/>
  <c r="BI17" i="20"/>
  <c r="BI32" i="20"/>
  <c r="BI37" i="20"/>
  <c r="BI29" i="20"/>
  <c r="BI45" i="20"/>
  <c r="BI28" i="20"/>
  <c r="BI36" i="20"/>
  <c r="BI41" i="20"/>
  <c r="BI9" i="20"/>
  <c r="BI40" i="20"/>
  <c r="BI14" i="20"/>
  <c r="BI13" i="20"/>
  <c r="BI8" i="20"/>
  <c r="BI39" i="20"/>
  <c r="BI15" i="20"/>
  <c r="BI35" i="20"/>
  <c r="BI43" i="20"/>
  <c r="BI10" i="20"/>
  <c r="BI12" i="20"/>
  <c r="BI7" i="20"/>
  <c r="BI31" i="20"/>
  <c r="BI20" i="20"/>
  <c r="BI6" i="20"/>
  <c r="BI26" i="20"/>
  <c r="BI11" i="20"/>
  <c r="BI33" i="20"/>
  <c r="BI44" i="20"/>
  <c r="BI42" i="20"/>
  <c r="BI27" i="20"/>
  <c r="BI25" i="20"/>
  <c r="BI23" i="20"/>
  <c r="BI22" i="20"/>
  <c r="BI24" i="20"/>
  <c r="BI38" i="20"/>
  <c r="BI47" i="20" s="1"/>
  <c r="BE49" i="19"/>
  <c r="BM12" i="3"/>
  <c r="BM8" i="3"/>
  <c r="BM20" i="3"/>
  <c r="BM23" i="3"/>
  <c r="BM19" i="3"/>
  <c r="BM16" i="3"/>
  <c r="BM3" i="3"/>
  <c r="BM9" i="3"/>
  <c r="BM18" i="3"/>
  <c r="BM24" i="3"/>
  <c r="BM17" i="3"/>
  <c r="BM38" i="3"/>
  <c r="BM41" i="3"/>
  <c r="BM35" i="3"/>
  <c r="BM29" i="3"/>
  <c r="BM37" i="3"/>
  <c r="BM34" i="3"/>
  <c r="BM28" i="3"/>
  <c r="BM21" i="3"/>
  <c r="BM45" i="3"/>
  <c r="BM40" i="3"/>
  <c r="BM33" i="3"/>
  <c r="BM39" i="3"/>
  <c r="BM11" i="3"/>
  <c r="BM13" i="3"/>
  <c r="BM6" i="3"/>
  <c r="BM42" i="3"/>
  <c r="BM43" i="3"/>
  <c r="BM36" i="3"/>
  <c r="BM22" i="3"/>
  <c r="BM32" i="3"/>
  <c r="BM7" i="3"/>
  <c r="BM10" i="3"/>
  <c r="BM44" i="3"/>
  <c r="BM15" i="3"/>
  <c r="BM26" i="3"/>
  <c r="BM30" i="3"/>
  <c r="BM31" i="3"/>
  <c r="BM25" i="3"/>
  <c r="BM14" i="3"/>
  <c r="BM27" i="3"/>
  <c r="BB70" i="21"/>
  <c r="AY47" i="19"/>
  <c r="BE52" i="20"/>
  <c r="BE5" i="20"/>
  <c r="BE46" i="20"/>
  <c r="BE52" i="19"/>
  <c r="BE5" i="19"/>
  <c r="AY46" i="20"/>
  <c r="BB52" i="20"/>
  <c r="BB5" i="20"/>
  <c r="BC47" i="21"/>
  <c r="AY52" i="20"/>
  <c r="AY5" i="20"/>
  <c r="BC52" i="21"/>
  <c r="BC5" i="21"/>
  <c r="BL49" i="21"/>
  <c r="BC52" i="3"/>
  <c r="AY70" i="3"/>
  <c r="BI49" i="21"/>
  <c r="BF52" i="3"/>
  <c r="BF5" i="3"/>
  <c r="BB49" i="20"/>
  <c r="BB50" i="19"/>
  <c r="BI46" i="3"/>
  <c r="BH47" i="19"/>
  <c r="BD70" i="20"/>
  <c r="BL5" i="21"/>
  <c r="BL52" i="21"/>
  <c r="AY48" i="19"/>
  <c r="BA70" i="19"/>
  <c r="BE46" i="19"/>
  <c r="BF50" i="3"/>
  <c r="BB49" i="19"/>
  <c r="BI3" i="19"/>
  <c r="BI15" i="19"/>
  <c r="BI21" i="19"/>
  <c r="BI16" i="19"/>
  <c r="BI27" i="19"/>
  <c r="BI37" i="19"/>
  <c r="BI45" i="19"/>
  <c r="BI34" i="19"/>
  <c r="BI31" i="19"/>
  <c r="BI28" i="19"/>
  <c r="BI38" i="19"/>
  <c r="BI7" i="19"/>
  <c r="BI6" i="19"/>
  <c r="BI40" i="19"/>
  <c r="BI43" i="19"/>
  <c r="BI25" i="19"/>
  <c r="BI11" i="19"/>
  <c r="BI42" i="19"/>
  <c r="BI26" i="19"/>
  <c r="BI19" i="19"/>
  <c r="BI29" i="19"/>
  <c r="BI33" i="19"/>
  <c r="BI8" i="19"/>
  <c r="BI14" i="19"/>
  <c r="BI10" i="19"/>
  <c r="BI32" i="19"/>
  <c r="BI13" i="19"/>
  <c r="BI17" i="19"/>
  <c r="BI44" i="19"/>
  <c r="BI35" i="19"/>
  <c r="BI12" i="19"/>
  <c r="BI18" i="19"/>
  <c r="BI20" i="19"/>
  <c r="BI30" i="19"/>
  <c r="BI41" i="19"/>
  <c r="BI39" i="19"/>
  <c r="BI36" i="19"/>
  <c r="BI9" i="19"/>
  <c r="BI24" i="19"/>
  <c r="BI22" i="19"/>
  <c r="BI23" i="19"/>
  <c r="BF5" i="21"/>
  <c r="BF52" i="21"/>
  <c r="BF49" i="21"/>
  <c r="BE70" i="3"/>
  <c r="BC46" i="3"/>
  <c r="BC49" i="3"/>
  <c r="BL52" i="3"/>
  <c r="BL5" i="3"/>
  <c r="BL48" i="3"/>
  <c r="BI50" i="21"/>
  <c r="BI48" i="3"/>
  <c r="BL19" i="19"/>
  <c r="BO3" i="19"/>
  <c r="BL3" i="19"/>
  <c r="BL21" i="19"/>
  <c r="BL16" i="19"/>
  <c r="BL27" i="19"/>
  <c r="BL28" i="19"/>
  <c r="BL37" i="19"/>
  <c r="BL25" i="19"/>
  <c r="BL45" i="19"/>
  <c r="BL38" i="19"/>
  <c r="BL34" i="19"/>
  <c r="BL15" i="19"/>
  <c r="BL43" i="19"/>
  <c r="BL44" i="19"/>
  <c r="BL40" i="19"/>
  <c r="BL11" i="19"/>
  <c r="BL6" i="19"/>
  <c r="BL10" i="19"/>
  <c r="BL33" i="19"/>
  <c r="BL26" i="19"/>
  <c r="BL8" i="19"/>
  <c r="BL7" i="19"/>
  <c r="BL42" i="19"/>
  <c r="BL32" i="19"/>
  <c r="BL18" i="19"/>
  <c r="BL29" i="19"/>
  <c r="BL24" i="19"/>
  <c r="BL13" i="19"/>
  <c r="BL14" i="19"/>
  <c r="BL17" i="19"/>
  <c r="BL12" i="19"/>
  <c r="BL20" i="19"/>
  <c r="BL9" i="19"/>
  <c r="BL41" i="19"/>
  <c r="BL30" i="19"/>
  <c r="BL36" i="19"/>
  <c r="BL35" i="19"/>
  <c r="BL23" i="19"/>
  <c r="BL39" i="19"/>
  <c r="BL31" i="19"/>
  <c r="BL22" i="19"/>
  <c r="BE48" i="20"/>
  <c r="BE47" i="19"/>
  <c r="BI52" i="21"/>
  <c r="BI5" i="21"/>
  <c r="BB46" i="19"/>
  <c r="AX70" i="19"/>
  <c r="AY5" i="19"/>
  <c r="AY52" i="19"/>
  <c r="BH52" i="20"/>
  <c r="BH5" i="20"/>
  <c r="AY70" i="21"/>
  <c r="BG8" i="3"/>
  <c r="BG20" i="3"/>
  <c r="BG12" i="3"/>
  <c r="BG28" i="3"/>
  <c r="BG19" i="3"/>
  <c r="BG16" i="3"/>
  <c r="BG30" i="3"/>
  <c r="BG13" i="3"/>
  <c r="BG21" i="3"/>
  <c r="BG18" i="3"/>
  <c r="BG17" i="3"/>
  <c r="BG24" i="3"/>
  <c r="BG29" i="3"/>
  <c r="BG38" i="3"/>
  <c r="BG35" i="3"/>
  <c r="BG45" i="3"/>
  <c r="BG41" i="3"/>
  <c r="BG36" i="3"/>
  <c r="BG39" i="3"/>
  <c r="BG34" i="3"/>
  <c r="BG40" i="3"/>
  <c r="BG43" i="3"/>
  <c r="BG11" i="3"/>
  <c r="BG9" i="3"/>
  <c r="BG6" i="3"/>
  <c r="BG42" i="3"/>
  <c r="BG10" i="3"/>
  <c r="BG33" i="3"/>
  <c r="BG37" i="3"/>
  <c r="BG44" i="3"/>
  <c r="BG7" i="3"/>
  <c r="BG32" i="3"/>
  <c r="BG26" i="3"/>
  <c r="BG15" i="3"/>
  <c r="BG31" i="3"/>
  <c r="BG23" i="3"/>
  <c r="BG22" i="3"/>
  <c r="BG14" i="3"/>
  <c r="BG25" i="3"/>
  <c r="BG27" i="3"/>
  <c r="BB46" i="20"/>
  <c r="BB70" i="3"/>
  <c r="BI49" i="3"/>
  <c r="BH49" i="19"/>
  <c r="BH5" i="19"/>
  <c r="BH52" i="19"/>
  <c r="AY46" i="19"/>
  <c r="BH46" i="20"/>
  <c r="BE49" i="20"/>
  <c r="BF3" i="19"/>
  <c r="BF16" i="19"/>
  <c r="BF21" i="19"/>
  <c r="BF29" i="19"/>
  <c r="BF45" i="19"/>
  <c r="BF37" i="19"/>
  <c r="BF27" i="19"/>
  <c r="BF28" i="19"/>
  <c r="BF34" i="19"/>
  <c r="BF15" i="19"/>
  <c r="BF43" i="19"/>
  <c r="BF38" i="19"/>
  <c r="BF6" i="19"/>
  <c r="BF40" i="19"/>
  <c r="BF7" i="19"/>
  <c r="BF19" i="19"/>
  <c r="BF33" i="19"/>
  <c r="BF25" i="19"/>
  <c r="BF11" i="19"/>
  <c r="BF42" i="19"/>
  <c r="BF26" i="19"/>
  <c r="BF10" i="19"/>
  <c r="BF8" i="19"/>
  <c r="BF32" i="19"/>
  <c r="BF14" i="19"/>
  <c r="BF13" i="19"/>
  <c r="BF20" i="19"/>
  <c r="BF17" i="19"/>
  <c r="BF44" i="19"/>
  <c r="BF39" i="19"/>
  <c r="BF18" i="19"/>
  <c r="BF12" i="19"/>
  <c r="BF9" i="19"/>
  <c r="BF41" i="19"/>
  <c r="BF30" i="19"/>
  <c r="BF36" i="19"/>
  <c r="BF35" i="19"/>
  <c r="BF31" i="19"/>
  <c r="BF24" i="19"/>
  <c r="BF23" i="19"/>
  <c r="BF22" i="19"/>
  <c r="D88" i="2"/>
  <c r="C89" i="2"/>
  <c r="BC51" i="20" l="1"/>
  <c r="BJ50" i="21"/>
  <c r="AY53" i="18"/>
  <c r="BB53" i="18"/>
  <c r="BP53" i="23"/>
  <c r="BA53" i="22"/>
  <c r="BE53" i="18"/>
  <c r="BH53" i="18"/>
  <c r="AU50" i="22"/>
  <c r="BH50" i="18"/>
  <c r="BJ47" i="23"/>
  <c r="BJ48" i="23"/>
  <c r="BE50" i="18"/>
  <c r="BI51" i="19"/>
  <c r="BM51" i="3"/>
  <c r="BM51" i="21"/>
  <c r="BJ51" i="3"/>
  <c r="BF47" i="20"/>
  <c r="AY50" i="18"/>
  <c r="AX53" i="22"/>
  <c r="BM48" i="23"/>
  <c r="AX48" i="22"/>
  <c r="BD53" i="22"/>
  <c r="BJ51" i="21"/>
  <c r="BP51" i="21"/>
  <c r="BG50" i="23"/>
  <c r="BD50" i="22"/>
  <c r="BA46" i="22"/>
  <c r="AU46" i="22"/>
  <c r="BG46" i="23"/>
  <c r="AU51" i="22"/>
  <c r="AU47" i="22"/>
  <c r="BF51" i="19"/>
  <c r="BI51" i="20"/>
  <c r="BC51" i="19"/>
  <c r="BP51" i="3"/>
  <c r="BM50" i="23"/>
  <c r="BG49" i="23"/>
  <c r="BA52" i="22"/>
  <c r="BP49" i="23"/>
  <c r="BD52" i="22"/>
  <c r="BD48" i="22"/>
  <c r="BD46" i="22"/>
  <c r="AX52" i="22"/>
  <c r="AX50" i="22"/>
  <c r="BG51" i="23"/>
  <c r="BG47" i="23"/>
  <c r="AX51" i="22"/>
  <c r="AX47" i="22"/>
  <c r="BG51" i="3"/>
  <c r="BG51" i="21"/>
  <c r="BG52" i="23"/>
  <c r="AU49" i="22"/>
  <c r="BJ46" i="23"/>
  <c r="BJ52" i="23"/>
  <c r="BA50" i="22"/>
  <c r="BP50" i="23"/>
  <c r="BP52" i="23"/>
  <c r="BA51" i="22"/>
  <c r="BA47" i="22"/>
  <c r="BL51" i="19"/>
  <c r="BC50" i="20"/>
  <c r="BF51" i="20"/>
  <c r="BL51" i="20"/>
  <c r="BG48" i="23"/>
  <c r="BB48" i="18"/>
  <c r="BH46" i="18"/>
  <c r="AU53" i="22"/>
  <c r="BJ51" i="23"/>
  <c r="BJ49" i="23"/>
  <c r="BA49" i="22"/>
  <c r="BA48" i="22"/>
  <c r="BP48" i="23"/>
  <c r="AX49" i="22"/>
  <c r="BM51" i="23"/>
  <c r="BM47" i="23"/>
  <c r="BP51" i="23"/>
  <c r="BP47" i="23"/>
  <c r="BD51" i="22"/>
  <c r="BD47" i="22"/>
  <c r="BM49" i="23"/>
  <c r="BM46" i="23"/>
  <c r="BM52" i="23"/>
  <c r="BM53" i="23"/>
  <c r="BG53" i="23"/>
  <c r="BB50" i="18"/>
  <c r="AU48" i="22"/>
  <c r="AU52" i="22"/>
  <c r="BJ53" i="23"/>
  <c r="BP46" i="23"/>
  <c r="BD49" i="22"/>
  <c r="AX46" i="22"/>
  <c r="BB49" i="18"/>
  <c r="BH49" i="18"/>
  <c r="BE49" i="18"/>
  <c r="AY49" i="18"/>
  <c r="BB51" i="18"/>
  <c r="BB47" i="18"/>
  <c r="BH51" i="18"/>
  <c r="BH47" i="18"/>
  <c r="BE51" i="18"/>
  <c r="BE47" i="18"/>
  <c r="AY51" i="18"/>
  <c r="AY47" i="18"/>
  <c r="BL48" i="19"/>
  <c r="BE48" i="18"/>
  <c r="AY48" i="18"/>
  <c r="BH48" i="18"/>
  <c r="BE46" i="18"/>
  <c r="BB46" i="18"/>
  <c r="AY46" i="18"/>
  <c r="BH52" i="18"/>
  <c r="AY52" i="18"/>
  <c r="BE52" i="18"/>
  <c r="BB52" i="18"/>
  <c r="BA5" i="22"/>
  <c r="BA70" i="22" s="1"/>
  <c r="BD5" i="22"/>
  <c r="BD70" i="22" s="1"/>
  <c r="AY34" i="22"/>
  <c r="AY36" i="22"/>
  <c r="AY28" i="22"/>
  <c r="AY35" i="22"/>
  <c r="AY14" i="22"/>
  <c r="AY21" i="22"/>
  <c r="AY20" i="22"/>
  <c r="AY42" i="22"/>
  <c r="AY9" i="22"/>
  <c r="AY24" i="22"/>
  <c r="AY19" i="22"/>
  <c r="AY23" i="22"/>
  <c r="AY25" i="22"/>
  <c r="AY39" i="22"/>
  <c r="AY30" i="22"/>
  <c r="AY17" i="22"/>
  <c r="AY40" i="22"/>
  <c r="AY43" i="22"/>
  <c r="AY7" i="22"/>
  <c r="AY44" i="22"/>
  <c r="AY45" i="22"/>
  <c r="AY29" i="22"/>
  <c r="AY13" i="22"/>
  <c r="AY26" i="22"/>
  <c r="AY22" i="22"/>
  <c r="AY37" i="22"/>
  <c r="AY38" i="22"/>
  <c r="AY33" i="22"/>
  <c r="AY8" i="22"/>
  <c r="AY27" i="22"/>
  <c r="AY41" i="22"/>
  <c r="AY31" i="22"/>
  <c r="AY32" i="22"/>
  <c r="AY6" i="22"/>
  <c r="AY10" i="22"/>
  <c r="AY15" i="22"/>
  <c r="AY16" i="22"/>
  <c r="AY18" i="22"/>
  <c r="AY11" i="22"/>
  <c r="AY12" i="22"/>
  <c r="BN31" i="23"/>
  <c r="BN42" i="23"/>
  <c r="BN13" i="23"/>
  <c r="BN17" i="23"/>
  <c r="BN23" i="23"/>
  <c r="BN20" i="23"/>
  <c r="BN27" i="23"/>
  <c r="BN45" i="23"/>
  <c r="BN25" i="23"/>
  <c r="BN39" i="23"/>
  <c r="BN10" i="23"/>
  <c r="BN9" i="23"/>
  <c r="BN12" i="23"/>
  <c r="BN3" i="23"/>
  <c r="BN37" i="23"/>
  <c r="BN43" i="23"/>
  <c r="BN38" i="23"/>
  <c r="BN14" i="23"/>
  <c r="BN19" i="23"/>
  <c r="BN34" i="23"/>
  <c r="BN6" i="23"/>
  <c r="BN7" i="23"/>
  <c r="BN40" i="23"/>
  <c r="BN26" i="23"/>
  <c r="BN28" i="23"/>
  <c r="BN29" i="23"/>
  <c r="BN32" i="23"/>
  <c r="BN24" i="23"/>
  <c r="BN41" i="23"/>
  <c r="BN11" i="23"/>
  <c r="BN8" i="23"/>
  <c r="BN36" i="23"/>
  <c r="BN33" i="23"/>
  <c r="BN16" i="23"/>
  <c r="BN35" i="23"/>
  <c r="BN44" i="23"/>
  <c r="BN21" i="23"/>
  <c r="BN15" i="23"/>
  <c r="BN18" i="23"/>
  <c r="BN30" i="23"/>
  <c r="BN22" i="23"/>
  <c r="BO3" i="18"/>
  <c r="BL41" i="18"/>
  <c r="BL9" i="18"/>
  <c r="BL6" i="18"/>
  <c r="BL36" i="18"/>
  <c r="BL38" i="18"/>
  <c r="BL19" i="18"/>
  <c r="BL15" i="18"/>
  <c r="BL40" i="18"/>
  <c r="BL26" i="18"/>
  <c r="BL35" i="18"/>
  <c r="BL21" i="18"/>
  <c r="BL11" i="18"/>
  <c r="BL10" i="18"/>
  <c r="BL23" i="18"/>
  <c r="BL30" i="18"/>
  <c r="BL3" i="18"/>
  <c r="BL34" i="18"/>
  <c r="BL28" i="18"/>
  <c r="BL24" i="18"/>
  <c r="BL39" i="18"/>
  <c r="BL17" i="18"/>
  <c r="BL43" i="18"/>
  <c r="BL7" i="18"/>
  <c r="BL27" i="18"/>
  <c r="BL42" i="18"/>
  <c r="BL18" i="18"/>
  <c r="BL13" i="18"/>
  <c r="BL12" i="18"/>
  <c r="BL14" i="18"/>
  <c r="BL25" i="18"/>
  <c r="BL45" i="18"/>
  <c r="BL37" i="18"/>
  <c r="BL8" i="18"/>
  <c r="BL31" i="18"/>
  <c r="BL22" i="18"/>
  <c r="BL16" i="18"/>
  <c r="BL20" i="18"/>
  <c r="BL33" i="18"/>
  <c r="BL29" i="18"/>
  <c r="BL44" i="18"/>
  <c r="BL32" i="18"/>
  <c r="BK11" i="23"/>
  <c r="BK22" i="23"/>
  <c r="BK35" i="23"/>
  <c r="BK27" i="23"/>
  <c r="BK33" i="23"/>
  <c r="BK32" i="23"/>
  <c r="BK34" i="23"/>
  <c r="BK26" i="23"/>
  <c r="BK40" i="23"/>
  <c r="BK18" i="23"/>
  <c r="BK17" i="23"/>
  <c r="BK19" i="23"/>
  <c r="BK37" i="23"/>
  <c r="BK6" i="23"/>
  <c r="BK10" i="23"/>
  <c r="BK39" i="23"/>
  <c r="BK16" i="23"/>
  <c r="BK44" i="23"/>
  <c r="BK45" i="23"/>
  <c r="BK21" i="23"/>
  <c r="BK14" i="23"/>
  <c r="BK38" i="23"/>
  <c r="BK24" i="23"/>
  <c r="BK31" i="23"/>
  <c r="BK28" i="23"/>
  <c r="BK29" i="23"/>
  <c r="BK7" i="23"/>
  <c r="BK12" i="23"/>
  <c r="BK20" i="23"/>
  <c r="BK25" i="23"/>
  <c r="BK15" i="23"/>
  <c r="BK8" i="23"/>
  <c r="BK30" i="23"/>
  <c r="BK36" i="23"/>
  <c r="BK13" i="23"/>
  <c r="BK9" i="23"/>
  <c r="BK23" i="23"/>
  <c r="BK41" i="23"/>
  <c r="BK43" i="23"/>
  <c r="BK42" i="23"/>
  <c r="BI45" i="18"/>
  <c r="BI33" i="18"/>
  <c r="BI7" i="18"/>
  <c r="BI27" i="18"/>
  <c r="BI38" i="18"/>
  <c r="BI34" i="18"/>
  <c r="BI13" i="18"/>
  <c r="BI43" i="18"/>
  <c r="BI35" i="18"/>
  <c r="BI30" i="18"/>
  <c r="BI16" i="18"/>
  <c r="BI20" i="18"/>
  <c r="BI22" i="18"/>
  <c r="BI29" i="18"/>
  <c r="BI31" i="18"/>
  <c r="BI42" i="18"/>
  <c r="BI9" i="18"/>
  <c r="BI3" i="18"/>
  <c r="BI15" i="18"/>
  <c r="BI6" i="18"/>
  <c r="BI21" i="18"/>
  <c r="BI24" i="18"/>
  <c r="BI17" i="18"/>
  <c r="BI37" i="18"/>
  <c r="BI23" i="18"/>
  <c r="BI26" i="18"/>
  <c r="BI36" i="18"/>
  <c r="BI19" i="18"/>
  <c r="BI11" i="18"/>
  <c r="BI28" i="18"/>
  <c r="BI14" i="18"/>
  <c r="BI44" i="18"/>
  <c r="BI18" i="18"/>
  <c r="BI12" i="18"/>
  <c r="BI40" i="18"/>
  <c r="BI10" i="18"/>
  <c r="BI32" i="18"/>
  <c r="BI41" i="18"/>
  <c r="BI8" i="18"/>
  <c r="BI25" i="18"/>
  <c r="BI39" i="18"/>
  <c r="BP5" i="23"/>
  <c r="BP70" i="23" s="1"/>
  <c r="BT28" i="23"/>
  <c r="BT11" i="23"/>
  <c r="BT29" i="23"/>
  <c r="BT38" i="23"/>
  <c r="BT25" i="23"/>
  <c r="BT45" i="23"/>
  <c r="BT15" i="23"/>
  <c r="BT32" i="23"/>
  <c r="BT10" i="23"/>
  <c r="BT23" i="23"/>
  <c r="BT16" i="23"/>
  <c r="BT20" i="23"/>
  <c r="BT8" i="23"/>
  <c r="BT30" i="23"/>
  <c r="BT33" i="23"/>
  <c r="BT3" i="23"/>
  <c r="BT40" i="23"/>
  <c r="BT21" i="23"/>
  <c r="BT6" i="23"/>
  <c r="BT14" i="23"/>
  <c r="BT9" i="23"/>
  <c r="BT44" i="23"/>
  <c r="BT35" i="23"/>
  <c r="BW3" i="23"/>
  <c r="BT26" i="23"/>
  <c r="BT27" i="23"/>
  <c r="BT18" i="23"/>
  <c r="BT36" i="23"/>
  <c r="BT22" i="23"/>
  <c r="BT34" i="23"/>
  <c r="BT19" i="23"/>
  <c r="BT37" i="23"/>
  <c r="BT42" i="23"/>
  <c r="BT13" i="23"/>
  <c r="BT17" i="23"/>
  <c r="BT12" i="23"/>
  <c r="BT43" i="23"/>
  <c r="BT24" i="23"/>
  <c r="BT31" i="23"/>
  <c r="BT41" i="23"/>
  <c r="BT7" i="23"/>
  <c r="BT39" i="23"/>
  <c r="BM5" i="23"/>
  <c r="BM70" i="23" s="1"/>
  <c r="BH5" i="18"/>
  <c r="BH70" i="18" s="1"/>
  <c r="AU5" i="22"/>
  <c r="AU70" i="22" s="1"/>
  <c r="BJ5" i="23"/>
  <c r="BJ70" i="23" s="1"/>
  <c r="BE5" i="18"/>
  <c r="BE70" i="18" s="1"/>
  <c r="AX5" i="22"/>
  <c r="AX70" i="22" s="1"/>
  <c r="BE33" i="22"/>
  <c r="BE28" i="22"/>
  <c r="BE25" i="22"/>
  <c r="BE26" i="22"/>
  <c r="BE13" i="22"/>
  <c r="BE41" i="22"/>
  <c r="BE21" i="22"/>
  <c r="BE34" i="22"/>
  <c r="BE40" i="22"/>
  <c r="BE43" i="22"/>
  <c r="BE24" i="22"/>
  <c r="BE6" i="22"/>
  <c r="BE3" i="22"/>
  <c r="BE32" i="22"/>
  <c r="BE16" i="22"/>
  <c r="BE17" i="22"/>
  <c r="BE31" i="22"/>
  <c r="BE10" i="22"/>
  <c r="BE35" i="22"/>
  <c r="BE20" i="22"/>
  <c r="BE29" i="22"/>
  <c r="BE12" i="22"/>
  <c r="BE7" i="22"/>
  <c r="BE15" i="22"/>
  <c r="BE19" i="22"/>
  <c r="BE38" i="22"/>
  <c r="BE23" i="22"/>
  <c r="BE39" i="22"/>
  <c r="BE22" i="22"/>
  <c r="BE45" i="22"/>
  <c r="BE18" i="22"/>
  <c r="BE42" i="22"/>
  <c r="BE44" i="22"/>
  <c r="BE30" i="22"/>
  <c r="BE37" i="22"/>
  <c r="BE11" i="22"/>
  <c r="BE9" i="22"/>
  <c r="BE8" i="22"/>
  <c r="BE27" i="22"/>
  <c r="BE36" i="22"/>
  <c r="BE14" i="22"/>
  <c r="BH19" i="22"/>
  <c r="BH20" i="22"/>
  <c r="BH25" i="22"/>
  <c r="BH8" i="22"/>
  <c r="BH6" i="22"/>
  <c r="BH41" i="22"/>
  <c r="BH40" i="22"/>
  <c r="BH28" i="22"/>
  <c r="BH26" i="22"/>
  <c r="BH14" i="22"/>
  <c r="BH45" i="22"/>
  <c r="BH18" i="22"/>
  <c r="BH35" i="22"/>
  <c r="BH29" i="22"/>
  <c r="BH24" i="22"/>
  <c r="BH10" i="22"/>
  <c r="BK3" i="22"/>
  <c r="BH34" i="22"/>
  <c r="BH43" i="22"/>
  <c r="BH33" i="22"/>
  <c r="BH44" i="22"/>
  <c r="BH27" i="22"/>
  <c r="BH16" i="22"/>
  <c r="BH17" i="22"/>
  <c r="BH42" i="22"/>
  <c r="BH9" i="22"/>
  <c r="BH15" i="22"/>
  <c r="BH3" i="22"/>
  <c r="BH11" i="22"/>
  <c r="BH31" i="22"/>
  <c r="BH39" i="22"/>
  <c r="BH13" i="22"/>
  <c r="BH21" i="22"/>
  <c r="BH23" i="22"/>
  <c r="BH12" i="22"/>
  <c r="BH7" i="22"/>
  <c r="BH22" i="22"/>
  <c r="BH37" i="22"/>
  <c r="BH32" i="22"/>
  <c r="BH38" i="22"/>
  <c r="BH30" i="22"/>
  <c r="BH36" i="22"/>
  <c r="AY5" i="18"/>
  <c r="AY70" i="18" s="1"/>
  <c r="BC29" i="18"/>
  <c r="BC28" i="18"/>
  <c r="BC40" i="18"/>
  <c r="BC14" i="18"/>
  <c r="BC32" i="18"/>
  <c r="BC17" i="18"/>
  <c r="BC37" i="18"/>
  <c r="BC12" i="18"/>
  <c r="BC9" i="18"/>
  <c r="BC42" i="18"/>
  <c r="BC41" i="18"/>
  <c r="BC33" i="18"/>
  <c r="BC21" i="18"/>
  <c r="BC36" i="18"/>
  <c r="BC22" i="18"/>
  <c r="BC16" i="18"/>
  <c r="BC15" i="18"/>
  <c r="BC13" i="18"/>
  <c r="BC26" i="18"/>
  <c r="BC44" i="18"/>
  <c r="BC34" i="18"/>
  <c r="BC20" i="18"/>
  <c r="BC31" i="18"/>
  <c r="BC23" i="18"/>
  <c r="BC38" i="18"/>
  <c r="BC19" i="18"/>
  <c r="BC8" i="18"/>
  <c r="BC7" i="18"/>
  <c r="BC35" i="18"/>
  <c r="BC39" i="18"/>
  <c r="BC18" i="18"/>
  <c r="BC43" i="18"/>
  <c r="BC11" i="18"/>
  <c r="BC25" i="18"/>
  <c r="BC30" i="18"/>
  <c r="BC50" i="18" s="1"/>
  <c r="BC45" i="18"/>
  <c r="BC6" i="18"/>
  <c r="BC27" i="18"/>
  <c r="BC10" i="18"/>
  <c r="BC24" i="18"/>
  <c r="BB5" i="18"/>
  <c r="BB70" i="18" s="1"/>
  <c r="BB19" i="22"/>
  <c r="BB23" i="22"/>
  <c r="BB12" i="22"/>
  <c r="BB25" i="22"/>
  <c r="BB10" i="22"/>
  <c r="BB37" i="22"/>
  <c r="BB29" i="22"/>
  <c r="BB43" i="22"/>
  <c r="BB15" i="22"/>
  <c r="BB27" i="22"/>
  <c r="BB18" i="22"/>
  <c r="BB34" i="22"/>
  <c r="BB36" i="22"/>
  <c r="BB39" i="22"/>
  <c r="BB44" i="22"/>
  <c r="BB30" i="22"/>
  <c r="BB3" i="22"/>
  <c r="BB17" i="22"/>
  <c r="BB13" i="22"/>
  <c r="BB7" i="22"/>
  <c r="BB22" i="22"/>
  <c r="BB21" i="22"/>
  <c r="BB11" i="22"/>
  <c r="BB31" i="22"/>
  <c r="BB9" i="22"/>
  <c r="BB38" i="22"/>
  <c r="BB16" i="22"/>
  <c r="BB26" i="22"/>
  <c r="BB42" i="22"/>
  <c r="BB32" i="22"/>
  <c r="BB35" i="22"/>
  <c r="BB45" i="22"/>
  <c r="BB20" i="22"/>
  <c r="BB28" i="22"/>
  <c r="BB8" i="22"/>
  <c r="BB14" i="22"/>
  <c r="BB40" i="22"/>
  <c r="BB33" i="22"/>
  <c r="BB24" i="22"/>
  <c r="BB6" i="22"/>
  <c r="BB41" i="22"/>
  <c r="BF3" i="18"/>
  <c r="BF17" i="18"/>
  <c r="BF13" i="18"/>
  <c r="BF10" i="18"/>
  <c r="BF36" i="18"/>
  <c r="BF25" i="18"/>
  <c r="BF16" i="18"/>
  <c r="BF37" i="18"/>
  <c r="BF8" i="18"/>
  <c r="BF21" i="18"/>
  <c r="BF35" i="18"/>
  <c r="BF20" i="18"/>
  <c r="BF11" i="18"/>
  <c r="BF40" i="18"/>
  <c r="BF27" i="18"/>
  <c r="BF24" i="18"/>
  <c r="BF18" i="18"/>
  <c r="BF15" i="18"/>
  <c r="BF43" i="18"/>
  <c r="BF26" i="18"/>
  <c r="BF38" i="18"/>
  <c r="BF19" i="18"/>
  <c r="BF33" i="18"/>
  <c r="BF7" i="18"/>
  <c r="BF9" i="18"/>
  <c r="BF42" i="18"/>
  <c r="BF34" i="18"/>
  <c r="BF29" i="18"/>
  <c r="BF28" i="18"/>
  <c r="BF6" i="18"/>
  <c r="BF14" i="18"/>
  <c r="BF32" i="18"/>
  <c r="BF12" i="18"/>
  <c r="BF30" i="18"/>
  <c r="BF41" i="18"/>
  <c r="BF23" i="18"/>
  <c r="BF44" i="18"/>
  <c r="BF39" i="18"/>
  <c r="BF22" i="18"/>
  <c r="BF45" i="18"/>
  <c r="BF31" i="18"/>
  <c r="BG5" i="23"/>
  <c r="BG70" i="23" s="1"/>
  <c r="BQ23" i="23"/>
  <c r="BQ40" i="23"/>
  <c r="BQ38" i="23"/>
  <c r="BQ7" i="23"/>
  <c r="BQ36" i="23"/>
  <c r="BQ43" i="23"/>
  <c r="BQ45" i="23"/>
  <c r="BQ27" i="23"/>
  <c r="BQ29" i="23"/>
  <c r="BQ24" i="23"/>
  <c r="BQ22" i="23"/>
  <c r="BQ30" i="23"/>
  <c r="BQ19" i="23"/>
  <c r="BQ21" i="23"/>
  <c r="BQ8" i="23"/>
  <c r="BQ14" i="23"/>
  <c r="BQ17" i="23"/>
  <c r="BQ12" i="23"/>
  <c r="BQ15" i="23"/>
  <c r="BQ10" i="23"/>
  <c r="BQ44" i="23"/>
  <c r="BQ34" i="23"/>
  <c r="BQ37" i="23"/>
  <c r="BQ20" i="23"/>
  <c r="BQ35" i="23"/>
  <c r="BQ9" i="23"/>
  <c r="BQ18" i="23"/>
  <c r="BQ6" i="23"/>
  <c r="BQ3" i="23"/>
  <c r="BQ25" i="23"/>
  <c r="BQ42" i="23"/>
  <c r="BQ13" i="23"/>
  <c r="BQ31" i="23"/>
  <c r="BQ26" i="23"/>
  <c r="BQ16" i="23"/>
  <c r="BQ28" i="23"/>
  <c r="BQ32" i="23"/>
  <c r="BQ11" i="23"/>
  <c r="BQ39" i="23"/>
  <c r="BQ41" i="23"/>
  <c r="BQ33" i="23"/>
  <c r="BP46" i="21"/>
  <c r="BG53" i="21"/>
  <c r="BL50" i="20"/>
  <c r="BC48" i="20"/>
  <c r="BF53" i="20"/>
  <c r="BC49" i="19"/>
  <c r="BF48" i="20"/>
  <c r="BC50" i="19"/>
  <c r="BL47" i="20"/>
  <c r="BP53" i="3"/>
  <c r="BJ53" i="21"/>
  <c r="BP47" i="3"/>
  <c r="BI46" i="20"/>
  <c r="BL53" i="20"/>
  <c r="BJ48" i="21"/>
  <c r="BF53" i="19"/>
  <c r="BP53" i="21"/>
  <c r="BJ53" i="3"/>
  <c r="BI53" i="19"/>
  <c r="BP48" i="21"/>
  <c r="BG49" i="21"/>
  <c r="BM53" i="21"/>
  <c r="BL53" i="19"/>
  <c r="BI49" i="20"/>
  <c r="BP48" i="3"/>
  <c r="BC48" i="19"/>
  <c r="BC53" i="19"/>
  <c r="BG53" i="3"/>
  <c r="BG50" i="21"/>
  <c r="BM48" i="21"/>
  <c r="BJ48" i="3"/>
  <c r="BI48" i="20"/>
  <c r="BM46" i="21"/>
  <c r="BJ47" i="21"/>
  <c r="BF50" i="19"/>
  <c r="BL46" i="19"/>
  <c r="BI48" i="19"/>
  <c r="BM53" i="3"/>
  <c r="BI53" i="20"/>
  <c r="BC53" i="20"/>
  <c r="BG48" i="21"/>
  <c r="BG46" i="3"/>
  <c r="BL46" i="20"/>
  <c r="BG21" i="20"/>
  <c r="BG16" i="20"/>
  <c r="BG19" i="20"/>
  <c r="BG18" i="20"/>
  <c r="BG41" i="20"/>
  <c r="BG34" i="20"/>
  <c r="BG29" i="20"/>
  <c r="BG30" i="20"/>
  <c r="BG28" i="20"/>
  <c r="BG44" i="20"/>
  <c r="BG17" i="20"/>
  <c r="BG37" i="20"/>
  <c r="BG32" i="20"/>
  <c r="BG9" i="20"/>
  <c r="BG40" i="20"/>
  <c r="BG45" i="20"/>
  <c r="BG13" i="20"/>
  <c r="BG14" i="20"/>
  <c r="BG10" i="20"/>
  <c r="BG8" i="20"/>
  <c r="BG39" i="20"/>
  <c r="BG43" i="20"/>
  <c r="BG15" i="20"/>
  <c r="BG26" i="20"/>
  <c r="BG12" i="20"/>
  <c r="BG20" i="20"/>
  <c r="BG7" i="20"/>
  <c r="BG11" i="20"/>
  <c r="BG31" i="20"/>
  <c r="BG33" i="20"/>
  <c r="BG36" i="20"/>
  <c r="BG35" i="20"/>
  <c r="BG23" i="20"/>
  <c r="BG38" i="20"/>
  <c r="BG42" i="20"/>
  <c r="BG24" i="20"/>
  <c r="BG25" i="20"/>
  <c r="BG6" i="20"/>
  <c r="BG22" i="20"/>
  <c r="BG27" i="20"/>
  <c r="BF5" i="19"/>
  <c r="BF52" i="19"/>
  <c r="BI5" i="19"/>
  <c r="BI52" i="19"/>
  <c r="BJ3" i="19"/>
  <c r="BJ45" i="19"/>
  <c r="BJ16" i="19"/>
  <c r="BJ21" i="19"/>
  <c r="BJ26" i="19"/>
  <c r="BJ33" i="19"/>
  <c r="BJ27" i="19"/>
  <c r="BJ34" i="19"/>
  <c r="BJ37" i="19"/>
  <c r="BJ28" i="19"/>
  <c r="BJ29" i="19"/>
  <c r="BJ38" i="19"/>
  <c r="BJ15" i="19"/>
  <c r="BJ43" i="19"/>
  <c r="BJ7" i="19"/>
  <c r="BJ11" i="19"/>
  <c r="BJ40" i="19"/>
  <c r="BJ25" i="19"/>
  <c r="BJ9" i="19"/>
  <c r="BJ6" i="19"/>
  <c r="BJ8" i="19"/>
  <c r="BJ19" i="19"/>
  <c r="BJ42" i="19"/>
  <c r="BJ13" i="19"/>
  <c r="BJ10" i="19"/>
  <c r="BJ32" i="19"/>
  <c r="BJ14" i="19"/>
  <c r="BJ17" i="19"/>
  <c r="BJ44" i="19"/>
  <c r="BJ20" i="19"/>
  <c r="BJ18" i="19"/>
  <c r="BJ12" i="19"/>
  <c r="BJ41" i="19"/>
  <c r="BJ36" i="19"/>
  <c r="BJ35" i="19"/>
  <c r="BJ39" i="19"/>
  <c r="BJ24" i="19"/>
  <c r="BJ23" i="19"/>
  <c r="BJ31" i="19"/>
  <c r="BJ30" i="19"/>
  <c r="BJ22" i="19"/>
  <c r="BF70" i="3"/>
  <c r="BM48" i="3"/>
  <c r="BP47" i="21"/>
  <c r="BP50" i="3"/>
  <c r="BP49" i="3"/>
  <c r="BJ52" i="3"/>
  <c r="BJ5" i="3"/>
  <c r="BH70" i="20"/>
  <c r="BL47" i="19"/>
  <c r="BL70" i="21"/>
  <c r="BC70" i="21"/>
  <c r="BE70" i="20"/>
  <c r="BM52" i="3"/>
  <c r="BM5" i="3"/>
  <c r="BJ21" i="20"/>
  <c r="BJ3" i="20"/>
  <c r="BJ16" i="20"/>
  <c r="BJ34" i="20"/>
  <c r="BJ19" i="20"/>
  <c r="BJ17" i="20"/>
  <c r="BJ41" i="20"/>
  <c r="BJ37" i="20"/>
  <c r="BJ30" i="20"/>
  <c r="BJ29" i="20"/>
  <c r="BJ45" i="20"/>
  <c r="BJ32" i="20"/>
  <c r="BJ20" i="20"/>
  <c r="BJ40" i="20"/>
  <c r="BJ39" i="20"/>
  <c r="BJ9" i="20"/>
  <c r="BJ18" i="20"/>
  <c r="BJ8" i="20"/>
  <c r="BJ14" i="20"/>
  <c r="BJ28" i="20"/>
  <c r="BJ13" i="20"/>
  <c r="BJ44" i="20"/>
  <c r="BJ31" i="20"/>
  <c r="BJ43" i="20"/>
  <c r="BJ10" i="20"/>
  <c r="BJ12" i="20"/>
  <c r="BJ15" i="20"/>
  <c r="BJ7" i="20"/>
  <c r="BJ11" i="20"/>
  <c r="BJ35" i="20"/>
  <c r="BJ26" i="20"/>
  <c r="BJ36" i="20"/>
  <c r="BJ33" i="20"/>
  <c r="BJ42" i="20"/>
  <c r="BJ38" i="20"/>
  <c r="BJ25" i="20"/>
  <c r="BJ23" i="20"/>
  <c r="BJ24" i="20"/>
  <c r="BJ6" i="20"/>
  <c r="BJ27" i="20"/>
  <c r="BJ22" i="20"/>
  <c r="BC52" i="20"/>
  <c r="BC5" i="20"/>
  <c r="BF49" i="20"/>
  <c r="BQ21" i="21"/>
  <c r="BQ3" i="21"/>
  <c r="BQ16" i="21"/>
  <c r="BQ18" i="21"/>
  <c r="BQ19" i="21"/>
  <c r="BQ20" i="21"/>
  <c r="BQ17" i="21"/>
  <c r="BQ41" i="21"/>
  <c r="BQ27" i="21"/>
  <c r="BQ34" i="21"/>
  <c r="BQ45" i="21"/>
  <c r="BQ37" i="21"/>
  <c r="BQ33" i="21"/>
  <c r="BQ11" i="21"/>
  <c r="BQ38" i="21"/>
  <c r="BQ32" i="21"/>
  <c r="BQ26" i="21"/>
  <c r="BQ28" i="21"/>
  <c r="BQ40" i="21"/>
  <c r="BQ7" i="21"/>
  <c r="BQ42" i="21"/>
  <c r="BQ14" i="21"/>
  <c r="BQ8" i="21"/>
  <c r="BQ25" i="21"/>
  <c r="BQ24" i="21"/>
  <c r="BQ9" i="21"/>
  <c r="BQ22" i="21"/>
  <c r="BQ6" i="21"/>
  <c r="BQ12" i="21"/>
  <c r="BQ39" i="21"/>
  <c r="BQ30" i="21"/>
  <c r="BQ13" i="21"/>
  <c r="BQ44" i="21"/>
  <c r="BQ35" i="21"/>
  <c r="BQ15" i="21"/>
  <c r="BQ23" i="21"/>
  <c r="BQ43" i="21"/>
  <c r="BQ29" i="21"/>
  <c r="BQ10" i="21"/>
  <c r="BQ31" i="21"/>
  <c r="BQ36" i="21"/>
  <c r="BJ46" i="21"/>
  <c r="BG27" i="19"/>
  <c r="BG21" i="19"/>
  <c r="BG15" i="19"/>
  <c r="BG40" i="19"/>
  <c r="BG16" i="19"/>
  <c r="BG28" i="19"/>
  <c r="BG45" i="19"/>
  <c r="BG29" i="19"/>
  <c r="BG37" i="19"/>
  <c r="BG34" i="19"/>
  <c r="BG7" i="19"/>
  <c r="BG6" i="19"/>
  <c r="BG38" i="19"/>
  <c r="BG43" i="19"/>
  <c r="BG13" i="19"/>
  <c r="BG26" i="19"/>
  <c r="BG25" i="19"/>
  <c r="BG11" i="19"/>
  <c r="BG24" i="19"/>
  <c r="BG19" i="19"/>
  <c r="BG33" i="19"/>
  <c r="BG8" i="19"/>
  <c r="BG42" i="19"/>
  <c r="BG14" i="19"/>
  <c r="BG10" i="19"/>
  <c r="BG17" i="19"/>
  <c r="BG32" i="19"/>
  <c r="BG12" i="19"/>
  <c r="BG41" i="19"/>
  <c r="BG30" i="19"/>
  <c r="BG35" i="19"/>
  <c r="BG44" i="19"/>
  <c r="BG20" i="19"/>
  <c r="BG39" i="19"/>
  <c r="BG18" i="19"/>
  <c r="BG9" i="19"/>
  <c r="BG36" i="19"/>
  <c r="BG31" i="19"/>
  <c r="BG22" i="19"/>
  <c r="BG23" i="19"/>
  <c r="BI47" i="19"/>
  <c r="BC49" i="20"/>
  <c r="BL49" i="20"/>
  <c r="BT16" i="21"/>
  <c r="BT21" i="21"/>
  <c r="BT3" i="21"/>
  <c r="BW3" i="21"/>
  <c r="BT18" i="21"/>
  <c r="BT19" i="21"/>
  <c r="BT45" i="21"/>
  <c r="BT17" i="21"/>
  <c r="BT41" i="21"/>
  <c r="BT34" i="21"/>
  <c r="BT11" i="21"/>
  <c r="BT20" i="21"/>
  <c r="BT26" i="21"/>
  <c r="BT7" i="21"/>
  <c r="BT24" i="21"/>
  <c r="BT25" i="21"/>
  <c r="BT42" i="21"/>
  <c r="BT33" i="21"/>
  <c r="BT8" i="21"/>
  <c r="BT30" i="21"/>
  <c r="BT9" i="21"/>
  <c r="BT10" i="21"/>
  <c r="BT28" i="21"/>
  <c r="BT6" i="21"/>
  <c r="BT32" i="21"/>
  <c r="BT12" i="21"/>
  <c r="BT38" i="21"/>
  <c r="BT43" i="21"/>
  <c r="BT22" i="21"/>
  <c r="BT13" i="21"/>
  <c r="BT15" i="21"/>
  <c r="BT44" i="21"/>
  <c r="BT40" i="21"/>
  <c r="BT37" i="21"/>
  <c r="BT39" i="21"/>
  <c r="BT36" i="21"/>
  <c r="BT27" i="21"/>
  <c r="BT14" i="21"/>
  <c r="BT31" i="21"/>
  <c r="BT29" i="21"/>
  <c r="BT23" i="21"/>
  <c r="BT35" i="21"/>
  <c r="BG47" i="21"/>
  <c r="BM47" i="21"/>
  <c r="BK20" i="3"/>
  <c r="BK12" i="3"/>
  <c r="BK8" i="3"/>
  <c r="BK19" i="3"/>
  <c r="BK16" i="3"/>
  <c r="BK18" i="3"/>
  <c r="BK24" i="3"/>
  <c r="BK33" i="3"/>
  <c r="BK21" i="3"/>
  <c r="BK41" i="3"/>
  <c r="BK10" i="3"/>
  <c r="BK45" i="3"/>
  <c r="BK17" i="3"/>
  <c r="BK34" i="3"/>
  <c r="BK35" i="3"/>
  <c r="BK29" i="3"/>
  <c r="BK32" i="3"/>
  <c r="BK39" i="3"/>
  <c r="BK28" i="3"/>
  <c r="BK37" i="3"/>
  <c r="BK38" i="3"/>
  <c r="BK36" i="3"/>
  <c r="BK43" i="3"/>
  <c r="BK11" i="3"/>
  <c r="BK42" i="3"/>
  <c r="BK6" i="3"/>
  <c r="BK9" i="3"/>
  <c r="BK7" i="3"/>
  <c r="BK13" i="3"/>
  <c r="BK40" i="3"/>
  <c r="BK22" i="3"/>
  <c r="BK15" i="3"/>
  <c r="BK14" i="3"/>
  <c r="BK31" i="3"/>
  <c r="BK30" i="3"/>
  <c r="BK44" i="3"/>
  <c r="BK27" i="3"/>
  <c r="BK26" i="3"/>
  <c r="BK23" i="3"/>
  <c r="BK25" i="3"/>
  <c r="BM47" i="3"/>
  <c r="BC46" i="19"/>
  <c r="BF52" i="20"/>
  <c r="BF5" i="20"/>
  <c r="BG46" i="21"/>
  <c r="BP46" i="3"/>
  <c r="BJ5" i="21"/>
  <c r="BJ52" i="21"/>
  <c r="BL52" i="20"/>
  <c r="BL5" i="20"/>
  <c r="BF47" i="19"/>
  <c r="BG50" i="3"/>
  <c r="AY70" i="19"/>
  <c r="BL70" i="3"/>
  <c r="AY70" i="20"/>
  <c r="BI50" i="20"/>
  <c r="BF46" i="20"/>
  <c r="BM21" i="20"/>
  <c r="BM3" i="20"/>
  <c r="BM16" i="20"/>
  <c r="BM18" i="20"/>
  <c r="BM19" i="20"/>
  <c r="BM28" i="20"/>
  <c r="BM37" i="20"/>
  <c r="BM30" i="20"/>
  <c r="BM32" i="20"/>
  <c r="BM41" i="20"/>
  <c r="BM45" i="20"/>
  <c r="BM29" i="20"/>
  <c r="BM17" i="20"/>
  <c r="BM15" i="20"/>
  <c r="BM9" i="20"/>
  <c r="BM43" i="20"/>
  <c r="BM36" i="20"/>
  <c r="BM8" i="20"/>
  <c r="BM10" i="20"/>
  <c r="BM40" i="20"/>
  <c r="BM25" i="20"/>
  <c r="BM14" i="20"/>
  <c r="BM13" i="20"/>
  <c r="BM34" i="20"/>
  <c r="BM39" i="20"/>
  <c r="BM12" i="20"/>
  <c r="BM11" i="20"/>
  <c r="BM31" i="20"/>
  <c r="BM35" i="20"/>
  <c r="BM6" i="20"/>
  <c r="BM26" i="20"/>
  <c r="BM7" i="20"/>
  <c r="BM20" i="20"/>
  <c r="BM33" i="20"/>
  <c r="BM23" i="20"/>
  <c r="BM42" i="20"/>
  <c r="BM38" i="20"/>
  <c r="BM24" i="20"/>
  <c r="BM22" i="20"/>
  <c r="BM44" i="20"/>
  <c r="BM27" i="20"/>
  <c r="BJ46" i="3"/>
  <c r="BG47" i="3"/>
  <c r="BI49" i="19"/>
  <c r="BM46" i="3"/>
  <c r="BI70" i="3"/>
  <c r="BJ49" i="3"/>
  <c r="BF48" i="19"/>
  <c r="BF49" i="19"/>
  <c r="BG5" i="3"/>
  <c r="BG52" i="3"/>
  <c r="BI70" i="21"/>
  <c r="BL52" i="19"/>
  <c r="BL5" i="19"/>
  <c r="BM49" i="3"/>
  <c r="BC47" i="20"/>
  <c r="BC46" i="20"/>
  <c r="BP16" i="20"/>
  <c r="BP21" i="20"/>
  <c r="BP3" i="20"/>
  <c r="BS3" i="20"/>
  <c r="BP45" i="20"/>
  <c r="BP41" i="20"/>
  <c r="BP19" i="20"/>
  <c r="BP32" i="20"/>
  <c r="BP30" i="20"/>
  <c r="BP37" i="20"/>
  <c r="BP29" i="20"/>
  <c r="BP34" i="20"/>
  <c r="BP17" i="20"/>
  <c r="BP10" i="20"/>
  <c r="BP43" i="20"/>
  <c r="BP9" i="20"/>
  <c r="BP44" i="20"/>
  <c r="BP40" i="20"/>
  <c r="BP18" i="20"/>
  <c r="BP13" i="20"/>
  <c r="BP14" i="20"/>
  <c r="BP28" i="20"/>
  <c r="BP8" i="20"/>
  <c r="BP12" i="20"/>
  <c r="BP15" i="20"/>
  <c r="BP35" i="20"/>
  <c r="BP39" i="20"/>
  <c r="BP20" i="20"/>
  <c r="BP11" i="20"/>
  <c r="BP7" i="20"/>
  <c r="BP36" i="20"/>
  <c r="BP26" i="20"/>
  <c r="BP31" i="20"/>
  <c r="BP33" i="20"/>
  <c r="BP38" i="20"/>
  <c r="BP27" i="20"/>
  <c r="BP25" i="20"/>
  <c r="BP24" i="20"/>
  <c r="BP6" i="20"/>
  <c r="BP23" i="20"/>
  <c r="BP42" i="20"/>
  <c r="BP22" i="20"/>
  <c r="BM50" i="21"/>
  <c r="BK21" i="21"/>
  <c r="BK19" i="21"/>
  <c r="BK16" i="21"/>
  <c r="BK18" i="21"/>
  <c r="BK17" i="21"/>
  <c r="BK41" i="21"/>
  <c r="BK37" i="21"/>
  <c r="BK45" i="21"/>
  <c r="BK34" i="21"/>
  <c r="BK26" i="21"/>
  <c r="BK20" i="21"/>
  <c r="BK38" i="21"/>
  <c r="BK40" i="21"/>
  <c r="BK11" i="21"/>
  <c r="BK42" i="21"/>
  <c r="BK8" i="21"/>
  <c r="BK32" i="21"/>
  <c r="BK33" i="21"/>
  <c r="BK14" i="21"/>
  <c r="BK9" i="21"/>
  <c r="BK7" i="21"/>
  <c r="BK24" i="21"/>
  <c r="BK6" i="21"/>
  <c r="BK30" i="21"/>
  <c r="BK39" i="21"/>
  <c r="BK12" i="21"/>
  <c r="BK28" i="21"/>
  <c r="BK13" i="21"/>
  <c r="BK44" i="21"/>
  <c r="BK22" i="21"/>
  <c r="BK36" i="21"/>
  <c r="BK43" i="21"/>
  <c r="BK35" i="21"/>
  <c r="BK25" i="21"/>
  <c r="BK15" i="21"/>
  <c r="BK27" i="21"/>
  <c r="BK23" i="21"/>
  <c r="BK29" i="21"/>
  <c r="BK31" i="21"/>
  <c r="BK10" i="21"/>
  <c r="BF70" i="21"/>
  <c r="BI50" i="19"/>
  <c r="BB70" i="20"/>
  <c r="BB70" i="19"/>
  <c r="BP49" i="21"/>
  <c r="BP52" i="3"/>
  <c r="BP5" i="3"/>
  <c r="BQ3" i="3"/>
  <c r="BQ16" i="3"/>
  <c r="BQ19" i="3"/>
  <c r="BQ20" i="3"/>
  <c r="BQ39" i="3"/>
  <c r="BQ8" i="3"/>
  <c r="BQ22" i="3"/>
  <c r="BQ12" i="3"/>
  <c r="BQ21" i="3"/>
  <c r="BQ18" i="3"/>
  <c r="BQ37" i="3"/>
  <c r="BQ17" i="3"/>
  <c r="BQ24" i="3"/>
  <c r="BQ41" i="3"/>
  <c r="BQ28" i="3"/>
  <c r="BQ40" i="3"/>
  <c r="BQ35" i="3"/>
  <c r="BQ36" i="3"/>
  <c r="BQ34" i="3"/>
  <c r="BQ30" i="3"/>
  <c r="BQ38" i="3"/>
  <c r="BQ11" i="3"/>
  <c r="BQ43" i="3"/>
  <c r="BQ6" i="3"/>
  <c r="BQ42" i="3"/>
  <c r="BQ10" i="3"/>
  <c r="BQ9" i="3"/>
  <c r="BQ13" i="3"/>
  <c r="BQ32" i="3"/>
  <c r="BQ29" i="3"/>
  <c r="BQ7" i="3"/>
  <c r="BQ15" i="3"/>
  <c r="BQ14" i="3"/>
  <c r="BQ33" i="3"/>
  <c r="BQ44" i="3"/>
  <c r="BQ45" i="3"/>
  <c r="BQ26" i="3"/>
  <c r="BQ31" i="3"/>
  <c r="BQ25" i="3"/>
  <c r="BQ27" i="3"/>
  <c r="BQ23" i="3"/>
  <c r="BJ49" i="21"/>
  <c r="BN16" i="3"/>
  <c r="BN20" i="3"/>
  <c r="BN12" i="3"/>
  <c r="BN19" i="3"/>
  <c r="BN3" i="3"/>
  <c r="BN8" i="3"/>
  <c r="BN24" i="3"/>
  <c r="BN22" i="3"/>
  <c r="BN17" i="3"/>
  <c r="BN21" i="3"/>
  <c r="BN18" i="3"/>
  <c r="BN10" i="3"/>
  <c r="BN28" i="3"/>
  <c r="BN30" i="3"/>
  <c r="BN35" i="3"/>
  <c r="BN34" i="3"/>
  <c r="BN29" i="3"/>
  <c r="BN26" i="3"/>
  <c r="BN41" i="3"/>
  <c r="BN45" i="3"/>
  <c r="BN39" i="3"/>
  <c r="BN43" i="3"/>
  <c r="BN44" i="3"/>
  <c r="BN11" i="3"/>
  <c r="BN42" i="3"/>
  <c r="BN13" i="3"/>
  <c r="BN6" i="3"/>
  <c r="BN9" i="3"/>
  <c r="BN40" i="3"/>
  <c r="BN25" i="3"/>
  <c r="BN33" i="3"/>
  <c r="BN32" i="3"/>
  <c r="BN7" i="3"/>
  <c r="BN14" i="3"/>
  <c r="BN15" i="3"/>
  <c r="BN37" i="3"/>
  <c r="BN31" i="3"/>
  <c r="BN36" i="3"/>
  <c r="BN38" i="3"/>
  <c r="BN27" i="3"/>
  <c r="BN23" i="3"/>
  <c r="BC47" i="19"/>
  <c r="BP5" i="21"/>
  <c r="BP52" i="21"/>
  <c r="BN3" i="21"/>
  <c r="BN21" i="21"/>
  <c r="BN19" i="21"/>
  <c r="BN20" i="21"/>
  <c r="BN18" i="21"/>
  <c r="BN16" i="21"/>
  <c r="BN27" i="21"/>
  <c r="BN41" i="21"/>
  <c r="BN45" i="21"/>
  <c r="BN17" i="21"/>
  <c r="BN34" i="21"/>
  <c r="BN26" i="21"/>
  <c r="BN32" i="21"/>
  <c r="BN11" i="21"/>
  <c r="BN9" i="21"/>
  <c r="BN28" i="21"/>
  <c r="BN42" i="21"/>
  <c r="BN24" i="21"/>
  <c r="BN39" i="21"/>
  <c r="BN7" i="21"/>
  <c r="BN12" i="21"/>
  <c r="BN8" i="21"/>
  <c r="BN30" i="21"/>
  <c r="BN6" i="21"/>
  <c r="BN38" i="21"/>
  <c r="BN44" i="21"/>
  <c r="BN33" i="21"/>
  <c r="BN13" i="21"/>
  <c r="BN37" i="21"/>
  <c r="BN22" i="21"/>
  <c r="BN40" i="21"/>
  <c r="BN15" i="21"/>
  <c r="BN31" i="21"/>
  <c r="BN43" i="21"/>
  <c r="BN25" i="21"/>
  <c r="BN23" i="21"/>
  <c r="BN35" i="21"/>
  <c r="BN10" i="21"/>
  <c r="BN36" i="21"/>
  <c r="BN29" i="21"/>
  <c r="BN14" i="21"/>
  <c r="BF46" i="19"/>
  <c r="BH70" i="19"/>
  <c r="BG48" i="3"/>
  <c r="BG49" i="3"/>
  <c r="BM19" i="19"/>
  <c r="BM3" i="19"/>
  <c r="BM16" i="19"/>
  <c r="BM45" i="19"/>
  <c r="BM21" i="19"/>
  <c r="BM34" i="19"/>
  <c r="BM17" i="19"/>
  <c r="BM28" i="19"/>
  <c r="BM29" i="19"/>
  <c r="BM37" i="19"/>
  <c r="BM27" i="19"/>
  <c r="BM25" i="19"/>
  <c r="BM15" i="19"/>
  <c r="BM43" i="19"/>
  <c r="BM7" i="19"/>
  <c r="BM31" i="19"/>
  <c r="BM38" i="19"/>
  <c r="BM11" i="19"/>
  <c r="BM6" i="19"/>
  <c r="BM40" i="19"/>
  <c r="BM42" i="19"/>
  <c r="BM18" i="19"/>
  <c r="BM8" i="19"/>
  <c r="BM33" i="19"/>
  <c r="BM32" i="19"/>
  <c r="BM26" i="19"/>
  <c r="BM13" i="19"/>
  <c r="BM10" i="19"/>
  <c r="BM24" i="19"/>
  <c r="BM14" i="19"/>
  <c r="BM44" i="19"/>
  <c r="BM12" i="19"/>
  <c r="BM36" i="19"/>
  <c r="BM41" i="19"/>
  <c r="BM35" i="19"/>
  <c r="BM20" i="19"/>
  <c r="BM30" i="19"/>
  <c r="BM23" i="19"/>
  <c r="BM9" i="19"/>
  <c r="BM39" i="19"/>
  <c r="BM22" i="19"/>
  <c r="BI46" i="19"/>
  <c r="BI52" i="20"/>
  <c r="BI5" i="20"/>
  <c r="BC5" i="19"/>
  <c r="BC52" i="19"/>
  <c r="BL48" i="20"/>
  <c r="BM52" i="21"/>
  <c r="BM5" i="21"/>
  <c r="BT8" i="3"/>
  <c r="BT19" i="3"/>
  <c r="BW3" i="3"/>
  <c r="BT16" i="3"/>
  <c r="BT20" i="3"/>
  <c r="BT12" i="3"/>
  <c r="BT3" i="3"/>
  <c r="BT21" i="3"/>
  <c r="BT18" i="3"/>
  <c r="BT17" i="3"/>
  <c r="BT41" i="3"/>
  <c r="BT37" i="3"/>
  <c r="BT29" i="3"/>
  <c r="BT35" i="3"/>
  <c r="BT45" i="3"/>
  <c r="BT33" i="3"/>
  <c r="BT40" i="3"/>
  <c r="BT38" i="3"/>
  <c r="BT39" i="3"/>
  <c r="BT36" i="3"/>
  <c r="BT11" i="3"/>
  <c r="BT42" i="3"/>
  <c r="BT10" i="3"/>
  <c r="BT43" i="3"/>
  <c r="BT13" i="3"/>
  <c r="BT9" i="3"/>
  <c r="BT7" i="3"/>
  <c r="BT24" i="3"/>
  <c r="BT6" i="3"/>
  <c r="BT31" i="3"/>
  <c r="BT32" i="3"/>
  <c r="BT14" i="3"/>
  <c r="BT34" i="3"/>
  <c r="BT28" i="3"/>
  <c r="BT30" i="3"/>
  <c r="BT22" i="3"/>
  <c r="BT15" i="3"/>
  <c r="BT26" i="3"/>
  <c r="BT44" i="3"/>
  <c r="BT25" i="3"/>
  <c r="BT23" i="3"/>
  <c r="BT27" i="3"/>
  <c r="BJ47" i="3"/>
  <c r="BL50" i="19"/>
  <c r="BL49" i="19"/>
  <c r="BS3" i="19"/>
  <c r="BP3" i="19"/>
  <c r="BP21" i="19"/>
  <c r="BP45" i="19"/>
  <c r="BP16" i="19"/>
  <c r="BP25" i="19"/>
  <c r="BP29" i="19"/>
  <c r="BP34" i="19"/>
  <c r="BP26" i="19"/>
  <c r="BP33" i="19"/>
  <c r="BP27" i="19"/>
  <c r="BP37" i="19"/>
  <c r="BP15" i="19"/>
  <c r="BP11" i="19"/>
  <c r="BP10" i="19"/>
  <c r="BP6" i="19"/>
  <c r="BP40" i="19"/>
  <c r="BP43" i="19"/>
  <c r="BP38" i="19"/>
  <c r="BP28" i="19"/>
  <c r="BP7" i="19"/>
  <c r="BP8" i="19"/>
  <c r="BP19" i="19"/>
  <c r="BP42" i="19"/>
  <c r="BP32" i="19"/>
  <c r="BP13" i="19"/>
  <c r="BP14" i="19"/>
  <c r="BP17" i="19"/>
  <c r="BP20" i="19"/>
  <c r="BP12" i="19"/>
  <c r="BP9" i="19"/>
  <c r="BP41" i="19"/>
  <c r="BP36" i="19"/>
  <c r="BP35" i="19"/>
  <c r="BP44" i="19"/>
  <c r="BP39" i="19"/>
  <c r="BP18" i="19"/>
  <c r="BP31" i="19"/>
  <c r="BP24" i="19"/>
  <c r="BP30" i="19"/>
  <c r="BP23" i="19"/>
  <c r="BP22" i="19"/>
  <c r="BE70" i="19"/>
  <c r="BM50" i="3"/>
  <c r="BP50" i="21"/>
  <c r="BG52" i="21"/>
  <c r="BG5" i="21"/>
  <c r="BM49" i="21"/>
  <c r="BJ50" i="3"/>
  <c r="C90" i="2"/>
  <c r="D89" i="2"/>
  <c r="BT53" i="23" l="1"/>
  <c r="BC53" i="18"/>
  <c r="BN53" i="21"/>
  <c r="BE53" i="22"/>
  <c r="BK53" i="23"/>
  <c r="BN53" i="23"/>
  <c r="BI53" i="18"/>
  <c r="BL53" i="18"/>
  <c r="BT51" i="21"/>
  <c r="BP51" i="20"/>
  <c r="BG50" i="20"/>
  <c r="BI50" i="18"/>
  <c r="BB53" i="22"/>
  <c r="BE50" i="22"/>
  <c r="BQ50" i="23"/>
  <c r="BH50" i="22"/>
  <c r="BE48" i="22"/>
  <c r="BF50" i="18"/>
  <c r="BT48" i="23"/>
  <c r="BN48" i="23"/>
  <c r="BB48" i="22"/>
  <c r="BN46" i="23"/>
  <c r="BN52" i="23"/>
  <c r="BE52" i="22"/>
  <c r="BB52" i="22"/>
  <c r="BQ51" i="21"/>
  <c r="BN50" i="23"/>
  <c r="BB50" i="22"/>
  <c r="BE46" i="22"/>
  <c r="AY46" i="22"/>
  <c r="BH51" i="22"/>
  <c r="BH47" i="22"/>
  <c r="BT51" i="23"/>
  <c r="BT47" i="23"/>
  <c r="BP51" i="19"/>
  <c r="BK51" i="21"/>
  <c r="BM50" i="20"/>
  <c r="BK46" i="3"/>
  <c r="BG51" i="20"/>
  <c r="BB49" i="22"/>
  <c r="BH46" i="22"/>
  <c r="BH52" i="22"/>
  <c r="BT52" i="23"/>
  <c r="BK48" i="23"/>
  <c r="BK49" i="23"/>
  <c r="AY48" i="22"/>
  <c r="BE51" i="22"/>
  <c r="BE47" i="22"/>
  <c r="AY51" i="22"/>
  <c r="AY47" i="22"/>
  <c r="BT51" i="3"/>
  <c r="BM51" i="19"/>
  <c r="BN51" i="21"/>
  <c r="BQ51" i="3"/>
  <c r="BM51" i="20"/>
  <c r="BG51" i="19"/>
  <c r="BJ51" i="20"/>
  <c r="BJ51" i="19"/>
  <c r="BQ49" i="23"/>
  <c r="BQ48" i="23"/>
  <c r="BT49" i="23"/>
  <c r="BK52" i="23"/>
  <c r="AY50" i="22"/>
  <c r="BB51" i="22"/>
  <c r="BB47" i="22"/>
  <c r="BK51" i="23"/>
  <c r="BK47" i="23"/>
  <c r="BN51" i="3"/>
  <c r="BK47" i="3"/>
  <c r="BQ46" i="23"/>
  <c r="BQ53" i="23"/>
  <c r="BQ52" i="23"/>
  <c r="BH49" i="22"/>
  <c r="BT46" i="23"/>
  <c r="BT50" i="23"/>
  <c r="BK50" i="23"/>
  <c r="BN49" i="23"/>
  <c r="AY53" i="22"/>
  <c r="BQ51" i="23"/>
  <c r="BQ47" i="23"/>
  <c r="BK51" i="3"/>
  <c r="BB46" i="22"/>
  <c r="BH53" i="22"/>
  <c r="BH48" i="22"/>
  <c r="BE49" i="22"/>
  <c r="BK46" i="23"/>
  <c r="BL48" i="18"/>
  <c r="BL50" i="18"/>
  <c r="BN51" i="23"/>
  <c r="BN47" i="23"/>
  <c r="AY52" i="22"/>
  <c r="AY49" i="22"/>
  <c r="BL51" i="18"/>
  <c r="BF49" i="18"/>
  <c r="BL49" i="18"/>
  <c r="BI49" i="18"/>
  <c r="BC49" i="18"/>
  <c r="BF51" i="18"/>
  <c r="BF47" i="18"/>
  <c r="BI51" i="18"/>
  <c r="BI47" i="18"/>
  <c r="BC51" i="18"/>
  <c r="BC47" i="18"/>
  <c r="BL47" i="18"/>
  <c r="BI48" i="18"/>
  <c r="BF48" i="18"/>
  <c r="BC48" i="18"/>
  <c r="BL46" i="18"/>
  <c r="BF46" i="18"/>
  <c r="BC46" i="18"/>
  <c r="BI46" i="18"/>
  <c r="BF52" i="18"/>
  <c r="BC52" i="18"/>
  <c r="BI52" i="18"/>
  <c r="BL52" i="18"/>
  <c r="BF53" i="18"/>
  <c r="BC5" i="18"/>
  <c r="BC70" i="18" s="1"/>
  <c r="BO45" i="23"/>
  <c r="BO42" i="23"/>
  <c r="BO18" i="23"/>
  <c r="BO31" i="23"/>
  <c r="BO12" i="23"/>
  <c r="BO37" i="23"/>
  <c r="BO43" i="23"/>
  <c r="BO13" i="23"/>
  <c r="BO27" i="23"/>
  <c r="BO33" i="23"/>
  <c r="BO26" i="23"/>
  <c r="BO11" i="23"/>
  <c r="BO38" i="23"/>
  <c r="BO39" i="23"/>
  <c r="BO22" i="23"/>
  <c r="BO29" i="23"/>
  <c r="BO8" i="23"/>
  <c r="BO35" i="23"/>
  <c r="BO30" i="23"/>
  <c r="BO44" i="23"/>
  <c r="BO34" i="23"/>
  <c r="BO19" i="23"/>
  <c r="BO28" i="23"/>
  <c r="BO10" i="23"/>
  <c r="BO32" i="23"/>
  <c r="BO14" i="23"/>
  <c r="BO41" i="23"/>
  <c r="BO6" i="23"/>
  <c r="BO36" i="23"/>
  <c r="BO40" i="23"/>
  <c r="BO21" i="23"/>
  <c r="BO20" i="23"/>
  <c r="BO25" i="23"/>
  <c r="BO9" i="23"/>
  <c r="BO24" i="23"/>
  <c r="BO15" i="23"/>
  <c r="BO16" i="23"/>
  <c r="BO7" i="23"/>
  <c r="BO17" i="23"/>
  <c r="BO23" i="23"/>
  <c r="BX45" i="23"/>
  <c r="BX6" i="23"/>
  <c r="BX35" i="23"/>
  <c r="BX36" i="23"/>
  <c r="BX25" i="23"/>
  <c r="BX21" i="23"/>
  <c r="BX11" i="23"/>
  <c r="BX33" i="23"/>
  <c r="BX30" i="23"/>
  <c r="BX23" i="23"/>
  <c r="BX16" i="23"/>
  <c r="BX37" i="23"/>
  <c r="BX43" i="23"/>
  <c r="BX38" i="23"/>
  <c r="BX12" i="23"/>
  <c r="BX22" i="23"/>
  <c r="CA3" i="23"/>
  <c r="BX26" i="23"/>
  <c r="BX15" i="23"/>
  <c r="BX32" i="23"/>
  <c r="BX39" i="23"/>
  <c r="BX44" i="23"/>
  <c r="BX19" i="23"/>
  <c r="BX20" i="23"/>
  <c r="BX28" i="23"/>
  <c r="BX7" i="23"/>
  <c r="BX14" i="23"/>
  <c r="BX3" i="23"/>
  <c r="BX27" i="23"/>
  <c r="BX29" i="23"/>
  <c r="BX40" i="23"/>
  <c r="BX17" i="23"/>
  <c r="BX34" i="23"/>
  <c r="BX8" i="23"/>
  <c r="BX13" i="23"/>
  <c r="BX10" i="23"/>
  <c r="BX31" i="23"/>
  <c r="BX41" i="23"/>
  <c r="BX42" i="23"/>
  <c r="BX18" i="23"/>
  <c r="BX9" i="23"/>
  <c r="BX24" i="23"/>
  <c r="BU41" i="23"/>
  <c r="BU42" i="23"/>
  <c r="BU13" i="23"/>
  <c r="BU9" i="23"/>
  <c r="BU12" i="23"/>
  <c r="BU28" i="23"/>
  <c r="BU23" i="23"/>
  <c r="BU10" i="23"/>
  <c r="BU30" i="23"/>
  <c r="BU36" i="23"/>
  <c r="BU26" i="23"/>
  <c r="BU6" i="23"/>
  <c r="BU35" i="23"/>
  <c r="BU31" i="23"/>
  <c r="BU22" i="23"/>
  <c r="BU21" i="23"/>
  <c r="BU45" i="23"/>
  <c r="BU43" i="23"/>
  <c r="BU18" i="23"/>
  <c r="BU40" i="23"/>
  <c r="BU44" i="23"/>
  <c r="BU3" i="23"/>
  <c r="BU25" i="23"/>
  <c r="BU15" i="23"/>
  <c r="BU7" i="23"/>
  <c r="BU17" i="23"/>
  <c r="BU34" i="23"/>
  <c r="BU20" i="23"/>
  <c r="BU32" i="23"/>
  <c r="BU38" i="23"/>
  <c r="BU39" i="23"/>
  <c r="BU19" i="23"/>
  <c r="BU11" i="23"/>
  <c r="BU8" i="23"/>
  <c r="BU33" i="23"/>
  <c r="BU24" i="23"/>
  <c r="BU16" i="23"/>
  <c r="BU37" i="23"/>
  <c r="BU29" i="23"/>
  <c r="BU27" i="23"/>
  <c r="BU14" i="23"/>
  <c r="BJ45" i="18"/>
  <c r="BJ13" i="18"/>
  <c r="BJ35" i="18"/>
  <c r="BJ6" i="18"/>
  <c r="BJ24" i="18"/>
  <c r="BJ41" i="18"/>
  <c r="BJ33" i="18"/>
  <c r="BJ29" i="18"/>
  <c r="BJ27" i="18"/>
  <c r="BJ42" i="18"/>
  <c r="BJ34" i="18"/>
  <c r="BJ22" i="18"/>
  <c r="BJ43" i="18"/>
  <c r="BJ14" i="18"/>
  <c r="BJ30" i="18"/>
  <c r="BJ17" i="18"/>
  <c r="BJ40" i="18"/>
  <c r="BJ23" i="18"/>
  <c r="BJ31" i="18"/>
  <c r="BJ38" i="18"/>
  <c r="BJ16" i="18"/>
  <c r="BJ15" i="18"/>
  <c r="BJ28" i="18"/>
  <c r="BJ10" i="18"/>
  <c r="BJ36" i="18"/>
  <c r="BJ25" i="18"/>
  <c r="BJ19" i="18"/>
  <c r="BJ20" i="18"/>
  <c r="BJ11" i="18"/>
  <c r="BJ26" i="18"/>
  <c r="BJ9" i="18"/>
  <c r="BJ3" i="18"/>
  <c r="BJ37" i="18"/>
  <c r="BJ7" i="18"/>
  <c r="BJ21" i="18"/>
  <c r="BJ44" i="18"/>
  <c r="BJ18" i="18"/>
  <c r="BJ8" i="18"/>
  <c r="BJ12" i="18"/>
  <c r="BJ39" i="18"/>
  <c r="BJ32" i="18"/>
  <c r="BL5" i="18"/>
  <c r="BL70" i="18" s="1"/>
  <c r="BN5" i="23"/>
  <c r="BN70" i="23" s="1"/>
  <c r="BG45" i="18"/>
  <c r="BG28" i="18"/>
  <c r="BG9" i="18"/>
  <c r="BG6" i="18"/>
  <c r="BG44" i="18"/>
  <c r="BG16" i="18"/>
  <c r="BG17" i="18"/>
  <c r="BG7" i="18"/>
  <c r="BG21" i="18"/>
  <c r="BG32" i="18"/>
  <c r="BG18" i="18"/>
  <c r="BG15" i="18"/>
  <c r="BG13" i="18"/>
  <c r="BG10" i="18"/>
  <c r="BG24" i="18"/>
  <c r="BG19" i="18"/>
  <c r="BG20" i="18"/>
  <c r="BG40" i="18"/>
  <c r="BG26" i="18"/>
  <c r="BG30" i="18"/>
  <c r="BG27" i="18"/>
  <c r="BG37" i="18"/>
  <c r="BG41" i="18"/>
  <c r="BG14" i="18"/>
  <c r="BG39" i="18"/>
  <c r="BG29" i="18"/>
  <c r="BG23" i="18"/>
  <c r="BG8" i="18"/>
  <c r="BG31" i="18"/>
  <c r="BG38" i="18"/>
  <c r="BG33" i="18"/>
  <c r="BG43" i="18"/>
  <c r="BG11" i="18"/>
  <c r="BG35" i="18"/>
  <c r="BG42" i="18"/>
  <c r="BG34" i="18"/>
  <c r="BG22" i="18"/>
  <c r="BG12" i="18"/>
  <c r="BG36" i="18"/>
  <c r="BG25" i="18"/>
  <c r="BC45" i="22"/>
  <c r="BC42" i="22"/>
  <c r="BC12" i="22"/>
  <c r="BC35" i="22"/>
  <c r="BC30" i="22"/>
  <c r="BC37" i="22"/>
  <c r="BC34" i="22"/>
  <c r="BC9" i="22"/>
  <c r="BC15" i="22"/>
  <c r="BC27" i="22"/>
  <c r="BC41" i="22"/>
  <c r="BC23" i="22"/>
  <c r="BC8" i="22"/>
  <c r="BC44" i="22"/>
  <c r="BC32" i="22"/>
  <c r="BC39" i="22"/>
  <c r="BC21" i="22"/>
  <c r="BC25" i="22"/>
  <c r="BC43" i="22"/>
  <c r="BC10" i="22"/>
  <c r="BC26" i="22"/>
  <c r="BC18" i="22"/>
  <c r="BC6" i="22"/>
  <c r="BC17" i="22"/>
  <c r="BC28" i="22"/>
  <c r="BC31" i="22"/>
  <c r="BC7" i="22"/>
  <c r="BC36" i="22"/>
  <c r="BC19" i="22"/>
  <c r="BC20" i="22"/>
  <c r="BC29" i="22"/>
  <c r="BC24" i="22"/>
  <c r="BC22" i="22"/>
  <c r="BC13" i="22"/>
  <c r="BC16" i="22"/>
  <c r="BC11" i="22"/>
  <c r="BC33" i="22"/>
  <c r="BC38" i="22"/>
  <c r="BC14" i="22"/>
  <c r="BC40" i="22"/>
  <c r="BH5" i="22"/>
  <c r="BH70" i="22" s="1"/>
  <c r="BR29" i="23"/>
  <c r="BR36" i="23"/>
  <c r="BR10" i="23"/>
  <c r="BR31" i="23"/>
  <c r="BR12" i="23"/>
  <c r="BR19" i="23"/>
  <c r="BR28" i="23"/>
  <c r="BR13" i="23"/>
  <c r="BR25" i="23"/>
  <c r="BR39" i="23"/>
  <c r="BR22" i="23"/>
  <c r="BR16" i="23"/>
  <c r="BR26" i="23"/>
  <c r="BR35" i="23"/>
  <c r="BR7" i="23"/>
  <c r="BR40" i="23"/>
  <c r="BR3" i="23"/>
  <c r="BR17" i="23"/>
  <c r="BR43" i="23"/>
  <c r="BR33" i="23"/>
  <c r="BR24" i="23"/>
  <c r="BR34" i="23"/>
  <c r="BR20" i="23"/>
  <c r="BR6" i="23"/>
  <c r="BR18" i="23"/>
  <c r="BR30" i="23"/>
  <c r="BR45" i="23"/>
  <c r="BR15" i="23"/>
  <c r="BR11" i="23"/>
  <c r="BR38" i="23"/>
  <c r="BR14" i="23"/>
  <c r="BR41" i="23"/>
  <c r="BR37" i="23"/>
  <c r="BR8" i="23"/>
  <c r="BR27" i="23"/>
  <c r="BR23" i="23"/>
  <c r="BR21" i="23"/>
  <c r="BR42" i="23"/>
  <c r="BR32" i="23"/>
  <c r="BR9" i="23"/>
  <c r="BR44" i="23"/>
  <c r="BB5" i="22"/>
  <c r="BB70" i="22" s="1"/>
  <c r="BI16" i="22"/>
  <c r="BI40" i="22"/>
  <c r="BI8" i="22"/>
  <c r="BI38" i="22"/>
  <c r="BI6" i="22"/>
  <c r="BI19" i="22"/>
  <c r="BI34" i="22"/>
  <c r="BI25" i="22"/>
  <c r="BI35" i="22"/>
  <c r="BI32" i="22"/>
  <c r="BI45" i="22"/>
  <c r="BI36" i="22"/>
  <c r="BI39" i="22"/>
  <c r="BI30" i="22"/>
  <c r="BI10" i="22"/>
  <c r="BI18" i="22"/>
  <c r="BI37" i="22"/>
  <c r="BI42" i="22"/>
  <c r="BI9" i="22"/>
  <c r="BI22" i="22"/>
  <c r="BI27" i="22"/>
  <c r="BI41" i="22"/>
  <c r="BI23" i="22"/>
  <c r="BI43" i="22"/>
  <c r="BI26" i="22"/>
  <c r="BI15" i="22"/>
  <c r="BI3" i="22"/>
  <c r="BI33" i="22"/>
  <c r="BI31" i="22"/>
  <c r="BI7" i="22"/>
  <c r="BI24" i="22"/>
  <c r="BI21" i="22"/>
  <c r="BI20" i="22"/>
  <c r="BI29" i="22"/>
  <c r="BI12" i="22"/>
  <c r="BI44" i="22"/>
  <c r="BI17" i="22"/>
  <c r="BI11" i="22"/>
  <c r="BI28" i="22"/>
  <c r="BI13" i="22"/>
  <c r="BI14" i="22"/>
  <c r="BF41" i="22"/>
  <c r="BF32" i="22"/>
  <c r="BF37" i="22"/>
  <c r="BF12" i="22"/>
  <c r="BF14" i="22"/>
  <c r="BF3" i="22"/>
  <c r="BF34" i="22"/>
  <c r="BF6" i="22"/>
  <c r="BF39" i="22"/>
  <c r="BF15" i="22"/>
  <c r="BF9" i="22"/>
  <c r="BF18" i="22"/>
  <c r="BF17" i="22"/>
  <c r="BF42" i="22"/>
  <c r="BF26" i="22"/>
  <c r="BF44" i="22"/>
  <c r="BF24" i="22"/>
  <c r="BF16" i="22"/>
  <c r="BF31" i="22"/>
  <c r="BF43" i="22"/>
  <c r="BF7" i="22"/>
  <c r="BF36" i="22"/>
  <c r="BF19" i="22"/>
  <c r="BF25" i="22"/>
  <c r="BF11" i="22"/>
  <c r="BF28" i="22"/>
  <c r="BF13" i="22"/>
  <c r="BF22" i="22"/>
  <c r="BF45" i="22"/>
  <c r="BF20" i="22"/>
  <c r="BF33" i="22"/>
  <c r="BF30" i="22"/>
  <c r="BF10" i="22"/>
  <c r="BF38" i="22"/>
  <c r="BF21" i="22"/>
  <c r="BF23" i="22"/>
  <c r="BF40" i="22"/>
  <c r="BF8" i="22"/>
  <c r="BF35" i="22"/>
  <c r="BF27" i="22"/>
  <c r="BF29" i="22"/>
  <c r="BM34" i="18"/>
  <c r="BM32" i="18"/>
  <c r="BM40" i="18"/>
  <c r="BM21" i="18"/>
  <c r="BM36" i="18"/>
  <c r="BM41" i="18"/>
  <c r="BM7" i="18"/>
  <c r="BM39" i="18"/>
  <c r="BM10" i="18"/>
  <c r="BM22" i="18"/>
  <c r="BM30" i="18"/>
  <c r="BM13" i="18"/>
  <c r="BM29" i="18"/>
  <c r="BM24" i="18"/>
  <c r="BM42" i="18"/>
  <c r="BM25" i="18"/>
  <c r="BM33" i="18"/>
  <c r="BM12" i="18"/>
  <c r="BM27" i="18"/>
  <c r="BM14" i="18"/>
  <c r="BM16" i="18"/>
  <c r="BM17" i="18"/>
  <c r="BM15" i="18"/>
  <c r="BM8" i="18"/>
  <c r="BM9" i="18"/>
  <c r="BM38" i="18"/>
  <c r="BM3" i="18"/>
  <c r="BM20" i="18"/>
  <c r="BM45" i="18"/>
  <c r="BM43" i="18"/>
  <c r="BM35" i="18"/>
  <c r="BM18" i="18"/>
  <c r="BM11" i="18"/>
  <c r="BM6" i="18"/>
  <c r="BM23" i="18"/>
  <c r="BM31" i="18"/>
  <c r="BM19" i="18"/>
  <c r="BM37" i="18"/>
  <c r="BM28" i="18"/>
  <c r="BM26" i="18"/>
  <c r="BM44" i="18"/>
  <c r="BP45" i="18"/>
  <c r="BP20" i="18"/>
  <c r="BP33" i="18"/>
  <c r="BP10" i="18"/>
  <c r="BP32" i="18"/>
  <c r="BP19" i="18"/>
  <c r="BP13" i="18"/>
  <c r="BP40" i="18"/>
  <c r="BP26" i="18"/>
  <c r="BP24" i="18"/>
  <c r="BP18" i="18"/>
  <c r="BP37" i="18"/>
  <c r="BP7" i="18"/>
  <c r="BP25" i="18"/>
  <c r="BP42" i="18"/>
  <c r="BP34" i="18"/>
  <c r="BP15" i="18"/>
  <c r="BP12" i="18"/>
  <c r="BP36" i="18"/>
  <c r="BP9" i="18"/>
  <c r="BP41" i="18"/>
  <c r="BP8" i="18"/>
  <c r="BP11" i="18"/>
  <c r="BP31" i="18"/>
  <c r="BP39" i="18"/>
  <c r="BP3" i="18"/>
  <c r="BP17" i="18"/>
  <c r="BP43" i="18"/>
  <c r="BP6" i="18"/>
  <c r="BP14" i="18"/>
  <c r="BP22" i="18"/>
  <c r="BP16" i="18"/>
  <c r="BP27" i="18"/>
  <c r="BP28" i="18"/>
  <c r="BP21" i="18"/>
  <c r="BP44" i="18"/>
  <c r="BP38" i="18"/>
  <c r="BS3" i="18"/>
  <c r="BP30" i="18"/>
  <c r="BP29" i="18"/>
  <c r="BP23" i="18"/>
  <c r="BP35" i="18"/>
  <c r="AY5" i="22"/>
  <c r="AY70" i="22" s="1"/>
  <c r="BQ5" i="23"/>
  <c r="BQ70" i="23" s="1"/>
  <c r="BF5" i="18"/>
  <c r="BF70" i="18" s="1"/>
  <c r="BE5" i="22"/>
  <c r="BE70" i="22" s="1"/>
  <c r="BK5" i="23"/>
  <c r="BK70" i="23" s="1"/>
  <c r="BT5" i="23"/>
  <c r="BT70" i="23" s="1"/>
  <c r="BL3" i="22"/>
  <c r="BL37" i="22"/>
  <c r="BL25" i="22"/>
  <c r="BL8" i="22"/>
  <c r="BL27" i="22"/>
  <c r="BL32" i="22"/>
  <c r="BL18" i="22"/>
  <c r="BL33" i="22"/>
  <c r="BL11" i="22"/>
  <c r="BL39" i="22"/>
  <c r="BL44" i="22"/>
  <c r="BL10" i="22"/>
  <c r="BO3" i="22"/>
  <c r="BL20" i="22"/>
  <c r="BL36" i="22"/>
  <c r="BL12" i="22"/>
  <c r="BL35" i="22"/>
  <c r="BL21" i="22"/>
  <c r="BL23" i="22"/>
  <c r="BL42" i="22"/>
  <c r="BL26" i="22"/>
  <c r="BL22" i="22"/>
  <c r="BL34" i="22"/>
  <c r="BL19" i="22"/>
  <c r="BL40" i="22"/>
  <c r="BL43" i="22"/>
  <c r="BL7" i="22"/>
  <c r="BL6" i="22"/>
  <c r="BL9" i="22"/>
  <c r="BL16" i="22"/>
  <c r="BL17" i="22"/>
  <c r="BL31" i="22"/>
  <c r="BL13" i="22"/>
  <c r="BL15" i="22"/>
  <c r="BL29" i="22"/>
  <c r="BL14" i="22"/>
  <c r="BL45" i="22"/>
  <c r="BL41" i="22"/>
  <c r="BL28" i="22"/>
  <c r="BL38" i="22"/>
  <c r="BL30" i="22"/>
  <c r="BL24" i="22"/>
  <c r="BI5" i="18"/>
  <c r="BI70" i="18" s="1"/>
  <c r="BP50" i="19"/>
  <c r="BN53" i="3"/>
  <c r="BT47" i="3"/>
  <c r="BM48" i="19"/>
  <c r="BK53" i="21"/>
  <c r="BM53" i="20"/>
  <c r="BG53" i="19"/>
  <c r="BQ48" i="21"/>
  <c r="BM48" i="20"/>
  <c r="BT48" i="21"/>
  <c r="BP53" i="19"/>
  <c r="BJ53" i="19"/>
  <c r="BN47" i="3"/>
  <c r="BQ53" i="21"/>
  <c r="BQ53" i="3"/>
  <c r="BK53" i="3"/>
  <c r="BT53" i="21"/>
  <c r="BN49" i="3"/>
  <c r="BT50" i="21"/>
  <c r="BG47" i="19"/>
  <c r="BJ53" i="20"/>
  <c r="BN46" i="21"/>
  <c r="BK49" i="3"/>
  <c r="BJ46" i="19"/>
  <c r="BT50" i="3"/>
  <c r="BG48" i="20"/>
  <c r="BG53" i="20"/>
  <c r="BP48" i="19"/>
  <c r="BT53" i="3"/>
  <c r="BK49" i="21"/>
  <c r="BP50" i="20"/>
  <c r="BM53" i="19"/>
  <c r="BK48" i="21"/>
  <c r="BP53" i="20"/>
  <c r="BM49" i="19"/>
  <c r="BK47" i="21"/>
  <c r="BQ50" i="21"/>
  <c r="BQ46" i="3"/>
  <c r="BG46" i="19"/>
  <c r="BG46" i="20"/>
  <c r="BT52" i="3"/>
  <c r="BT5" i="3"/>
  <c r="BC70" i="19"/>
  <c r="BN50" i="3"/>
  <c r="BQ49" i="3"/>
  <c r="BC70" i="20"/>
  <c r="BP49" i="19"/>
  <c r="BT34" i="19"/>
  <c r="BT19" i="19"/>
  <c r="BW3" i="19"/>
  <c r="BT3" i="19"/>
  <c r="BT16" i="19"/>
  <c r="BT26" i="19"/>
  <c r="BT29" i="19"/>
  <c r="BT45" i="19"/>
  <c r="BT21" i="19"/>
  <c r="BT25" i="19"/>
  <c r="BT37" i="19"/>
  <c r="BT15" i="19"/>
  <c r="BT43" i="19"/>
  <c r="BT11" i="19"/>
  <c r="BT40" i="19"/>
  <c r="BT38" i="19"/>
  <c r="BT27" i="19"/>
  <c r="BT6" i="19"/>
  <c r="BT28" i="19"/>
  <c r="BT33" i="19"/>
  <c r="BT8" i="19"/>
  <c r="BT7" i="19"/>
  <c r="BT42" i="19"/>
  <c r="BT10" i="19"/>
  <c r="BT14" i="19"/>
  <c r="BT24" i="19"/>
  <c r="BT32" i="19"/>
  <c r="BT13" i="19"/>
  <c r="BT17" i="19"/>
  <c r="BT12" i="19"/>
  <c r="BT20" i="19"/>
  <c r="BT41" i="19"/>
  <c r="BT30" i="19"/>
  <c r="BT9" i="19"/>
  <c r="BT39" i="19"/>
  <c r="BT44" i="19"/>
  <c r="BT36" i="19"/>
  <c r="BT18" i="19"/>
  <c r="BT35" i="19"/>
  <c r="BT23" i="19"/>
  <c r="BT31" i="19"/>
  <c r="BT22" i="19"/>
  <c r="BI70" i="20"/>
  <c r="BN49" i="21"/>
  <c r="BN48" i="3"/>
  <c r="BQ47" i="3"/>
  <c r="BG70" i="3"/>
  <c r="BF70" i="20"/>
  <c r="BJ50" i="20"/>
  <c r="BJ70" i="3"/>
  <c r="BG47" i="20"/>
  <c r="BQ45" i="19"/>
  <c r="BQ3" i="19"/>
  <c r="BQ27" i="19"/>
  <c r="BQ34" i="19"/>
  <c r="BQ16" i="19"/>
  <c r="BQ15" i="19"/>
  <c r="BQ21" i="19"/>
  <c r="BQ33" i="19"/>
  <c r="BQ28" i="19"/>
  <c r="BQ37" i="19"/>
  <c r="BQ26" i="19"/>
  <c r="BQ25" i="19"/>
  <c r="BQ11" i="19"/>
  <c r="BQ44" i="19"/>
  <c r="BQ38" i="19"/>
  <c r="BQ6" i="19"/>
  <c r="BQ43" i="19"/>
  <c r="BQ40" i="19"/>
  <c r="BQ7" i="19"/>
  <c r="BQ18" i="19"/>
  <c r="BQ29" i="19"/>
  <c r="BQ19" i="19"/>
  <c r="BQ8" i="19"/>
  <c r="BQ32" i="19"/>
  <c r="BQ14" i="19"/>
  <c r="BQ42" i="19"/>
  <c r="BQ10" i="19"/>
  <c r="BQ13" i="19"/>
  <c r="BQ20" i="19"/>
  <c r="BQ36" i="19"/>
  <c r="BQ12" i="19"/>
  <c r="BQ17" i="19"/>
  <c r="BQ35" i="19"/>
  <c r="BQ30" i="19"/>
  <c r="BQ9" i="19"/>
  <c r="BQ24" i="19"/>
  <c r="BQ39" i="19"/>
  <c r="BQ41" i="19"/>
  <c r="BQ31" i="19"/>
  <c r="BQ23" i="19"/>
  <c r="BQ22" i="19"/>
  <c r="BT46" i="3"/>
  <c r="BX19" i="3"/>
  <c r="BX20" i="3"/>
  <c r="BX16" i="3"/>
  <c r="CA3" i="3"/>
  <c r="BX3" i="3"/>
  <c r="BX8" i="3"/>
  <c r="BX24" i="3"/>
  <c r="BX41" i="3"/>
  <c r="BX12" i="3"/>
  <c r="BX22" i="3"/>
  <c r="BX21" i="3"/>
  <c r="BX6" i="3"/>
  <c r="BX17" i="3"/>
  <c r="BX18" i="3"/>
  <c r="BX38" i="3"/>
  <c r="BX39" i="3"/>
  <c r="BX34" i="3"/>
  <c r="BX40" i="3"/>
  <c r="BX26" i="3"/>
  <c r="BX33" i="3"/>
  <c r="BX45" i="3"/>
  <c r="BX28" i="3"/>
  <c r="BX35" i="3"/>
  <c r="BX36" i="3"/>
  <c r="BX11" i="3"/>
  <c r="BX43" i="3"/>
  <c r="BX10" i="3"/>
  <c r="BX42" i="3"/>
  <c r="BX13" i="3"/>
  <c r="BX31" i="3"/>
  <c r="BX9" i="3"/>
  <c r="BX32" i="3"/>
  <c r="BX15" i="3"/>
  <c r="BX7" i="3"/>
  <c r="BX29" i="3"/>
  <c r="BX44" i="3"/>
  <c r="BX14" i="3"/>
  <c r="BX37" i="3"/>
  <c r="BX23" i="3"/>
  <c r="BX30" i="3"/>
  <c r="BX27" i="3"/>
  <c r="BX25" i="3"/>
  <c r="BM5" i="19"/>
  <c r="BM52" i="19"/>
  <c r="BM46" i="19"/>
  <c r="BJ70" i="21"/>
  <c r="BT46" i="21"/>
  <c r="BJ49" i="20"/>
  <c r="BK21" i="19"/>
  <c r="BK16" i="19"/>
  <c r="BK45" i="19"/>
  <c r="BK27" i="19"/>
  <c r="BK41" i="19"/>
  <c r="BK37" i="19"/>
  <c r="BK34" i="19"/>
  <c r="BK18" i="19"/>
  <c r="BK15" i="19"/>
  <c r="BK11" i="19"/>
  <c r="BK38" i="19"/>
  <c r="BK7" i="19"/>
  <c r="BK43" i="19"/>
  <c r="BK40" i="19"/>
  <c r="BK39" i="19"/>
  <c r="BK33" i="19"/>
  <c r="BK28" i="19"/>
  <c r="BK51" i="19" s="1"/>
  <c r="BK6" i="19"/>
  <c r="BK25" i="19"/>
  <c r="BK26" i="19"/>
  <c r="BK19" i="19"/>
  <c r="BK8" i="19"/>
  <c r="BK32" i="19"/>
  <c r="BK42" i="19"/>
  <c r="BK29" i="19"/>
  <c r="BK24" i="19"/>
  <c r="BK13" i="19"/>
  <c r="BK14" i="19"/>
  <c r="BK10" i="19"/>
  <c r="BK17" i="19"/>
  <c r="BK12" i="19"/>
  <c r="BK20" i="19"/>
  <c r="BK44" i="19"/>
  <c r="BK35" i="19"/>
  <c r="BK36" i="19"/>
  <c r="BK30" i="19"/>
  <c r="BK9" i="19"/>
  <c r="BK31" i="19"/>
  <c r="BK23" i="19"/>
  <c r="BK22" i="19"/>
  <c r="BN52" i="3"/>
  <c r="BN5" i="3"/>
  <c r="BP47" i="20"/>
  <c r="BJ47" i="19"/>
  <c r="BM47" i="19"/>
  <c r="BQ50" i="3"/>
  <c r="BK52" i="21"/>
  <c r="BK5" i="21"/>
  <c r="BM52" i="20"/>
  <c r="BM5" i="20"/>
  <c r="BQ46" i="21"/>
  <c r="BJ52" i="20"/>
  <c r="BJ5" i="20"/>
  <c r="BJ50" i="19"/>
  <c r="BJ48" i="19"/>
  <c r="BI70" i="19"/>
  <c r="BN50" i="21"/>
  <c r="BN47" i="21"/>
  <c r="BO34" i="21"/>
  <c r="BO21" i="21"/>
  <c r="BO16" i="21"/>
  <c r="BO19" i="21"/>
  <c r="BO26" i="21"/>
  <c r="BO18" i="21"/>
  <c r="BO37" i="21"/>
  <c r="BO40" i="21"/>
  <c r="BO45" i="21"/>
  <c r="BO41" i="21"/>
  <c r="BO17" i="21"/>
  <c r="BO20" i="21"/>
  <c r="BO38" i="21"/>
  <c r="BO33" i="21"/>
  <c r="BO11" i="21"/>
  <c r="BO42" i="21"/>
  <c r="BO39" i="21"/>
  <c r="BO8" i="21"/>
  <c r="BO32" i="21"/>
  <c r="BO24" i="21"/>
  <c r="BO6" i="21"/>
  <c r="BO9" i="21"/>
  <c r="BO28" i="21"/>
  <c r="BO30" i="21"/>
  <c r="BO7" i="21"/>
  <c r="BO12" i="21"/>
  <c r="BO10" i="21"/>
  <c r="BO13" i="21"/>
  <c r="BO44" i="21"/>
  <c r="BO22" i="21"/>
  <c r="BO15" i="21"/>
  <c r="BO23" i="21"/>
  <c r="BO25" i="21"/>
  <c r="BO27" i="21"/>
  <c r="BO35" i="21"/>
  <c r="BO31" i="21"/>
  <c r="BO29" i="21"/>
  <c r="BO43" i="21"/>
  <c r="BO14" i="21"/>
  <c r="BO36" i="21"/>
  <c r="BN46" i="3"/>
  <c r="BT49" i="21"/>
  <c r="BG52" i="19"/>
  <c r="BG5" i="19"/>
  <c r="BK37" i="20"/>
  <c r="BK16" i="20"/>
  <c r="BK41" i="20"/>
  <c r="BK21" i="20"/>
  <c r="BK45" i="20"/>
  <c r="BK19" i="20"/>
  <c r="BK24" i="20"/>
  <c r="BK32" i="20"/>
  <c r="BK29" i="20"/>
  <c r="BK30" i="20"/>
  <c r="BK17" i="20"/>
  <c r="BK38" i="20"/>
  <c r="BK28" i="20"/>
  <c r="BK9" i="20"/>
  <c r="BK40" i="20"/>
  <c r="BK18" i="20"/>
  <c r="BK34" i="20"/>
  <c r="BK8" i="20"/>
  <c r="BK12" i="20"/>
  <c r="BK10" i="20"/>
  <c r="BK13" i="20"/>
  <c r="BK14" i="20"/>
  <c r="BK43" i="20"/>
  <c r="BK15" i="20"/>
  <c r="BK35" i="20"/>
  <c r="BK39" i="20"/>
  <c r="BK20" i="20"/>
  <c r="BK7" i="20"/>
  <c r="BK11" i="20"/>
  <c r="BK33" i="20"/>
  <c r="BK31" i="20"/>
  <c r="BK36" i="20"/>
  <c r="BK26" i="20"/>
  <c r="BK44" i="20"/>
  <c r="BK23" i="20"/>
  <c r="BK25" i="20"/>
  <c r="BK42" i="20"/>
  <c r="BK6" i="20"/>
  <c r="BK22" i="20"/>
  <c r="BK27" i="20"/>
  <c r="BM70" i="21"/>
  <c r="BN5" i="21"/>
  <c r="BN52" i="21"/>
  <c r="BK50" i="21"/>
  <c r="BL70" i="19"/>
  <c r="BM46" i="20"/>
  <c r="BM49" i="20"/>
  <c r="BX21" i="21"/>
  <c r="BX3" i="21"/>
  <c r="CA3" i="21"/>
  <c r="BX16" i="21"/>
  <c r="BX20" i="21"/>
  <c r="BX19" i="21"/>
  <c r="BX18" i="21"/>
  <c r="BX45" i="21"/>
  <c r="BX41" i="21"/>
  <c r="BX17" i="21"/>
  <c r="BX37" i="21"/>
  <c r="BX34" i="21"/>
  <c r="BX39" i="21"/>
  <c r="BX26" i="21"/>
  <c r="BX38" i="21"/>
  <c r="BX40" i="21"/>
  <c r="BX22" i="21"/>
  <c r="BX27" i="21"/>
  <c r="BX11" i="21"/>
  <c r="BX42" i="21"/>
  <c r="BX9" i="21"/>
  <c r="BX6" i="21"/>
  <c r="BX32" i="21"/>
  <c r="BX28" i="21"/>
  <c r="BX24" i="21"/>
  <c r="BX33" i="21"/>
  <c r="BX8" i="21"/>
  <c r="BX7" i="21"/>
  <c r="BX12" i="21"/>
  <c r="BX30" i="21"/>
  <c r="BX14" i="21"/>
  <c r="BX13" i="21"/>
  <c r="BX44" i="21"/>
  <c r="BX15" i="21"/>
  <c r="BX29" i="21"/>
  <c r="BX25" i="21"/>
  <c r="BX31" i="21"/>
  <c r="BX10" i="21"/>
  <c r="BX43" i="21"/>
  <c r="BX36" i="21"/>
  <c r="BX35" i="21"/>
  <c r="BX23" i="21"/>
  <c r="BG49" i="19"/>
  <c r="BG48" i="19"/>
  <c r="BF70" i="19"/>
  <c r="BP47" i="19"/>
  <c r="BT48" i="3"/>
  <c r="BN16" i="19"/>
  <c r="BN3" i="19"/>
  <c r="BN45" i="19"/>
  <c r="BN15" i="19"/>
  <c r="BN21" i="19"/>
  <c r="BN27" i="19"/>
  <c r="BN34" i="19"/>
  <c r="BN28" i="19"/>
  <c r="BN26" i="19"/>
  <c r="BN37" i="19"/>
  <c r="BN29" i="19"/>
  <c r="BN6" i="19"/>
  <c r="BN43" i="19"/>
  <c r="BN38" i="19"/>
  <c r="BN40" i="19"/>
  <c r="BN11" i="19"/>
  <c r="BN7" i="19"/>
  <c r="BN33" i="19"/>
  <c r="BN32" i="19"/>
  <c r="BN19" i="19"/>
  <c r="BN18" i="19"/>
  <c r="BN8" i="19"/>
  <c r="BN25" i="19"/>
  <c r="BN42" i="19"/>
  <c r="BN10" i="19"/>
  <c r="BN13" i="19"/>
  <c r="BN12" i="19"/>
  <c r="BN20" i="19"/>
  <c r="BN14" i="19"/>
  <c r="BN41" i="19"/>
  <c r="BN30" i="19"/>
  <c r="BN17" i="19"/>
  <c r="BN35" i="19"/>
  <c r="BN44" i="19"/>
  <c r="BN36" i="19"/>
  <c r="BN9" i="19"/>
  <c r="BN39" i="19"/>
  <c r="BN31" i="19"/>
  <c r="BN24" i="19"/>
  <c r="BN23" i="19"/>
  <c r="BN22" i="19"/>
  <c r="BP70" i="21"/>
  <c r="BP49" i="20"/>
  <c r="BT47" i="21"/>
  <c r="BU3" i="21"/>
  <c r="BU21" i="21"/>
  <c r="BU45" i="21"/>
  <c r="BU16" i="21"/>
  <c r="BU19" i="21"/>
  <c r="BU17" i="21"/>
  <c r="BU37" i="21"/>
  <c r="BU41" i="21"/>
  <c r="BU18" i="21"/>
  <c r="BU26" i="21"/>
  <c r="BU34" i="21"/>
  <c r="BU20" i="21"/>
  <c r="BU33" i="21"/>
  <c r="BU39" i="21"/>
  <c r="BU38" i="21"/>
  <c r="BU11" i="21"/>
  <c r="BU40" i="21"/>
  <c r="BU42" i="21"/>
  <c r="BU6" i="21"/>
  <c r="BU32" i="21"/>
  <c r="BU7" i="21"/>
  <c r="BU8" i="21"/>
  <c r="BU24" i="21"/>
  <c r="BU12" i="21"/>
  <c r="BU30" i="21"/>
  <c r="BU9" i="21"/>
  <c r="BU28" i="21"/>
  <c r="BU22" i="21"/>
  <c r="BU14" i="21"/>
  <c r="BU13" i="21"/>
  <c r="BU31" i="21"/>
  <c r="BU15" i="21"/>
  <c r="BU44" i="21"/>
  <c r="BU43" i="21"/>
  <c r="BU10" i="21"/>
  <c r="BU27" i="21"/>
  <c r="BU36" i="21"/>
  <c r="BU25" i="21"/>
  <c r="BU29" i="21"/>
  <c r="BU23" i="21"/>
  <c r="BU35" i="21"/>
  <c r="BQ5" i="21"/>
  <c r="BQ70" i="21" s="1"/>
  <c r="BQ52" i="21"/>
  <c r="BQ49" i="21"/>
  <c r="BM70" i="3"/>
  <c r="BJ5" i="19"/>
  <c r="BJ52" i="19"/>
  <c r="BG49" i="20"/>
  <c r="BG70" i="21"/>
  <c r="BP52" i="20"/>
  <c r="BP5" i="20"/>
  <c r="BQ19" i="20"/>
  <c r="BQ32" i="20"/>
  <c r="BQ21" i="20"/>
  <c r="BQ3" i="20"/>
  <c r="BQ41" i="20"/>
  <c r="BQ16" i="20"/>
  <c r="BQ45" i="20"/>
  <c r="BQ18" i="20"/>
  <c r="BQ34" i="20"/>
  <c r="BQ29" i="20"/>
  <c r="BQ30" i="20"/>
  <c r="BQ17" i="20"/>
  <c r="BQ10" i="20"/>
  <c r="BQ37" i="20"/>
  <c r="BQ28" i="20"/>
  <c r="BQ43" i="20"/>
  <c r="BQ36" i="20"/>
  <c r="BQ9" i="20"/>
  <c r="BQ40" i="20"/>
  <c r="BQ8" i="20"/>
  <c r="BQ14" i="20"/>
  <c r="BQ13" i="20"/>
  <c r="BQ39" i="20"/>
  <c r="BQ15" i="20"/>
  <c r="BQ12" i="20"/>
  <c r="BQ7" i="20"/>
  <c r="BQ11" i="20"/>
  <c r="BQ20" i="20"/>
  <c r="BQ33" i="20"/>
  <c r="BQ26" i="20"/>
  <c r="BQ35" i="20"/>
  <c r="BQ31" i="20"/>
  <c r="BQ38" i="20"/>
  <c r="BQ42" i="20"/>
  <c r="BQ25" i="20"/>
  <c r="BQ6" i="20"/>
  <c r="BQ23" i="20"/>
  <c r="BQ44" i="20"/>
  <c r="BQ24" i="20"/>
  <c r="BQ22" i="20"/>
  <c r="BQ27" i="20"/>
  <c r="BL70" i="20"/>
  <c r="BT49" i="3"/>
  <c r="BN48" i="21"/>
  <c r="BN17" i="20"/>
  <c r="BN21" i="20"/>
  <c r="BN28" i="20"/>
  <c r="BN3" i="20"/>
  <c r="BN16" i="20"/>
  <c r="BN41" i="20"/>
  <c r="BN45" i="20"/>
  <c r="BN18" i="20"/>
  <c r="BN32" i="20"/>
  <c r="BN19" i="20"/>
  <c r="BN30" i="20"/>
  <c r="BN34" i="20"/>
  <c r="BN37" i="20"/>
  <c r="BN29" i="20"/>
  <c r="BN10" i="20"/>
  <c r="BN39" i="20"/>
  <c r="BN9" i="20"/>
  <c r="BN40" i="20"/>
  <c r="BN14" i="20"/>
  <c r="BN13" i="20"/>
  <c r="BN12" i="20"/>
  <c r="BN8" i="20"/>
  <c r="BN15" i="20"/>
  <c r="BN43" i="20"/>
  <c r="BN7" i="20"/>
  <c r="BN26" i="20"/>
  <c r="BN20" i="20"/>
  <c r="BN11" i="20"/>
  <c r="BN31" i="20"/>
  <c r="BN35" i="20"/>
  <c r="BN33" i="20"/>
  <c r="BN36" i="20"/>
  <c r="BN27" i="20"/>
  <c r="BN38" i="20"/>
  <c r="BN42" i="20"/>
  <c r="BN6" i="20"/>
  <c r="BN25" i="20"/>
  <c r="BN24" i="20"/>
  <c r="BN23" i="20"/>
  <c r="BN44" i="20"/>
  <c r="BN22" i="20"/>
  <c r="BK50" i="3"/>
  <c r="BQ47" i="21"/>
  <c r="BJ47" i="20"/>
  <c r="BJ49" i="19"/>
  <c r="BO16" i="3"/>
  <c r="BO8" i="3"/>
  <c r="BO20" i="3"/>
  <c r="BO12" i="3"/>
  <c r="BO40" i="3"/>
  <c r="BO22" i="3"/>
  <c r="BO19" i="3"/>
  <c r="BO6" i="3"/>
  <c r="BO18" i="3"/>
  <c r="BO21" i="3"/>
  <c r="BO24" i="3"/>
  <c r="BO35" i="3"/>
  <c r="BO34" i="3"/>
  <c r="BO33" i="3"/>
  <c r="BO28" i="3"/>
  <c r="BO37" i="3"/>
  <c r="BO41" i="3"/>
  <c r="BO36" i="3"/>
  <c r="BO17" i="3"/>
  <c r="BO26" i="3"/>
  <c r="BO45" i="3"/>
  <c r="BO38" i="3"/>
  <c r="BO11" i="3"/>
  <c r="BO42" i="3"/>
  <c r="BO43" i="3"/>
  <c r="BO44" i="3"/>
  <c r="BO10" i="3"/>
  <c r="BO13" i="3"/>
  <c r="BO9" i="3"/>
  <c r="BO39" i="3"/>
  <c r="BO32" i="3"/>
  <c r="BO31" i="3"/>
  <c r="BO7" i="3"/>
  <c r="BO14" i="3"/>
  <c r="BO29" i="3"/>
  <c r="BO15" i="3"/>
  <c r="BO30" i="3"/>
  <c r="BO23" i="3"/>
  <c r="BO27" i="3"/>
  <c r="BO25" i="3"/>
  <c r="BQ48" i="3"/>
  <c r="BR3" i="3"/>
  <c r="BR12" i="3"/>
  <c r="BR20" i="3"/>
  <c r="BR8" i="3"/>
  <c r="BR16" i="3"/>
  <c r="BR19" i="3"/>
  <c r="BR18" i="3"/>
  <c r="BR9" i="3"/>
  <c r="BR21" i="3"/>
  <c r="BR24" i="3"/>
  <c r="BR17" i="3"/>
  <c r="BR38" i="3"/>
  <c r="BR41" i="3"/>
  <c r="BR36" i="3"/>
  <c r="BR37" i="3"/>
  <c r="BR45" i="3"/>
  <c r="BR35" i="3"/>
  <c r="BR34" i="3"/>
  <c r="BR29" i="3"/>
  <c r="BR39" i="3"/>
  <c r="BR33" i="3"/>
  <c r="BR43" i="3"/>
  <c r="BR11" i="3"/>
  <c r="BR42" i="3"/>
  <c r="BR6" i="3"/>
  <c r="BR13" i="3"/>
  <c r="BR10" i="3"/>
  <c r="BR31" i="3"/>
  <c r="BR40" i="3"/>
  <c r="BR14" i="3"/>
  <c r="BR30" i="3"/>
  <c r="BR32" i="3"/>
  <c r="BR7" i="3"/>
  <c r="BR28" i="3"/>
  <c r="BR15" i="3"/>
  <c r="BR44" i="3"/>
  <c r="BR26" i="3"/>
  <c r="BR22" i="3"/>
  <c r="BR25" i="3"/>
  <c r="BR23" i="3"/>
  <c r="BR27" i="3"/>
  <c r="BP48" i="20"/>
  <c r="BM47" i="20"/>
  <c r="BK52" i="3"/>
  <c r="BK5" i="3"/>
  <c r="BR3" i="21"/>
  <c r="BR21" i="21"/>
  <c r="BR19" i="21"/>
  <c r="BR16" i="21"/>
  <c r="BR45" i="21"/>
  <c r="BR34" i="21"/>
  <c r="BR17" i="21"/>
  <c r="BR26" i="21"/>
  <c r="BR18" i="21"/>
  <c r="BR41" i="21"/>
  <c r="BR37" i="21"/>
  <c r="BR27" i="21"/>
  <c r="BR11" i="21"/>
  <c r="BR20" i="21"/>
  <c r="BR38" i="21"/>
  <c r="BR42" i="21"/>
  <c r="BR40" i="21"/>
  <c r="BR32" i="21"/>
  <c r="BR9" i="21"/>
  <c r="BR8" i="21"/>
  <c r="BR6" i="21"/>
  <c r="BR39" i="21"/>
  <c r="BR24" i="21"/>
  <c r="BR28" i="21"/>
  <c r="BR33" i="21"/>
  <c r="BR12" i="21"/>
  <c r="BR7" i="21"/>
  <c r="BR14" i="21"/>
  <c r="BR13" i="21"/>
  <c r="BR30" i="21"/>
  <c r="BR44" i="21"/>
  <c r="BR15" i="21"/>
  <c r="BR22" i="21"/>
  <c r="BR23" i="21"/>
  <c r="BR35" i="21"/>
  <c r="BR36" i="21"/>
  <c r="BR25" i="21"/>
  <c r="BR31" i="21"/>
  <c r="BR43" i="21"/>
  <c r="BR10" i="21"/>
  <c r="BR29" i="21"/>
  <c r="BJ48" i="20"/>
  <c r="BJ46" i="20"/>
  <c r="BG52" i="20"/>
  <c r="BG5" i="20"/>
  <c r="BP46" i="19"/>
  <c r="BP5" i="19"/>
  <c r="BP52" i="19"/>
  <c r="BU12" i="3"/>
  <c r="BU20" i="3"/>
  <c r="BU23" i="3"/>
  <c r="BU8" i="3"/>
  <c r="BU3" i="3"/>
  <c r="BU19" i="3"/>
  <c r="BU16" i="3"/>
  <c r="BU21" i="3"/>
  <c r="BU24" i="3"/>
  <c r="BU10" i="3"/>
  <c r="BU6" i="3"/>
  <c r="BU18" i="3"/>
  <c r="BU17" i="3"/>
  <c r="BU35" i="3"/>
  <c r="BU36" i="3"/>
  <c r="BU33" i="3"/>
  <c r="BU30" i="3"/>
  <c r="BU38" i="3"/>
  <c r="BU28" i="3"/>
  <c r="BU39" i="3"/>
  <c r="BU34" i="3"/>
  <c r="BU45" i="3"/>
  <c r="BU37" i="3"/>
  <c r="BU40" i="3"/>
  <c r="BU11" i="3"/>
  <c r="BU43" i="3"/>
  <c r="BU9" i="3"/>
  <c r="BU13" i="3"/>
  <c r="BU31" i="3"/>
  <c r="BU42" i="3"/>
  <c r="BU25" i="3"/>
  <c r="BU26" i="3"/>
  <c r="BU22" i="3"/>
  <c r="BU32" i="3"/>
  <c r="BU15" i="3"/>
  <c r="BU7" i="3"/>
  <c r="BU14" i="3"/>
  <c r="BU29" i="3"/>
  <c r="BU44" i="3"/>
  <c r="BU41" i="3"/>
  <c r="BU27" i="3"/>
  <c r="BM50" i="19"/>
  <c r="BQ52" i="3"/>
  <c r="BQ5" i="3"/>
  <c r="BP70" i="3"/>
  <c r="BK46" i="21"/>
  <c r="BP46" i="20"/>
  <c r="BT41" i="20"/>
  <c r="BW3" i="20"/>
  <c r="BT45" i="20"/>
  <c r="BT21" i="20"/>
  <c r="BT3" i="20"/>
  <c r="BT16" i="20"/>
  <c r="BT19" i="20"/>
  <c r="BT28" i="20"/>
  <c r="BT40" i="20"/>
  <c r="BT32" i="20"/>
  <c r="BT37" i="20"/>
  <c r="BT34" i="20"/>
  <c r="BT17" i="20"/>
  <c r="BT20" i="20"/>
  <c r="BT29" i="20"/>
  <c r="BT43" i="20"/>
  <c r="BT18" i="20"/>
  <c r="BT9" i="20"/>
  <c r="BT30" i="20"/>
  <c r="BT13" i="20"/>
  <c r="BT10" i="20"/>
  <c r="BT31" i="20"/>
  <c r="BT14" i="20"/>
  <c r="BT15" i="20"/>
  <c r="BT39" i="20"/>
  <c r="BT23" i="20"/>
  <c r="BT8" i="20"/>
  <c r="BT12" i="20"/>
  <c r="BT26" i="20"/>
  <c r="BT11" i="20"/>
  <c r="BT36" i="20"/>
  <c r="BT7" i="20"/>
  <c r="BT22" i="20"/>
  <c r="BT35" i="20"/>
  <c r="BT33" i="20"/>
  <c r="BT38" i="20"/>
  <c r="BT44" i="20"/>
  <c r="BT25" i="20"/>
  <c r="BT42" i="20"/>
  <c r="BT24" i="20"/>
  <c r="BT6" i="20"/>
  <c r="BT27" i="20"/>
  <c r="BK48" i="3"/>
  <c r="BT52" i="21"/>
  <c r="BT5" i="21"/>
  <c r="BG50" i="19"/>
  <c r="C91" i="2"/>
  <c r="D90" i="2"/>
  <c r="BF47" i="22" l="1"/>
  <c r="BR51" i="3"/>
  <c r="BO51" i="23"/>
  <c r="BU53" i="23"/>
  <c r="BO53" i="3"/>
  <c r="BR53" i="23"/>
  <c r="BJ53" i="18"/>
  <c r="BP53" i="18"/>
  <c r="BM53" i="18"/>
  <c r="BX53" i="23"/>
  <c r="BO53" i="23"/>
  <c r="BF53" i="22"/>
  <c r="BG53" i="18"/>
  <c r="BR48" i="23"/>
  <c r="BP50" i="18"/>
  <c r="BO50" i="21"/>
  <c r="BC48" i="22"/>
  <c r="BK48" i="20"/>
  <c r="BK50" i="20"/>
  <c r="BO47" i="21"/>
  <c r="BL49" i="22"/>
  <c r="BK51" i="20"/>
  <c r="BU51" i="3"/>
  <c r="BR51" i="21"/>
  <c r="BN51" i="20"/>
  <c r="BQ51" i="20"/>
  <c r="BU50" i="23"/>
  <c r="BO50" i="23"/>
  <c r="BI48" i="22"/>
  <c r="BI50" i="22"/>
  <c r="BL46" i="22"/>
  <c r="BN51" i="19"/>
  <c r="BT51" i="19"/>
  <c r="BO48" i="23"/>
  <c r="BU48" i="23"/>
  <c r="BX48" i="23"/>
  <c r="BF48" i="22"/>
  <c r="BQ47" i="19"/>
  <c r="BI53" i="22"/>
  <c r="BC53" i="22"/>
  <c r="BL53" i="22"/>
  <c r="BF50" i="22"/>
  <c r="BC50" i="22"/>
  <c r="BF46" i="22"/>
  <c r="BR51" i="23"/>
  <c r="BR47" i="23"/>
  <c r="BT51" i="20"/>
  <c r="BL48" i="22"/>
  <c r="BM50" i="18"/>
  <c r="BG50" i="18"/>
  <c r="BJ50" i="18"/>
  <c r="BX52" i="23"/>
  <c r="BL51" i="22"/>
  <c r="BL47" i="22"/>
  <c r="BC51" i="22"/>
  <c r="BC47" i="22"/>
  <c r="BC52" i="22"/>
  <c r="BO46" i="23"/>
  <c r="BI51" i="22"/>
  <c r="BI47" i="22"/>
  <c r="BU51" i="23"/>
  <c r="BU47" i="23"/>
  <c r="BO51" i="3"/>
  <c r="BU51" i="21"/>
  <c r="BX51" i="21"/>
  <c r="BO51" i="21"/>
  <c r="BX51" i="3"/>
  <c r="BL52" i="22"/>
  <c r="BF52" i="22"/>
  <c r="BF51" i="22"/>
  <c r="BI49" i="22"/>
  <c r="BI52" i="22"/>
  <c r="BR46" i="23"/>
  <c r="BC46" i="22"/>
  <c r="BU52" i="23"/>
  <c r="BX46" i="23"/>
  <c r="BX51" i="23"/>
  <c r="BX47" i="23"/>
  <c r="BQ51" i="19"/>
  <c r="BL50" i="22"/>
  <c r="BF49" i="22"/>
  <c r="BI46" i="22"/>
  <c r="BR52" i="23"/>
  <c r="BR50" i="23"/>
  <c r="BR49" i="23"/>
  <c r="BC49" i="22"/>
  <c r="BU49" i="23"/>
  <c r="BU46" i="23"/>
  <c r="BX49" i="23"/>
  <c r="BX50" i="23"/>
  <c r="BO49" i="23"/>
  <c r="BO52" i="23"/>
  <c r="BO47" i="23"/>
  <c r="BJ49" i="18"/>
  <c r="BG49" i="18"/>
  <c r="BP49" i="18"/>
  <c r="BM49" i="18"/>
  <c r="BT50" i="19"/>
  <c r="BK47" i="19"/>
  <c r="BP51" i="18"/>
  <c r="BP47" i="18"/>
  <c r="BM51" i="18"/>
  <c r="BM47" i="18"/>
  <c r="BJ51" i="18"/>
  <c r="BJ47" i="18"/>
  <c r="BG51" i="18"/>
  <c r="BG47" i="18"/>
  <c r="BT48" i="19"/>
  <c r="BM48" i="18"/>
  <c r="BJ48" i="18"/>
  <c r="BG48" i="18"/>
  <c r="BP48" i="18"/>
  <c r="BJ46" i="18"/>
  <c r="BG46" i="18"/>
  <c r="BP46" i="18"/>
  <c r="BM46" i="18"/>
  <c r="BP52" i="18"/>
  <c r="BG52" i="18"/>
  <c r="BJ52" i="18"/>
  <c r="BM52" i="18"/>
  <c r="BX47" i="3"/>
  <c r="BX48" i="3"/>
  <c r="BR5" i="23"/>
  <c r="BR70" i="23" s="1"/>
  <c r="BJ5" i="18"/>
  <c r="BJ70" i="18" s="1"/>
  <c r="BQ18" i="18"/>
  <c r="BQ13" i="18"/>
  <c r="BQ23" i="18"/>
  <c r="BQ31" i="18"/>
  <c r="BQ32" i="18"/>
  <c r="BQ37" i="18"/>
  <c r="BQ28" i="18"/>
  <c r="BQ6" i="18"/>
  <c r="BQ44" i="18"/>
  <c r="BQ9" i="18"/>
  <c r="BQ45" i="18"/>
  <c r="BQ17" i="18"/>
  <c r="BQ33" i="18"/>
  <c r="BQ21" i="18"/>
  <c r="BQ35" i="18"/>
  <c r="BQ24" i="18"/>
  <c r="BQ41" i="18"/>
  <c r="BQ20" i="18"/>
  <c r="BQ22" i="18"/>
  <c r="BQ10" i="18"/>
  <c r="BQ42" i="18"/>
  <c r="BQ16" i="18"/>
  <c r="BQ11" i="18"/>
  <c r="BQ40" i="18"/>
  <c r="BQ26" i="18"/>
  <c r="BQ30" i="18"/>
  <c r="BQ3" i="18"/>
  <c r="BQ15" i="18"/>
  <c r="BQ7" i="18"/>
  <c r="BQ27" i="18"/>
  <c r="BQ39" i="18"/>
  <c r="BQ19" i="18"/>
  <c r="BQ8" i="18"/>
  <c r="BQ43" i="18"/>
  <c r="BQ25" i="18"/>
  <c r="BQ36" i="18"/>
  <c r="BQ34" i="18"/>
  <c r="BQ14" i="18"/>
  <c r="BQ12" i="18"/>
  <c r="BQ29" i="18"/>
  <c r="BQ38" i="18"/>
  <c r="BN37" i="18"/>
  <c r="BN33" i="18"/>
  <c r="BN41" i="18"/>
  <c r="BN36" i="18"/>
  <c r="BN25" i="18"/>
  <c r="BN3" i="18"/>
  <c r="BN12" i="18"/>
  <c r="BN6" i="18"/>
  <c r="BN26" i="18"/>
  <c r="BN42" i="18"/>
  <c r="BN31" i="18"/>
  <c r="BN16" i="18"/>
  <c r="BN17" i="18"/>
  <c r="BN24" i="18"/>
  <c r="BN23" i="18"/>
  <c r="BN35" i="18"/>
  <c r="BN21" i="18"/>
  <c r="BN20" i="18"/>
  <c r="BN40" i="18"/>
  <c r="BN10" i="18"/>
  <c r="BN30" i="18"/>
  <c r="BN45" i="18"/>
  <c r="BN15" i="18"/>
  <c r="BN11" i="18"/>
  <c r="BN27" i="18"/>
  <c r="BN39" i="18"/>
  <c r="BN18" i="18"/>
  <c r="BN13" i="18"/>
  <c r="BN43" i="18"/>
  <c r="BN9" i="18"/>
  <c r="BN22" i="18"/>
  <c r="BN34" i="18"/>
  <c r="BN8" i="18"/>
  <c r="BN29" i="18"/>
  <c r="BN44" i="18"/>
  <c r="BN38" i="18"/>
  <c r="BN19" i="18"/>
  <c r="BN28" i="18"/>
  <c r="BN7" i="18"/>
  <c r="BN14" i="18"/>
  <c r="BN32" i="18"/>
  <c r="BI5" i="22"/>
  <c r="BI70" i="22" s="1"/>
  <c r="BU5" i="23"/>
  <c r="BU70" i="23" s="1"/>
  <c r="BM16" i="22"/>
  <c r="BM43" i="22"/>
  <c r="BM29" i="22"/>
  <c r="BM44" i="22"/>
  <c r="BM36" i="22"/>
  <c r="BM19" i="22"/>
  <c r="BM38" i="22"/>
  <c r="BM32" i="22"/>
  <c r="BM7" i="22"/>
  <c r="BM30" i="22"/>
  <c r="BM41" i="22"/>
  <c r="BM23" i="22"/>
  <c r="BM12" i="22"/>
  <c r="BM13" i="22"/>
  <c r="BM14" i="22"/>
  <c r="BM45" i="22"/>
  <c r="BM40" i="22"/>
  <c r="BM39" i="22"/>
  <c r="BM26" i="22"/>
  <c r="BM27" i="22"/>
  <c r="BM34" i="22"/>
  <c r="BM17" i="22"/>
  <c r="BM42" i="22"/>
  <c r="BM28" i="22"/>
  <c r="BM24" i="22"/>
  <c r="BM6" i="22"/>
  <c r="BM3" i="22"/>
  <c r="BM37" i="22"/>
  <c r="BM11" i="22"/>
  <c r="BM9" i="22"/>
  <c r="BM22" i="22"/>
  <c r="BM21" i="22"/>
  <c r="BM25" i="22"/>
  <c r="BM31" i="22"/>
  <c r="BM8" i="22"/>
  <c r="BM15" i="22"/>
  <c r="BM18" i="22"/>
  <c r="BM20" i="22"/>
  <c r="BM33" i="22"/>
  <c r="BM10" i="22"/>
  <c r="BM35" i="22"/>
  <c r="BM5" i="18"/>
  <c r="BM70" i="18" s="1"/>
  <c r="BC5" i="22"/>
  <c r="BC70" i="22" s="1"/>
  <c r="BJ3" i="22"/>
  <c r="BJ37" i="22"/>
  <c r="BJ40" i="22"/>
  <c r="BJ39" i="22"/>
  <c r="BJ12" i="22"/>
  <c r="BJ14" i="22"/>
  <c r="BJ18" i="22"/>
  <c r="BJ45" i="22"/>
  <c r="BJ9" i="22"/>
  <c r="BJ7" i="22"/>
  <c r="BJ35" i="22"/>
  <c r="BJ21" i="22"/>
  <c r="BJ23" i="22"/>
  <c r="BJ31" i="22"/>
  <c r="BJ10" i="22"/>
  <c r="BJ36" i="22"/>
  <c r="BJ19" i="22"/>
  <c r="BJ28" i="22"/>
  <c r="BJ42" i="22"/>
  <c r="BJ44" i="22"/>
  <c r="BJ22" i="22"/>
  <c r="BJ16" i="22"/>
  <c r="BJ34" i="22"/>
  <c r="BJ43" i="22"/>
  <c r="BJ13" i="22"/>
  <c r="BJ15" i="22"/>
  <c r="BJ17" i="22"/>
  <c r="BJ20" i="22"/>
  <c r="BJ33" i="22"/>
  <c r="BJ24" i="22"/>
  <c r="BJ30" i="22"/>
  <c r="BJ41" i="22"/>
  <c r="BJ32" i="22"/>
  <c r="BJ8" i="22"/>
  <c r="BJ38" i="22"/>
  <c r="BJ6" i="22"/>
  <c r="BJ29" i="22"/>
  <c r="BJ11" i="22"/>
  <c r="BJ25" i="22"/>
  <c r="BJ26" i="22"/>
  <c r="BJ27" i="22"/>
  <c r="BY28" i="23"/>
  <c r="BY42" i="23"/>
  <c r="BY7" i="23"/>
  <c r="BY9" i="23"/>
  <c r="BY24" i="23"/>
  <c r="BY26" i="23"/>
  <c r="BY30" i="23"/>
  <c r="BY43" i="23"/>
  <c r="BY23" i="23"/>
  <c r="BY39" i="23"/>
  <c r="BY12" i="23"/>
  <c r="BY34" i="23"/>
  <c r="BY21" i="23"/>
  <c r="BY15" i="23"/>
  <c r="BY35" i="23"/>
  <c r="BY14" i="23"/>
  <c r="BY45" i="23"/>
  <c r="BY8" i="23"/>
  <c r="BY36" i="23"/>
  <c r="BY22" i="23"/>
  <c r="BY19" i="23"/>
  <c r="BY37" i="23"/>
  <c r="BY10" i="23"/>
  <c r="BY32" i="23"/>
  <c r="BY17" i="23"/>
  <c r="BY29" i="23"/>
  <c r="BY41" i="23"/>
  <c r="BY20" i="23"/>
  <c r="BY18" i="23"/>
  <c r="BY27" i="23"/>
  <c r="BY44" i="23"/>
  <c r="BY38" i="23"/>
  <c r="BY6" i="23"/>
  <c r="BY33" i="23"/>
  <c r="BY3" i="23"/>
  <c r="BY40" i="23"/>
  <c r="BY16" i="23"/>
  <c r="BY31" i="23"/>
  <c r="BY25" i="23"/>
  <c r="BY11" i="23"/>
  <c r="BY13" i="23"/>
  <c r="BO5" i="23"/>
  <c r="BK18" i="18"/>
  <c r="BK7" i="18"/>
  <c r="BK29" i="18"/>
  <c r="BK9" i="18"/>
  <c r="BK38" i="18"/>
  <c r="BK26" i="18"/>
  <c r="BK13" i="18"/>
  <c r="BK8" i="18"/>
  <c r="BK36" i="18"/>
  <c r="BK24" i="18"/>
  <c r="BK28" i="18"/>
  <c r="BK6" i="18"/>
  <c r="BK12" i="18"/>
  <c r="BK31" i="18"/>
  <c r="BK32" i="18"/>
  <c r="BK37" i="18"/>
  <c r="BK34" i="18"/>
  <c r="BK11" i="18"/>
  <c r="BK35" i="18"/>
  <c r="BK25" i="18"/>
  <c r="BK16" i="18"/>
  <c r="BK17" i="18"/>
  <c r="BK44" i="18"/>
  <c r="BK23" i="18"/>
  <c r="BK14" i="18"/>
  <c r="BK19" i="18"/>
  <c r="BK15" i="18"/>
  <c r="BK40" i="18"/>
  <c r="BK21" i="18"/>
  <c r="BK42" i="18"/>
  <c r="BK41" i="18"/>
  <c r="BK20" i="18"/>
  <c r="BK22" i="18"/>
  <c r="BK10" i="18"/>
  <c r="BK30" i="18"/>
  <c r="BK45" i="18"/>
  <c r="BK33" i="18"/>
  <c r="BK43" i="18"/>
  <c r="BK27" i="18"/>
  <c r="BK39" i="18"/>
  <c r="BT25" i="18"/>
  <c r="BT34" i="18"/>
  <c r="BT8" i="18"/>
  <c r="BT12" i="18"/>
  <c r="BT36" i="18"/>
  <c r="BT43" i="18"/>
  <c r="BT3" i="18"/>
  <c r="BT37" i="18"/>
  <c r="BT28" i="18"/>
  <c r="BT44" i="18"/>
  <c r="BW3" i="18"/>
  <c r="BT17" i="18"/>
  <c r="BT6" i="18"/>
  <c r="BT7" i="18"/>
  <c r="BT35" i="18"/>
  <c r="BT41" i="18"/>
  <c r="BT15" i="18"/>
  <c r="BT9" i="18"/>
  <c r="BT23" i="18"/>
  <c r="BT42" i="18"/>
  <c r="BT18" i="18"/>
  <c r="BT32" i="18"/>
  <c r="BT40" i="18"/>
  <c r="BT10" i="18"/>
  <c r="BT30" i="18"/>
  <c r="BT45" i="18"/>
  <c r="BT19" i="18"/>
  <c r="BT20" i="18"/>
  <c r="BT14" i="18"/>
  <c r="BT39" i="18"/>
  <c r="BT16" i="18"/>
  <c r="BT27" i="18"/>
  <c r="BT13" i="18"/>
  <c r="BT29" i="18"/>
  <c r="BT38" i="18"/>
  <c r="BT22" i="18"/>
  <c r="BT21" i="18"/>
  <c r="BT26" i="18"/>
  <c r="BT11" i="18"/>
  <c r="BT33" i="18"/>
  <c r="BT31" i="18"/>
  <c r="BT24" i="18"/>
  <c r="BF5" i="22"/>
  <c r="BF70" i="22" s="1"/>
  <c r="BG5" i="18"/>
  <c r="BG70" i="18" s="1"/>
  <c r="BX5" i="23"/>
  <c r="BP25" i="22"/>
  <c r="BP17" i="22"/>
  <c r="BP31" i="22"/>
  <c r="BP27" i="22"/>
  <c r="BP15" i="22"/>
  <c r="BP41" i="22"/>
  <c r="BP23" i="22"/>
  <c r="BP43" i="22"/>
  <c r="BP38" i="22"/>
  <c r="BP6" i="22"/>
  <c r="BP34" i="22"/>
  <c r="BP22" i="22"/>
  <c r="BP13" i="22"/>
  <c r="BP30" i="22"/>
  <c r="BP32" i="22"/>
  <c r="BS3" i="22"/>
  <c r="BP28" i="22"/>
  <c r="BP20" i="22"/>
  <c r="BP33" i="22"/>
  <c r="BP36" i="22"/>
  <c r="BP14" i="22"/>
  <c r="BP3" i="22"/>
  <c r="BP45" i="22"/>
  <c r="BP42" i="22"/>
  <c r="BP12" i="22"/>
  <c r="BP24" i="22"/>
  <c r="BP10" i="22"/>
  <c r="BP21" i="22"/>
  <c r="BP37" i="22"/>
  <c r="BP11" i="22"/>
  <c r="BP39" i="22"/>
  <c r="BP26" i="22"/>
  <c r="BP16" i="22"/>
  <c r="BP19" i="22"/>
  <c r="BP40" i="22"/>
  <c r="BP8" i="22"/>
  <c r="BP35" i="22"/>
  <c r="BP18" i="22"/>
  <c r="BP29" i="22"/>
  <c r="BP9" i="22"/>
  <c r="BP7" i="22"/>
  <c r="BP44" i="22"/>
  <c r="BP5" i="18"/>
  <c r="BP70" i="18" s="1"/>
  <c r="CB19" i="23"/>
  <c r="CB31" i="23"/>
  <c r="CB29" i="23"/>
  <c r="CB7" i="23"/>
  <c r="CB39" i="23"/>
  <c r="CB3" i="23"/>
  <c r="CB8" i="23"/>
  <c r="CB13" i="23"/>
  <c r="CB38" i="23"/>
  <c r="CB25" i="23"/>
  <c r="CB20" i="23"/>
  <c r="CB26" i="23"/>
  <c r="CB10" i="23"/>
  <c r="CB44" i="23"/>
  <c r="CB41" i="23"/>
  <c r="CB42" i="23"/>
  <c r="CB18" i="23"/>
  <c r="CB40" i="23"/>
  <c r="CB23" i="23"/>
  <c r="CB16" i="23"/>
  <c r="CB6" i="23"/>
  <c r="CB14" i="23"/>
  <c r="CB17" i="23"/>
  <c r="CB12" i="23"/>
  <c r="CB21" i="23"/>
  <c r="CB45" i="23"/>
  <c r="CB43" i="23"/>
  <c r="CB35" i="23"/>
  <c r="CB9" i="23"/>
  <c r="CB33" i="23"/>
  <c r="CE3" i="23"/>
  <c r="CB30" i="23"/>
  <c r="CB15" i="23"/>
  <c r="CB36" i="23"/>
  <c r="CB27" i="23"/>
  <c r="CB22" i="23"/>
  <c r="CB34" i="23"/>
  <c r="CB37" i="23"/>
  <c r="CB11" i="23"/>
  <c r="CB32" i="23"/>
  <c r="CB24" i="23"/>
  <c r="CB28" i="23"/>
  <c r="BL5" i="22"/>
  <c r="BL70" i="22" s="1"/>
  <c r="BG41" i="22"/>
  <c r="BG32" i="22"/>
  <c r="BG43" i="22"/>
  <c r="BG12" i="22"/>
  <c r="BG6" i="22"/>
  <c r="BG21" i="22"/>
  <c r="BG29" i="22"/>
  <c r="BG42" i="22"/>
  <c r="BG44" i="22"/>
  <c r="BG24" i="22"/>
  <c r="BG16" i="22"/>
  <c r="BG25" i="22"/>
  <c r="BG9" i="22"/>
  <c r="BG7" i="22"/>
  <c r="BG36" i="22"/>
  <c r="BG19" i="22"/>
  <c r="BG34" i="22"/>
  <c r="BG28" i="22"/>
  <c r="BG22" i="22"/>
  <c r="BG30" i="22"/>
  <c r="BG17" i="22"/>
  <c r="BG35" i="22"/>
  <c r="BG31" i="22"/>
  <c r="BG26" i="22"/>
  <c r="BG10" i="22"/>
  <c r="BG45" i="22"/>
  <c r="BG40" i="22"/>
  <c r="BG33" i="22"/>
  <c r="BG38" i="22"/>
  <c r="BG27" i="22"/>
  <c r="BG37" i="22"/>
  <c r="BG11" i="22"/>
  <c r="BG39" i="22"/>
  <c r="BG13" i="22"/>
  <c r="BG14" i="22"/>
  <c r="BG18" i="22"/>
  <c r="BG20" i="22"/>
  <c r="BG23" i="22"/>
  <c r="BG8" i="22"/>
  <c r="BG15" i="22"/>
  <c r="BS26" i="23"/>
  <c r="BS23" i="23"/>
  <c r="BS43" i="23"/>
  <c r="BS14" i="23"/>
  <c r="BS31" i="23"/>
  <c r="BS19" i="23"/>
  <c r="BS28" i="23"/>
  <c r="BS42" i="23"/>
  <c r="BS35" i="23"/>
  <c r="BS24" i="23"/>
  <c r="BS45" i="23"/>
  <c r="BS34" i="23"/>
  <c r="BS8" i="23"/>
  <c r="BS32" i="23"/>
  <c r="BS25" i="23"/>
  <c r="BS16" i="23"/>
  <c r="BS15" i="23"/>
  <c r="BS10" i="23"/>
  <c r="BS30" i="23"/>
  <c r="BS20" i="23"/>
  <c r="BS29" i="23"/>
  <c r="BS7" i="23"/>
  <c r="BS22" i="23"/>
  <c r="BS21" i="23"/>
  <c r="BS11" i="23"/>
  <c r="BS36" i="23"/>
  <c r="BS38" i="23"/>
  <c r="BS17" i="23"/>
  <c r="BS27" i="23"/>
  <c r="BS40" i="23"/>
  <c r="BS13" i="23"/>
  <c r="BS9" i="23"/>
  <c r="BS33" i="23"/>
  <c r="BS41" i="23"/>
  <c r="BS37" i="23"/>
  <c r="BS6" i="23"/>
  <c r="BS18" i="23"/>
  <c r="BS39" i="23"/>
  <c r="BS44" i="23"/>
  <c r="BS12" i="23"/>
  <c r="BV41" i="23"/>
  <c r="BV17" i="23"/>
  <c r="BV29" i="23"/>
  <c r="BV32" i="23"/>
  <c r="BV44" i="23"/>
  <c r="BV16" i="23"/>
  <c r="BV15" i="23"/>
  <c r="BV8" i="23"/>
  <c r="BV38" i="23"/>
  <c r="BV22" i="23"/>
  <c r="BV30" i="23"/>
  <c r="BV11" i="23"/>
  <c r="BV13" i="23"/>
  <c r="BV10" i="23"/>
  <c r="BV25" i="23"/>
  <c r="BV19" i="23"/>
  <c r="BV39" i="23"/>
  <c r="BV24" i="23"/>
  <c r="BV3" i="23"/>
  <c r="BV28" i="23"/>
  <c r="BV6" i="23"/>
  <c r="BV35" i="23"/>
  <c r="BV9" i="23"/>
  <c r="BV12" i="23"/>
  <c r="BV26" i="23"/>
  <c r="BV14" i="23"/>
  <c r="BV31" i="23"/>
  <c r="BV37" i="23"/>
  <c r="BV20" i="23"/>
  <c r="BV7" i="23"/>
  <c r="BV23" i="23"/>
  <c r="BV34" i="23"/>
  <c r="BV33" i="23"/>
  <c r="BV27" i="23"/>
  <c r="BV21" i="23"/>
  <c r="BV43" i="23"/>
  <c r="BV45" i="23"/>
  <c r="BV42" i="23"/>
  <c r="BV18" i="23"/>
  <c r="BV36" i="23"/>
  <c r="BV40" i="23"/>
  <c r="BX53" i="21"/>
  <c r="BT50" i="20"/>
  <c r="BU47" i="21"/>
  <c r="BO50" i="3"/>
  <c r="BT46" i="20"/>
  <c r="BR53" i="3"/>
  <c r="BU50" i="21"/>
  <c r="BQ53" i="19"/>
  <c r="BT53" i="20"/>
  <c r="BU53" i="3"/>
  <c r="BN46" i="19"/>
  <c r="BR48" i="21"/>
  <c r="BX50" i="3"/>
  <c r="BQ53" i="20"/>
  <c r="BK53" i="19"/>
  <c r="BO48" i="3"/>
  <c r="BX53" i="3"/>
  <c r="BT53" i="19"/>
  <c r="BQ48" i="20"/>
  <c r="BN53" i="19"/>
  <c r="BR47" i="3"/>
  <c r="BR50" i="3"/>
  <c r="BX50" i="21"/>
  <c r="BN53" i="20"/>
  <c r="BX47" i="21"/>
  <c r="BK53" i="20"/>
  <c r="BR53" i="21"/>
  <c r="BU53" i="21"/>
  <c r="BQ50" i="19"/>
  <c r="BU50" i="3"/>
  <c r="BR48" i="3"/>
  <c r="BO53" i="21"/>
  <c r="BX46" i="3"/>
  <c r="BU46" i="21"/>
  <c r="BU46" i="3"/>
  <c r="BR46" i="3"/>
  <c r="BO46" i="3"/>
  <c r="BU48" i="21"/>
  <c r="BY3" i="21"/>
  <c r="BY21" i="21"/>
  <c r="BY16" i="21"/>
  <c r="BY19" i="21"/>
  <c r="BY34" i="21"/>
  <c r="BY33" i="21"/>
  <c r="BY20" i="21"/>
  <c r="BY41" i="21"/>
  <c r="BY18" i="21"/>
  <c r="BY27" i="21"/>
  <c r="BY11" i="21"/>
  <c r="BY37" i="21"/>
  <c r="BY17" i="21"/>
  <c r="BY45" i="21"/>
  <c r="BY26" i="21"/>
  <c r="BY38" i="21"/>
  <c r="BY32" i="21"/>
  <c r="BY40" i="21"/>
  <c r="BY39" i="21"/>
  <c r="BY42" i="21"/>
  <c r="BY9" i="21"/>
  <c r="BY6" i="21"/>
  <c r="BY28" i="21"/>
  <c r="BY44" i="21"/>
  <c r="BY12" i="21"/>
  <c r="BY24" i="21"/>
  <c r="BY8" i="21"/>
  <c r="BY7" i="21"/>
  <c r="BY10" i="21"/>
  <c r="BY30" i="21"/>
  <c r="BY31" i="21"/>
  <c r="BY15" i="21"/>
  <c r="BY13" i="21"/>
  <c r="BY22" i="21"/>
  <c r="BY43" i="21"/>
  <c r="BY35" i="21"/>
  <c r="BY25" i="21"/>
  <c r="BY36" i="21"/>
  <c r="BY29" i="21"/>
  <c r="BY23" i="21"/>
  <c r="BY14" i="21"/>
  <c r="BN70" i="21"/>
  <c r="BK52" i="20"/>
  <c r="BK5" i="20"/>
  <c r="BK50" i="19"/>
  <c r="BX5" i="3"/>
  <c r="BX52" i="3"/>
  <c r="BQ70" i="3"/>
  <c r="BR49" i="3"/>
  <c r="BQ52" i="20"/>
  <c r="BQ5" i="20"/>
  <c r="BQ46" i="20"/>
  <c r="BP70" i="20"/>
  <c r="BN50" i="19"/>
  <c r="BN49" i="19"/>
  <c r="BK70" i="21"/>
  <c r="CB37" i="21"/>
  <c r="CB21" i="21"/>
  <c r="CE3" i="21"/>
  <c r="CB3" i="21"/>
  <c r="CB20" i="21"/>
  <c r="CB19" i="21"/>
  <c r="CB16" i="21"/>
  <c r="CB34" i="21"/>
  <c r="CB18" i="21"/>
  <c r="CB41" i="21"/>
  <c r="CB45" i="21"/>
  <c r="CB17" i="21"/>
  <c r="CB11" i="21"/>
  <c r="CB39" i="21"/>
  <c r="CB26" i="21"/>
  <c r="CB38" i="21"/>
  <c r="CB28" i="21"/>
  <c r="CB27" i="21"/>
  <c r="CB40" i="21"/>
  <c r="CB8" i="21"/>
  <c r="CB42" i="21"/>
  <c r="CB6" i="21"/>
  <c r="CB33" i="21"/>
  <c r="CB9" i="21"/>
  <c r="CB7" i="21"/>
  <c r="CB24" i="21"/>
  <c r="CB12" i="21"/>
  <c r="CB32" i="21"/>
  <c r="CB30" i="21"/>
  <c r="CB15" i="21"/>
  <c r="CB13" i="21"/>
  <c r="CB31" i="21"/>
  <c r="CB22" i="21"/>
  <c r="CB44" i="21"/>
  <c r="CB43" i="21"/>
  <c r="CB10" i="21"/>
  <c r="CB25" i="21"/>
  <c r="CB29" i="21"/>
  <c r="CB14" i="21"/>
  <c r="CB23" i="21"/>
  <c r="CB35" i="21"/>
  <c r="CB36" i="21"/>
  <c r="BS17" i="21"/>
  <c r="BS21" i="21"/>
  <c r="BS34" i="21"/>
  <c r="BS19" i="21"/>
  <c r="BS16" i="21"/>
  <c r="BS26" i="21"/>
  <c r="BS41" i="21"/>
  <c r="BS18" i="21"/>
  <c r="BS45" i="21"/>
  <c r="BS37" i="21"/>
  <c r="BS20" i="21"/>
  <c r="BS27" i="21"/>
  <c r="BS38" i="21"/>
  <c r="BS40" i="21"/>
  <c r="BS11" i="21"/>
  <c r="BS42" i="21"/>
  <c r="BS12" i="21"/>
  <c r="BS6" i="21"/>
  <c r="BS28" i="21"/>
  <c r="BS33" i="21"/>
  <c r="BS24" i="21"/>
  <c r="BS32" i="21"/>
  <c r="BS7" i="21"/>
  <c r="BS39" i="21"/>
  <c r="BS9" i="21"/>
  <c r="BS8" i="21"/>
  <c r="BS30" i="21"/>
  <c r="BS13" i="21"/>
  <c r="BS44" i="21"/>
  <c r="BS22" i="21"/>
  <c r="BS15" i="21"/>
  <c r="BS31" i="21"/>
  <c r="BS25" i="21"/>
  <c r="BS36" i="21"/>
  <c r="BS23" i="21"/>
  <c r="BS10" i="21"/>
  <c r="BS29" i="21"/>
  <c r="BS14" i="21"/>
  <c r="BS43" i="21"/>
  <c r="BS35" i="21"/>
  <c r="BN46" i="20"/>
  <c r="BK47" i="20"/>
  <c r="BG70" i="19"/>
  <c r="BO46" i="21"/>
  <c r="BK49" i="19"/>
  <c r="BQ52" i="19"/>
  <c r="BQ5" i="19"/>
  <c r="BT5" i="19"/>
  <c r="BT52" i="19"/>
  <c r="BN52" i="20"/>
  <c r="BN5" i="20"/>
  <c r="BT46" i="19"/>
  <c r="BT49" i="20"/>
  <c r="BU37" i="20"/>
  <c r="BU16" i="20"/>
  <c r="BU24" i="20"/>
  <c r="BU3" i="20"/>
  <c r="BU45" i="20"/>
  <c r="BU17" i="20"/>
  <c r="BU29" i="20"/>
  <c r="BU21" i="20"/>
  <c r="BU30" i="20"/>
  <c r="BU19" i="20"/>
  <c r="BU15" i="20"/>
  <c r="BU10" i="20"/>
  <c r="BU28" i="20"/>
  <c r="BU8" i="20"/>
  <c r="BU11" i="20"/>
  <c r="BU9" i="20"/>
  <c r="BU18" i="20"/>
  <c r="BU34" i="20"/>
  <c r="BU41" i="20"/>
  <c r="BU40" i="20"/>
  <c r="BU13" i="20"/>
  <c r="BU12" i="20"/>
  <c r="BU32" i="20"/>
  <c r="BU39" i="20"/>
  <c r="BU14" i="20"/>
  <c r="BU43" i="20"/>
  <c r="BU23" i="20"/>
  <c r="BU25" i="20"/>
  <c r="BU31" i="20"/>
  <c r="BU20" i="20"/>
  <c r="BU22" i="20"/>
  <c r="BU7" i="20"/>
  <c r="BU35" i="20"/>
  <c r="BU26" i="20"/>
  <c r="BU36" i="20"/>
  <c r="BU33" i="20"/>
  <c r="BU38" i="20"/>
  <c r="BU44" i="20"/>
  <c r="BU6" i="20"/>
  <c r="BU27" i="20"/>
  <c r="BU42" i="20"/>
  <c r="BU48" i="3"/>
  <c r="BU47" i="3"/>
  <c r="BP70" i="19"/>
  <c r="BR50" i="21"/>
  <c r="BO49" i="3"/>
  <c r="BN48" i="20"/>
  <c r="BQ47" i="20"/>
  <c r="BX52" i="21"/>
  <c r="BX5" i="21"/>
  <c r="BX46" i="21"/>
  <c r="BK46" i="20"/>
  <c r="BO5" i="21"/>
  <c r="BO52" i="21"/>
  <c r="BN70" i="3"/>
  <c r="BK46" i="19"/>
  <c r="BK52" i="19"/>
  <c r="BK5" i="19"/>
  <c r="BQ48" i="19"/>
  <c r="BR19" i="19"/>
  <c r="BR3" i="19"/>
  <c r="BR21" i="19"/>
  <c r="BR28" i="19"/>
  <c r="BR45" i="19"/>
  <c r="BR26" i="19"/>
  <c r="BR16" i="19"/>
  <c r="BR34" i="19"/>
  <c r="BR29" i="19"/>
  <c r="BR37" i="19"/>
  <c r="BR33" i="19"/>
  <c r="BR38" i="19"/>
  <c r="BR47" i="19" s="1"/>
  <c r="BR27" i="19"/>
  <c r="BR15" i="19"/>
  <c r="BR11" i="19"/>
  <c r="BR40" i="19"/>
  <c r="BR6" i="19"/>
  <c r="BR31" i="19"/>
  <c r="BR25" i="19"/>
  <c r="BR9" i="19"/>
  <c r="BR43" i="19"/>
  <c r="BR39" i="19"/>
  <c r="BR7" i="19"/>
  <c r="BR42" i="19"/>
  <c r="BR14" i="19"/>
  <c r="BR8" i="19"/>
  <c r="BR10" i="19"/>
  <c r="BR13" i="19"/>
  <c r="BR32" i="19"/>
  <c r="BR44" i="19"/>
  <c r="BR17" i="19"/>
  <c r="BR36" i="19"/>
  <c r="BR20" i="19"/>
  <c r="BR41" i="19"/>
  <c r="BR18" i="19"/>
  <c r="BR24" i="19"/>
  <c r="BR23" i="19"/>
  <c r="BR35" i="19"/>
  <c r="BR12" i="19"/>
  <c r="BR30" i="19"/>
  <c r="BR22" i="19"/>
  <c r="BT47" i="19"/>
  <c r="BU16" i="19"/>
  <c r="BU3" i="19"/>
  <c r="BU19" i="19"/>
  <c r="BU15" i="19"/>
  <c r="BU45" i="19"/>
  <c r="BU21" i="19"/>
  <c r="BU37" i="19"/>
  <c r="BU26" i="19"/>
  <c r="BU29" i="19"/>
  <c r="BU34" i="19"/>
  <c r="BU11" i="19"/>
  <c r="BU43" i="19"/>
  <c r="BU38" i="19"/>
  <c r="BU40" i="19"/>
  <c r="BU28" i="19"/>
  <c r="BU6" i="19"/>
  <c r="BU27" i="19"/>
  <c r="BU7" i="19"/>
  <c r="BU8" i="19"/>
  <c r="BU10" i="19"/>
  <c r="BU42" i="19"/>
  <c r="BU25" i="19"/>
  <c r="BU33" i="19"/>
  <c r="BU13" i="19"/>
  <c r="BU32" i="19"/>
  <c r="BU24" i="19"/>
  <c r="BU17" i="19"/>
  <c r="BU20" i="19"/>
  <c r="BU14" i="19"/>
  <c r="BU12" i="19"/>
  <c r="BU35" i="19"/>
  <c r="BU9" i="19"/>
  <c r="BU39" i="19"/>
  <c r="BU18" i="19"/>
  <c r="BU30" i="19"/>
  <c r="BU44" i="19"/>
  <c r="BU36" i="19"/>
  <c r="BU31" i="19"/>
  <c r="BU41" i="19"/>
  <c r="BU23" i="19"/>
  <c r="BU22" i="19"/>
  <c r="BO16" i="20"/>
  <c r="BO41" i="20"/>
  <c r="BO21" i="20"/>
  <c r="BO45" i="20"/>
  <c r="BO30" i="20"/>
  <c r="BO19" i="20"/>
  <c r="BO24" i="20"/>
  <c r="BO28" i="20"/>
  <c r="BO32" i="20"/>
  <c r="BO34" i="20"/>
  <c r="BO37" i="20"/>
  <c r="BO17" i="20"/>
  <c r="BO43" i="20"/>
  <c r="BO29" i="20"/>
  <c r="BO10" i="20"/>
  <c r="BO18" i="20"/>
  <c r="BO8" i="20"/>
  <c r="BO40" i="20"/>
  <c r="BO14" i="20"/>
  <c r="BO9" i="20"/>
  <c r="BO12" i="20"/>
  <c r="BO15" i="20"/>
  <c r="BO13" i="20"/>
  <c r="BO39" i="20"/>
  <c r="BO20" i="20"/>
  <c r="BO33" i="20"/>
  <c r="BO7" i="20"/>
  <c r="BO35" i="20"/>
  <c r="BO31" i="20"/>
  <c r="BO11" i="20"/>
  <c r="BO36" i="20"/>
  <c r="BO26" i="20"/>
  <c r="BO23" i="20"/>
  <c r="BO25" i="20"/>
  <c r="BO6" i="20"/>
  <c r="BO38" i="20"/>
  <c r="BO47" i="20" s="1"/>
  <c r="BO44" i="20"/>
  <c r="BO42" i="20"/>
  <c r="BO27" i="20"/>
  <c r="BO22" i="20"/>
  <c r="BT52" i="20"/>
  <c r="BT5" i="20"/>
  <c r="BV22" i="3"/>
  <c r="BV12" i="3"/>
  <c r="BV20" i="3"/>
  <c r="BV19" i="3"/>
  <c r="BV39" i="3"/>
  <c r="BV23" i="3"/>
  <c r="BV16" i="3"/>
  <c r="BV8" i="3"/>
  <c r="BV3" i="3"/>
  <c r="BV21" i="3"/>
  <c r="BV17" i="3"/>
  <c r="BV18" i="3"/>
  <c r="BV37" i="3"/>
  <c r="BV28" i="3"/>
  <c r="BV35" i="3"/>
  <c r="BV34" i="3"/>
  <c r="BV29" i="3"/>
  <c r="BV40" i="3"/>
  <c r="BV30" i="3"/>
  <c r="BV38" i="3"/>
  <c r="BV31" i="3"/>
  <c r="BV33" i="3"/>
  <c r="BV45" i="3"/>
  <c r="BV11" i="3"/>
  <c r="BV13" i="3"/>
  <c r="BV43" i="3"/>
  <c r="BV42" i="3"/>
  <c r="BV9" i="3"/>
  <c r="BV6" i="3"/>
  <c r="BV10" i="3"/>
  <c r="BV25" i="3"/>
  <c r="BV24" i="3"/>
  <c r="BV32" i="3"/>
  <c r="BV14" i="3"/>
  <c r="BV7" i="3"/>
  <c r="BV36" i="3"/>
  <c r="BV44" i="3"/>
  <c r="BV15" i="3"/>
  <c r="BV41" i="3"/>
  <c r="BV26" i="3"/>
  <c r="BV27" i="3"/>
  <c r="BR47" i="21"/>
  <c r="BO5" i="3"/>
  <c r="BO52" i="3"/>
  <c r="BN47" i="20"/>
  <c r="BQ49" i="20"/>
  <c r="BV41" i="21"/>
  <c r="BV3" i="21"/>
  <c r="BV21" i="21"/>
  <c r="BV19" i="21"/>
  <c r="BV16" i="21"/>
  <c r="BV37" i="21"/>
  <c r="BV18" i="21"/>
  <c r="BV45" i="21"/>
  <c r="BV30" i="21"/>
  <c r="BV17" i="21"/>
  <c r="BV33" i="21"/>
  <c r="BV20" i="21"/>
  <c r="BV26" i="21"/>
  <c r="BV34" i="21"/>
  <c r="BV7" i="21"/>
  <c r="BV38" i="21"/>
  <c r="BV11" i="21"/>
  <c r="BV9" i="21"/>
  <c r="BV42" i="21"/>
  <c r="BV8" i="21"/>
  <c r="BV28" i="21"/>
  <c r="BV32" i="21"/>
  <c r="BV39" i="21"/>
  <c r="BV24" i="21"/>
  <c r="BV6" i="21"/>
  <c r="BV12" i="21"/>
  <c r="BV44" i="21"/>
  <c r="BV40" i="21"/>
  <c r="BV31" i="21"/>
  <c r="BV15" i="21"/>
  <c r="BV13" i="21"/>
  <c r="BV22" i="21"/>
  <c r="BV10" i="21"/>
  <c r="BV27" i="21"/>
  <c r="BV36" i="21"/>
  <c r="BV25" i="21"/>
  <c r="BV43" i="21"/>
  <c r="BV35" i="21"/>
  <c r="BV29" i="21"/>
  <c r="BV14" i="21"/>
  <c r="BV23" i="21"/>
  <c r="BM70" i="19"/>
  <c r="BX37" i="19"/>
  <c r="CA3" i="19"/>
  <c r="BX3" i="19"/>
  <c r="BX16" i="19"/>
  <c r="BX45" i="19"/>
  <c r="BX29" i="19"/>
  <c r="BX21" i="19"/>
  <c r="BX17" i="19"/>
  <c r="BX33" i="19"/>
  <c r="BX25" i="19"/>
  <c r="BX34" i="19"/>
  <c r="BX28" i="19"/>
  <c r="BX15" i="19"/>
  <c r="BX11" i="19"/>
  <c r="BX40" i="19"/>
  <c r="BX38" i="19"/>
  <c r="BX6" i="19"/>
  <c r="BX43" i="19"/>
  <c r="BX27" i="19"/>
  <c r="BX7" i="19"/>
  <c r="BX19" i="19"/>
  <c r="BX18" i="19"/>
  <c r="BX8" i="19"/>
  <c r="BX13" i="19"/>
  <c r="BX42" i="19"/>
  <c r="BX10" i="19"/>
  <c r="BX32" i="19"/>
  <c r="BX26" i="19"/>
  <c r="BX24" i="19"/>
  <c r="BX14" i="19"/>
  <c r="BX20" i="19"/>
  <c r="BX9" i="19"/>
  <c r="BX12" i="19"/>
  <c r="BX39" i="19"/>
  <c r="BX30" i="19"/>
  <c r="BX44" i="19"/>
  <c r="BX41" i="19"/>
  <c r="BX36" i="19"/>
  <c r="BX35" i="19"/>
  <c r="BX23" i="19"/>
  <c r="BX31" i="19"/>
  <c r="BX22" i="19"/>
  <c r="BU52" i="21"/>
  <c r="BU5" i="21"/>
  <c r="BM70" i="20"/>
  <c r="BK70" i="3"/>
  <c r="BT48" i="20"/>
  <c r="BG70" i="20"/>
  <c r="BR52" i="21"/>
  <c r="BR5" i="21"/>
  <c r="BR49" i="21"/>
  <c r="BQ50" i="20"/>
  <c r="BX48" i="21"/>
  <c r="BT49" i="19"/>
  <c r="BU52" i="3"/>
  <c r="BU5" i="3"/>
  <c r="BX41" i="20"/>
  <c r="BX21" i="20"/>
  <c r="BX3" i="20"/>
  <c r="CA3" i="20"/>
  <c r="BX19" i="20"/>
  <c r="BX20" i="20"/>
  <c r="BX16" i="20"/>
  <c r="BX32" i="20"/>
  <c r="BX37" i="20"/>
  <c r="BX28" i="20"/>
  <c r="BX30" i="20"/>
  <c r="BX17" i="20"/>
  <c r="BX15" i="20"/>
  <c r="BX43" i="20"/>
  <c r="BX34" i="20"/>
  <c r="BX10" i="20"/>
  <c r="BX29" i="20"/>
  <c r="BX18" i="20"/>
  <c r="BX9" i="20"/>
  <c r="BX40" i="20"/>
  <c r="BX8" i="20"/>
  <c r="BX13" i="20"/>
  <c r="BX45" i="20"/>
  <c r="BX12" i="20"/>
  <c r="BX14" i="20"/>
  <c r="BX39" i="20"/>
  <c r="BX7" i="20"/>
  <c r="BX11" i="20"/>
  <c r="BX35" i="20"/>
  <c r="BX31" i="20"/>
  <c r="BX33" i="20"/>
  <c r="BX36" i="20"/>
  <c r="BX26" i="20"/>
  <c r="BX23" i="20"/>
  <c r="BX25" i="20"/>
  <c r="BX27" i="20"/>
  <c r="BX6" i="20"/>
  <c r="BX44" i="20"/>
  <c r="BX24" i="20"/>
  <c r="BX42" i="20"/>
  <c r="BX38" i="20"/>
  <c r="BX22" i="20"/>
  <c r="BR52" i="3"/>
  <c r="BR5" i="3"/>
  <c r="BS12" i="3"/>
  <c r="BS19" i="3"/>
  <c r="BS16" i="3"/>
  <c r="BS20" i="3"/>
  <c r="BS8" i="3"/>
  <c r="BS22" i="3"/>
  <c r="BS41" i="3"/>
  <c r="BS18" i="3"/>
  <c r="BS24" i="3"/>
  <c r="BS17" i="3"/>
  <c r="BS21" i="3"/>
  <c r="BS37" i="3"/>
  <c r="BS39" i="3"/>
  <c r="BS35" i="3"/>
  <c r="BS33" i="3"/>
  <c r="BS40" i="3"/>
  <c r="BS36" i="3"/>
  <c r="BS30" i="3"/>
  <c r="BS38" i="3"/>
  <c r="BS34" i="3"/>
  <c r="BS45" i="3"/>
  <c r="BS11" i="3"/>
  <c r="BS42" i="3"/>
  <c r="BS6" i="3"/>
  <c r="BS43" i="3"/>
  <c r="BS9" i="3"/>
  <c r="BS31" i="3"/>
  <c r="BS10" i="3"/>
  <c r="BS13" i="3"/>
  <c r="BS32" i="3"/>
  <c r="BS7" i="3"/>
  <c r="BS14" i="3"/>
  <c r="BS15" i="3"/>
  <c r="BS29" i="3"/>
  <c r="BS28" i="3"/>
  <c r="BS44" i="3"/>
  <c r="BS26" i="3"/>
  <c r="BS27" i="3"/>
  <c r="BS23" i="3"/>
  <c r="BS25" i="3"/>
  <c r="BO47" i="3"/>
  <c r="BN49" i="20"/>
  <c r="BJ70" i="19"/>
  <c r="BX49" i="21"/>
  <c r="BO49" i="21"/>
  <c r="BJ70" i="20"/>
  <c r="BY16" i="3"/>
  <c r="BY12" i="3"/>
  <c r="BY37" i="3"/>
  <c r="BY23" i="3"/>
  <c r="BY8" i="3"/>
  <c r="BY20" i="3"/>
  <c r="BY3" i="3"/>
  <c r="BY19" i="3"/>
  <c r="BY18" i="3"/>
  <c r="BY21" i="3"/>
  <c r="BY17" i="3"/>
  <c r="BY38" i="3"/>
  <c r="BY22" i="3"/>
  <c r="BY24" i="3"/>
  <c r="BY36" i="3"/>
  <c r="BY31" i="3"/>
  <c r="BY35" i="3"/>
  <c r="BY34" i="3"/>
  <c r="BY33" i="3"/>
  <c r="BY26" i="3"/>
  <c r="BY28" i="3"/>
  <c r="BY45" i="3"/>
  <c r="BY32" i="3"/>
  <c r="BY11" i="3"/>
  <c r="BY42" i="3"/>
  <c r="BY43" i="3"/>
  <c r="BY9" i="3"/>
  <c r="BY13" i="3"/>
  <c r="BY10" i="3"/>
  <c r="BY6" i="3"/>
  <c r="BY39" i="3"/>
  <c r="BY15" i="3"/>
  <c r="BY7" i="3"/>
  <c r="BY14" i="3"/>
  <c r="BY29" i="3"/>
  <c r="BY40" i="3"/>
  <c r="BY44" i="3"/>
  <c r="BY41" i="3"/>
  <c r="BY30" i="3"/>
  <c r="BY27" i="3"/>
  <c r="BY25" i="3"/>
  <c r="BR46" i="21"/>
  <c r="BN47" i="19"/>
  <c r="BO45" i="19"/>
  <c r="BO34" i="19"/>
  <c r="BO21" i="19"/>
  <c r="BO16" i="19"/>
  <c r="BO29" i="19"/>
  <c r="BO17" i="19"/>
  <c r="BO27" i="19"/>
  <c r="BO38" i="19"/>
  <c r="BO25" i="19"/>
  <c r="BO7" i="19"/>
  <c r="BO15" i="19"/>
  <c r="BO40" i="19"/>
  <c r="BO11" i="19"/>
  <c r="BO37" i="19"/>
  <c r="BO22" i="19"/>
  <c r="BO28" i="19"/>
  <c r="BO26" i="19"/>
  <c r="BO6" i="19"/>
  <c r="BO33" i="19"/>
  <c r="BO32" i="19"/>
  <c r="BO19" i="19"/>
  <c r="BO43" i="19"/>
  <c r="BO8" i="19"/>
  <c r="BO42" i="19"/>
  <c r="BO10" i="19"/>
  <c r="BO14" i="19"/>
  <c r="BO13" i="19"/>
  <c r="BO12" i="19"/>
  <c r="BO36" i="19"/>
  <c r="BO20" i="19"/>
  <c r="BO9" i="19"/>
  <c r="BO44" i="19"/>
  <c r="BO30" i="19"/>
  <c r="BO35" i="19"/>
  <c r="BO39" i="19"/>
  <c r="BO41" i="19"/>
  <c r="BO31" i="19"/>
  <c r="BO24" i="19"/>
  <c r="BO18" i="19"/>
  <c r="BO23" i="19"/>
  <c r="CB36" i="3"/>
  <c r="CB3" i="3"/>
  <c r="CB8" i="3"/>
  <c r="CB16" i="3"/>
  <c r="CB19" i="3"/>
  <c r="CB20" i="3"/>
  <c r="CB12" i="3"/>
  <c r="CE3" i="3"/>
  <c r="CB30" i="3"/>
  <c r="CB24" i="3"/>
  <c r="CB21" i="3"/>
  <c r="CB18" i="3"/>
  <c r="CB10" i="3"/>
  <c r="CB17" i="3"/>
  <c r="CB37" i="3"/>
  <c r="CB28" i="3"/>
  <c r="CB33" i="3"/>
  <c r="CB26" i="3"/>
  <c r="CB29" i="3"/>
  <c r="CB38" i="3"/>
  <c r="CB45" i="3"/>
  <c r="CB39" i="3"/>
  <c r="CB42" i="3"/>
  <c r="CB35" i="3"/>
  <c r="CB43" i="3"/>
  <c r="CB11" i="3"/>
  <c r="CB6" i="3"/>
  <c r="CB9" i="3"/>
  <c r="CB13" i="3"/>
  <c r="CB40" i="3"/>
  <c r="CB7" i="3"/>
  <c r="CB14" i="3"/>
  <c r="CB32" i="3"/>
  <c r="CB34" i="3"/>
  <c r="CB41" i="3"/>
  <c r="CB15" i="3"/>
  <c r="CB44" i="3"/>
  <c r="CB22" i="3"/>
  <c r="CB31" i="3"/>
  <c r="CB25" i="3"/>
  <c r="CB23" i="3"/>
  <c r="CB27" i="3"/>
  <c r="BT70" i="21"/>
  <c r="BT47" i="20"/>
  <c r="BN50" i="20"/>
  <c r="BR21" i="20"/>
  <c r="BR3" i="20"/>
  <c r="BR32" i="20"/>
  <c r="BR16" i="20"/>
  <c r="BR45" i="20"/>
  <c r="BR41" i="20"/>
  <c r="BR37" i="20"/>
  <c r="BR19" i="20"/>
  <c r="BR30" i="20"/>
  <c r="BR34" i="20"/>
  <c r="BR28" i="20"/>
  <c r="BR17" i="20"/>
  <c r="BR15" i="20"/>
  <c r="BR18" i="20"/>
  <c r="BR10" i="20"/>
  <c r="BR9" i="20"/>
  <c r="BR29" i="20"/>
  <c r="BR40" i="20"/>
  <c r="BR12" i="20"/>
  <c r="BR13" i="20"/>
  <c r="BR8" i="20"/>
  <c r="BR14" i="20"/>
  <c r="BR39" i="20"/>
  <c r="BR43" i="20"/>
  <c r="BR26" i="20"/>
  <c r="BR11" i="20"/>
  <c r="BR31" i="20"/>
  <c r="BR20" i="20"/>
  <c r="BR7" i="20"/>
  <c r="BR36" i="20"/>
  <c r="BR35" i="20"/>
  <c r="BR33" i="20"/>
  <c r="BR38" i="20"/>
  <c r="BR42" i="20"/>
  <c r="BR23" i="20"/>
  <c r="BR6" i="20"/>
  <c r="BR25" i="20"/>
  <c r="BR24" i="20"/>
  <c r="BR44" i="20"/>
  <c r="BR27" i="20"/>
  <c r="BR22" i="20"/>
  <c r="BU49" i="21"/>
  <c r="BO48" i="21"/>
  <c r="BU49" i="3"/>
  <c r="BN48" i="19"/>
  <c r="BN5" i="19"/>
  <c r="BN52" i="19"/>
  <c r="BK49" i="20"/>
  <c r="BK48" i="19"/>
  <c r="BX49" i="3"/>
  <c r="BQ46" i="19"/>
  <c r="BQ49" i="19"/>
  <c r="C92" i="2"/>
  <c r="D91" i="2"/>
  <c r="CB53" i="23" l="1"/>
  <c r="BU47" i="20"/>
  <c r="BG53" i="22"/>
  <c r="BV53" i="23"/>
  <c r="BP53" i="22"/>
  <c r="BN53" i="18"/>
  <c r="BK53" i="18"/>
  <c r="BT53" i="18"/>
  <c r="BQ53" i="18"/>
  <c r="BP46" i="22"/>
  <c r="BY51" i="3"/>
  <c r="BK50" i="18"/>
  <c r="BT48" i="18"/>
  <c r="BY46" i="3"/>
  <c r="BX51" i="19"/>
  <c r="BR51" i="20"/>
  <c r="CB51" i="3"/>
  <c r="BU51" i="20"/>
  <c r="BU51" i="19"/>
  <c r="BO51" i="20"/>
  <c r="BS50" i="23"/>
  <c r="CB50" i="23"/>
  <c r="BS46" i="23"/>
  <c r="BS53" i="23"/>
  <c r="BQ50" i="18"/>
  <c r="BN50" i="18"/>
  <c r="BY48" i="21"/>
  <c r="BY46" i="23"/>
  <c r="BY53" i="23"/>
  <c r="BV47" i="23"/>
  <c r="BP51" i="22"/>
  <c r="BJ50" i="22"/>
  <c r="BJ46" i="22"/>
  <c r="BY52" i="23"/>
  <c r="BY51" i="23"/>
  <c r="BY47" i="23"/>
  <c r="BJ51" i="22"/>
  <c r="BJ47" i="22"/>
  <c r="BS51" i="3"/>
  <c r="BV53" i="21"/>
  <c r="BV49" i="23"/>
  <c r="BV51" i="23"/>
  <c r="BV52" i="23"/>
  <c r="BS49" i="23"/>
  <c r="BG46" i="22"/>
  <c r="BG48" i="22"/>
  <c r="CB52" i="23"/>
  <c r="BY48" i="23"/>
  <c r="BJ52" i="22"/>
  <c r="BJ53" i="22"/>
  <c r="BM50" i="22"/>
  <c r="BM46" i="22"/>
  <c r="BM48" i="22"/>
  <c r="BM49" i="22"/>
  <c r="BV51" i="3"/>
  <c r="BY51" i="21"/>
  <c r="BS52" i="23"/>
  <c r="BG49" i="22"/>
  <c r="BP49" i="22"/>
  <c r="BJ49" i="22"/>
  <c r="BJ48" i="22"/>
  <c r="BG51" i="22"/>
  <c r="BG47" i="22"/>
  <c r="BR51" i="19"/>
  <c r="BV48" i="23"/>
  <c r="BS48" i="23"/>
  <c r="CB48" i="23"/>
  <c r="CB49" i="23"/>
  <c r="CB46" i="23"/>
  <c r="BP52" i="22"/>
  <c r="BP48" i="22"/>
  <c r="BT50" i="18"/>
  <c r="BY50" i="23"/>
  <c r="BM52" i="22"/>
  <c r="BN48" i="18"/>
  <c r="BS51" i="23"/>
  <c r="BS47" i="23"/>
  <c r="CB51" i="23"/>
  <c r="CB47" i="23"/>
  <c r="BM51" i="22"/>
  <c r="BM47" i="22"/>
  <c r="BO51" i="19"/>
  <c r="BX51" i="20"/>
  <c r="BV51" i="21"/>
  <c r="BS51" i="21"/>
  <c r="CB48" i="21"/>
  <c r="CB51" i="21"/>
  <c r="BV46" i="23"/>
  <c r="BV50" i="23"/>
  <c r="BG52" i="22"/>
  <c r="BG50" i="22"/>
  <c r="BP50" i="22"/>
  <c r="BP47" i="22"/>
  <c r="BK48" i="18"/>
  <c r="BY49" i="23"/>
  <c r="BM53" i="22"/>
  <c r="BQ48" i="18"/>
  <c r="BO53" i="19"/>
  <c r="BN49" i="18"/>
  <c r="BQ49" i="18"/>
  <c r="BT49" i="18"/>
  <c r="BK49" i="18"/>
  <c r="BK51" i="18"/>
  <c r="BK47" i="18"/>
  <c r="BT51" i="18"/>
  <c r="BT47" i="18"/>
  <c r="BN51" i="18"/>
  <c r="BN47" i="18"/>
  <c r="BQ51" i="18"/>
  <c r="BQ47" i="18"/>
  <c r="BQ46" i="18"/>
  <c r="BT46" i="18"/>
  <c r="BK46" i="18"/>
  <c r="BN46" i="18"/>
  <c r="BT52" i="18"/>
  <c r="BK52" i="18"/>
  <c r="BQ52" i="18"/>
  <c r="BN52" i="18"/>
  <c r="BK5" i="18"/>
  <c r="BK70" i="18" s="1"/>
  <c r="BM5" i="22"/>
  <c r="BM70" i="22" s="1"/>
  <c r="BQ28" i="22"/>
  <c r="BQ11" i="22"/>
  <c r="BQ8" i="22"/>
  <c r="BQ36" i="22"/>
  <c r="BQ32" i="22"/>
  <c r="BQ16" i="22"/>
  <c r="BQ20" i="22"/>
  <c r="BQ12" i="22"/>
  <c r="BQ22" i="22"/>
  <c r="BQ14" i="22"/>
  <c r="BQ18" i="22"/>
  <c r="BQ23" i="22"/>
  <c r="BQ35" i="22"/>
  <c r="BQ39" i="22"/>
  <c r="BQ30" i="22"/>
  <c r="BQ27" i="22"/>
  <c r="BQ21" i="22"/>
  <c r="BQ34" i="22"/>
  <c r="BQ40" i="22"/>
  <c r="BQ9" i="22"/>
  <c r="BQ44" i="22"/>
  <c r="BQ41" i="22"/>
  <c r="BQ25" i="22"/>
  <c r="BQ31" i="22"/>
  <c r="BQ26" i="22"/>
  <c r="BQ15" i="22"/>
  <c r="BQ3" i="22"/>
  <c r="BQ37" i="22"/>
  <c r="BQ43" i="22"/>
  <c r="BQ7" i="22"/>
  <c r="BQ24" i="22"/>
  <c r="BQ33" i="22"/>
  <c r="BQ45" i="22"/>
  <c r="BQ29" i="22"/>
  <c r="BQ38" i="22"/>
  <c r="BQ6" i="22"/>
  <c r="BQ19" i="22"/>
  <c r="BQ17" i="22"/>
  <c r="BQ42" i="22"/>
  <c r="BQ13" i="22"/>
  <c r="BQ10" i="22"/>
  <c r="BX18" i="18"/>
  <c r="BX28" i="18"/>
  <c r="BX8" i="18"/>
  <c r="BX26" i="18"/>
  <c r="BX38" i="18"/>
  <c r="BX34" i="18"/>
  <c r="BX13" i="18"/>
  <c r="BX11" i="18"/>
  <c r="BX29" i="18"/>
  <c r="BX32" i="18"/>
  <c r="BX3" i="18"/>
  <c r="BX30" i="18"/>
  <c r="BX37" i="18"/>
  <c r="BX43" i="18"/>
  <c r="BX24" i="18"/>
  <c r="BX39" i="18"/>
  <c r="BX16" i="18"/>
  <c r="BX17" i="18"/>
  <c r="BX33" i="18"/>
  <c r="BX10" i="18"/>
  <c r="BX9" i="18"/>
  <c r="BX25" i="18"/>
  <c r="BX41" i="18"/>
  <c r="BX15" i="18"/>
  <c r="BX22" i="18"/>
  <c r="BX23" i="18"/>
  <c r="BX27" i="18"/>
  <c r="CA3" i="18"/>
  <c r="BX20" i="18"/>
  <c r="BX12" i="18"/>
  <c r="BX21" i="18"/>
  <c r="BX31" i="18"/>
  <c r="BX45" i="18"/>
  <c r="BX14" i="18"/>
  <c r="BX40" i="18"/>
  <c r="BX6" i="18"/>
  <c r="BX36" i="18"/>
  <c r="BX19" i="18"/>
  <c r="BX7" i="18"/>
  <c r="BX35" i="18"/>
  <c r="BX44" i="18"/>
  <c r="BX42" i="18"/>
  <c r="BZ3" i="23"/>
  <c r="BZ26" i="23"/>
  <c r="BZ39" i="23"/>
  <c r="BZ18" i="23"/>
  <c r="BZ9" i="23"/>
  <c r="BZ44" i="23"/>
  <c r="BZ19" i="23"/>
  <c r="BZ28" i="23"/>
  <c r="BZ43" i="23"/>
  <c r="BZ35" i="23"/>
  <c r="BZ14" i="23"/>
  <c r="BZ41" i="23"/>
  <c r="BZ34" i="23"/>
  <c r="BZ6" i="23"/>
  <c r="BZ32" i="23"/>
  <c r="BZ40" i="23"/>
  <c r="BZ27" i="23"/>
  <c r="BZ16" i="23"/>
  <c r="BZ37" i="23"/>
  <c r="BZ8" i="23"/>
  <c r="BZ7" i="23"/>
  <c r="BZ17" i="23"/>
  <c r="BZ42" i="23"/>
  <c r="BZ25" i="23"/>
  <c r="BZ20" i="23"/>
  <c r="BZ29" i="23"/>
  <c r="BZ38" i="23"/>
  <c r="BZ12" i="23"/>
  <c r="BZ21" i="23"/>
  <c r="BZ36" i="23"/>
  <c r="BZ30" i="23"/>
  <c r="BZ10" i="23"/>
  <c r="BZ23" i="23"/>
  <c r="BZ13" i="23"/>
  <c r="BZ45" i="23"/>
  <c r="BZ15" i="23"/>
  <c r="BZ11" i="23"/>
  <c r="BZ24" i="23"/>
  <c r="BZ33" i="23"/>
  <c r="BZ22" i="23"/>
  <c r="BZ31" i="23"/>
  <c r="BJ5" i="22"/>
  <c r="BJ70" i="22" s="1"/>
  <c r="BR41" i="18"/>
  <c r="BR13" i="18"/>
  <c r="BR33" i="18"/>
  <c r="BR10" i="18"/>
  <c r="BR31" i="18"/>
  <c r="BR45" i="18"/>
  <c r="BR17" i="18"/>
  <c r="BR36" i="18"/>
  <c r="BR6" i="18"/>
  <c r="BR22" i="18"/>
  <c r="BR20" i="18"/>
  <c r="BR11" i="18"/>
  <c r="BR27" i="18"/>
  <c r="BR8" i="18"/>
  <c r="BR25" i="18"/>
  <c r="BR18" i="18"/>
  <c r="BR15" i="18"/>
  <c r="BR43" i="18"/>
  <c r="BR38" i="18"/>
  <c r="BR24" i="18"/>
  <c r="BR19" i="18"/>
  <c r="BR28" i="18"/>
  <c r="BR12" i="18"/>
  <c r="BR9" i="18"/>
  <c r="BR32" i="18"/>
  <c r="BR26" i="18"/>
  <c r="BR7" i="18"/>
  <c r="BR35" i="18"/>
  <c r="BR44" i="18"/>
  <c r="BR42" i="18"/>
  <c r="BR3" i="18"/>
  <c r="BR37" i="18"/>
  <c r="BR34" i="18"/>
  <c r="BR23" i="18"/>
  <c r="BR14" i="18"/>
  <c r="BR39" i="18"/>
  <c r="BR16" i="18"/>
  <c r="BR29" i="18"/>
  <c r="BR40" i="18"/>
  <c r="BR21" i="18"/>
  <c r="BR30" i="18"/>
  <c r="BR50" i="18" s="1"/>
  <c r="BV5" i="23"/>
  <c r="BG5" i="22"/>
  <c r="BG70" i="22" s="1"/>
  <c r="BO70" i="23"/>
  <c r="BS5" i="23"/>
  <c r="BP5" i="22"/>
  <c r="BP70" i="22" s="1"/>
  <c r="BU41" i="18"/>
  <c r="BU15" i="18"/>
  <c r="BU33" i="18"/>
  <c r="BU6" i="18"/>
  <c r="BU35" i="18"/>
  <c r="BU39" i="18"/>
  <c r="BU45" i="18"/>
  <c r="BU20" i="18"/>
  <c r="BU40" i="18"/>
  <c r="BU21" i="18"/>
  <c r="BU31" i="18"/>
  <c r="BU16" i="18"/>
  <c r="BU8" i="18"/>
  <c r="BU22" i="18"/>
  <c r="BU23" i="18"/>
  <c r="BU36" i="18"/>
  <c r="BU3" i="18"/>
  <c r="BU37" i="18"/>
  <c r="BU29" i="18"/>
  <c r="BU10" i="18"/>
  <c r="BU42" i="18"/>
  <c r="BU19" i="18"/>
  <c r="BU12" i="18"/>
  <c r="BU11" i="18"/>
  <c r="BU26" i="18"/>
  <c r="BU30" i="18"/>
  <c r="BU18" i="18"/>
  <c r="BU9" i="18"/>
  <c r="BU44" i="18"/>
  <c r="BU14" i="18"/>
  <c r="BU38" i="18"/>
  <c r="BU34" i="18"/>
  <c r="BU28" i="18"/>
  <c r="BU7" i="18"/>
  <c r="BU25" i="18"/>
  <c r="BU24" i="18"/>
  <c r="BU17" i="18"/>
  <c r="BU13" i="18"/>
  <c r="BU43" i="18"/>
  <c r="BU27" i="18"/>
  <c r="BU32" i="18"/>
  <c r="BY5" i="23"/>
  <c r="BN5" i="18"/>
  <c r="BN70" i="18" s="1"/>
  <c r="BW28" i="23"/>
  <c r="BW43" i="23"/>
  <c r="BW35" i="23"/>
  <c r="BW40" i="23"/>
  <c r="BW12" i="23"/>
  <c r="BW41" i="23"/>
  <c r="BW23" i="23"/>
  <c r="BW19" i="23"/>
  <c r="BW37" i="23"/>
  <c r="BW6" i="23"/>
  <c r="BW29" i="23"/>
  <c r="BW39" i="23"/>
  <c r="BW30" i="23"/>
  <c r="BW34" i="23"/>
  <c r="BW36" i="23"/>
  <c r="BW33" i="23"/>
  <c r="BW14" i="23"/>
  <c r="BW42" i="23"/>
  <c r="BW16" i="23"/>
  <c r="BW26" i="23"/>
  <c r="BW8" i="23"/>
  <c r="BW7" i="23"/>
  <c r="BW27" i="23"/>
  <c r="BW21" i="23"/>
  <c r="BW11" i="23"/>
  <c r="BW32" i="23"/>
  <c r="BW10" i="23"/>
  <c r="BW17" i="23"/>
  <c r="BW45" i="23"/>
  <c r="BW20" i="23"/>
  <c r="BW18" i="23"/>
  <c r="BW38" i="23"/>
  <c r="BW22" i="23"/>
  <c r="BW9" i="23"/>
  <c r="BW31" i="23"/>
  <c r="BW15" i="23"/>
  <c r="BW13" i="23"/>
  <c r="BW24" i="23"/>
  <c r="BW44" i="23"/>
  <c r="BW25" i="23"/>
  <c r="CC34" i="23"/>
  <c r="CC37" i="23"/>
  <c r="CC42" i="23"/>
  <c r="CC10" i="23"/>
  <c r="CC27" i="23"/>
  <c r="CC19" i="23"/>
  <c r="CC28" i="23"/>
  <c r="CC40" i="23"/>
  <c r="CC33" i="23"/>
  <c r="CC17" i="23"/>
  <c r="CC45" i="23"/>
  <c r="CC26" i="23"/>
  <c r="CC43" i="23"/>
  <c r="CC36" i="23"/>
  <c r="CC39" i="23"/>
  <c r="CC29" i="23"/>
  <c r="CC30" i="23"/>
  <c r="CC6" i="23"/>
  <c r="CC38" i="23"/>
  <c r="CC14" i="23"/>
  <c r="CC16" i="23"/>
  <c r="CC11" i="23"/>
  <c r="CC8" i="23"/>
  <c r="CC35" i="23"/>
  <c r="CC23" i="23"/>
  <c r="CC21" i="23"/>
  <c r="CC18" i="23"/>
  <c r="CC32" i="23"/>
  <c r="CC7" i="23"/>
  <c r="CC12" i="23"/>
  <c r="CC41" i="23"/>
  <c r="CC15" i="23"/>
  <c r="CC9" i="23"/>
  <c r="CC24" i="23"/>
  <c r="CC44" i="23"/>
  <c r="CC3" i="23"/>
  <c r="CC25" i="23"/>
  <c r="CC20" i="23"/>
  <c r="CC13" i="23"/>
  <c r="CC31" i="23"/>
  <c r="CC22" i="23"/>
  <c r="BK19" i="22"/>
  <c r="BK17" i="22"/>
  <c r="BK42" i="22"/>
  <c r="BK13" i="22"/>
  <c r="BK27" i="22"/>
  <c r="BK29" i="22"/>
  <c r="BK15" i="22"/>
  <c r="BK43" i="22"/>
  <c r="BK35" i="22"/>
  <c r="BK14" i="22"/>
  <c r="BK18" i="22"/>
  <c r="BK37" i="22"/>
  <c r="BK22" i="22"/>
  <c r="BK32" i="22"/>
  <c r="BK44" i="22"/>
  <c r="BK33" i="22"/>
  <c r="BK41" i="22"/>
  <c r="BK11" i="22"/>
  <c r="BK31" i="22"/>
  <c r="BK26" i="22"/>
  <c r="BK45" i="22"/>
  <c r="BK34" i="22"/>
  <c r="BK9" i="22"/>
  <c r="BK39" i="22"/>
  <c r="BK24" i="22"/>
  <c r="BK21" i="22"/>
  <c r="BK25" i="22"/>
  <c r="BK36" i="22"/>
  <c r="BK8" i="22"/>
  <c r="BK6" i="22"/>
  <c r="BK16" i="22"/>
  <c r="BK28" i="22"/>
  <c r="BK40" i="22"/>
  <c r="BK7" i="22"/>
  <c r="BK30" i="22"/>
  <c r="BK23" i="22"/>
  <c r="BK20" i="22"/>
  <c r="BK12" i="22"/>
  <c r="BK38" i="22"/>
  <c r="BK10" i="22"/>
  <c r="BQ5" i="18"/>
  <c r="BQ70" i="18" s="1"/>
  <c r="CB5" i="23"/>
  <c r="BT41" i="22"/>
  <c r="BT25" i="22"/>
  <c r="BT42" i="22"/>
  <c r="BT38" i="22"/>
  <c r="BT35" i="22"/>
  <c r="BT31" i="22"/>
  <c r="BT45" i="22"/>
  <c r="BT20" i="22"/>
  <c r="BT24" i="22"/>
  <c r="BT6" i="22"/>
  <c r="BT3" i="22"/>
  <c r="BT11" i="22"/>
  <c r="BT33" i="22"/>
  <c r="BT26" i="22"/>
  <c r="BT30" i="22"/>
  <c r="BT16" i="22"/>
  <c r="BT28" i="22"/>
  <c r="BT9" i="22"/>
  <c r="BT13" i="22"/>
  <c r="BT32" i="22"/>
  <c r="BT21" i="22"/>
  <c r="BT17" i="22"/>
  <c r="BT14" i="22"/>
  <c r="BT12" i="22"/>
  <c r="BT36" i="22"/>
  <c r="BT27" i="22"/>
  <c r="BT34" i="22"/>
  <c r="BT19" i="22"/>
  <c r="BT40" i="22"/>
  <c r="BT8" i="22"/>
  <c r="BT22" i="22"/>
  <c r="BT10" i="22"/>
  <c r="BW3" i="22"/>
  <c r="BT37" i="22"/>
  <c r="BT43" i="22"/>
  <c r="BT29" i="22"/>
  <c r="BT15" i="22"/>
  <c r="BT18" i="22"/>
  <c r="BT23" i="22"/>
  <c r="BT39" i="22"/>
  <c r="BT7" i="22"/>
  <c r="BT44" i="22"/>
  <c r="BT5" i="18"/>
  <c r="BT70" i="18" s="1"/>
  <c r="BN18" i="22"/>
  <c r="BN23" i="22"/>
  <c r="BN11" i="22"/>
  <c r="BN12" i="22"/>
  <c r="BN15" i="22"/>
  <c r="BN27" i="22"/>
  <c r="BN3" i="22"/>
  <c r="BN33" i="22"/>
  <c r="BN35" i="22"/>
  <c r="BN39" i="22"/>
  <c r="BN24" i="22"/>
  <c r="BN45" i="22"/>
  <c r="BN29" i="22"/>
  <c r="BN31" i="22"/>
  <c r="BN9" i="22"/>
  <c r="BN44" i="22"/>
  <c r="BN21" i="22"/>
  <c r="BN37" i="22"/>
  <c r="BN34" i="22"/>
  <c r="BN7" i="22"/>
  <c r="BN36" i="22"/>
  <c r="BN19" i="22"/>
  <c r="BN25" i="22"/>
  <c r="BN43" i="22"/>
  <c r="BN10" i="22"/>
  <c r="BN14" i="22"/>
  <c r="BN41" i="22"/>
  <c r="BN28" i="22"/>
  <c r="BN42" i="22"/>
  <c r="BN38" i="22"/>
  <c r="BN30" i="22"/>
  <c r="BN17" i="22"/>
  <c r="BN26" i="22"/>
  <c r="BN8" i="22"/>
  <c r="BN13" i="22"/>
  <c r="BN6" i="22"/>
  <c r="BN16" i="22"/>
  <c r="BN20" i="22"/>
  <c r="BN40" i="22"/>
  <c r="BN22" i="22"/>
  <c r="BN32" i="22"/>
  <c r="BO34" i="18"/>
  <c r="BO13" i="18"/>
  <c r="BO10" i="18"/>
  <c r="BO44" i="18"/>
  <c r="BO39" i="18"/>
  <c r="BO15" i="18"/>
  <c r="BO40" i="18"/>
  <c r="BO21" i="18"/>
  <c r="BO35" i="18"/>
  <c r="BO22" i="18"/>
  <c r="BO41" i="18"/>
  <c r="BO17" i="18"/>
  <c r="BO37" i="18"/>
  <c r="BO23" i="18"/>
  <c r="BO14" i="18"/>
  <c r="BO45" i="18"/>
  <c r="BO32" i="18"/>
  <c r="BO36" i="18"/>
  <c r="BO26" i="18"/>
  <c r="BO9" i="18"/>
  <c r="BO16" i="18"/>
  <c r="BO20" i="18"/>
  <c r="BO33" i="18"/>
  <c r="BO29" i="18"/>
  <c r="BO42" i="18"/>
  <c r="BO18" i="18"/>
  <c r="BO8" i="18"/>
  <c r="BO43" i="18"/>
  <c r="BO6" i="18"/>
  <c r="BO30" i="18"/>
  <c r="BO19" i="18"/>
  <c r="BO7" i="18"/>
  <c r="BO11" i="18"/>
  <c r="BO25" i="18"/>
  <c r="BO38" i="18"/>
  <c r="BO27" i="18"/>
  <c r="BO28" i="18"/>
  <c r="BO12" i="18"/>
  <c r="BO24" i="18"/>
  <c r="BO31" i="18"/>
  <c r="BV47" i="21"/>
  <c r="BR47" i="20"/>
  <c r="BX50" i="19"/>
  <c r="BY48" i="3"/>
  <c r="BV47" i="3"/>
  <c r="BU53" i="20"/>
  <c r="CB53" i="3"/>
  <c r="BX46" i="20"/>
  <c r="BX53" i="19"/>
  <c r="BR49" i="19"/>
  <c r="BO53" i="20"/>
  <c r="CB50" i="21"/>
  <c r="BO48" i="19"/>
  <c r="BR53" i="20"/>
  <c r="BX48" i="20"/>
  <c r="BU53" i="19"/>
  <c r="BS47" i="21"/>
  <c r="CB53" i="21"/>
  <c r="BU50" i="20"/>
  <c r="BY53" i="21"/>
  <c r="BO50" i="19"/>
  <c r="BV53" i="3"/>
  <c r="BY53" i="3"/>
  <c r="BS53" i="3"/>
  <c r="BX47" i="20"/>
  <c r="BX50" i="20"/>
  <c r="BV50" i="3"/>
  <c r="BU48" i="20"/>
  <c r="BS53" i="21"/>
  <c r="BR48" i="20"/>
  <c r="BS49" i="3"/>
  <c r="BR50" i="19"/>
  <c r="BR53" i="19"/>
  <c r="BU46" i="20"/>
  <c r="BS50" i="21"/>
  <c r="BS48" i="21"/>
  <c r="CB46" i="21"/>
  <c r="BX53" i="20"/>
  <c r="BY50" i="21"/>
  <c r="BR48" i="19"/>
  <c r="CB46" i="3"/>
  <c r="BO46" i="20"/>
  <c r="BS46" i="3"/>
  <c r="BV46" i="3"/>
  <c r="BU46" i="19"/>
  <c r="CB5" i="21"/>
  <c r="CB52" i="21"/>
  <c r="BS47" i="3"/>
  <c r="BY41" i="20"/>
  <c r="BY37" i="20"/>
  <c r="BY16" i="20"/>
  <c r="BY45" i="20"/>
  <c r="BY3" i="20"/>
  <c r="BY21" i="20"/>
  <c r="BY19" i="20"/>
  <c r="BY32" i="20"/>
  <c r="BY30" i="20"/>
  <c r="BY29" i="20"/>
  <c r="BY34" i="20"/>
  <c r="BY24" i="20"/>
  <c r="BY10" i="20"/>
  <c r="BY17" i="20"/>
  <c r="BY8" i="20"/>
  <c r="BY40" i="20"/>
  <c r="BY43" i="20"/>
  <c r="BY28" i="20"/>
  <c r="BY18" i="20"/>
  <c r="BY13" i="20"/>
  <c r="BY14" i="20"/>
  <c r="BY9" i="20"/>
  <c r="BY12" i="20"/>
  <c r="BY26" i="20"/>
  <c r="BY15" i="20"/>
  <c r="BY39" i="20"/>
  <c r="BY35" i="20"/>
  <c r="BY20" i="20"/>
  <c r="BY11" i="20"/>
  <c r="BY31" i="20"/>
  <c r="BY7" i="20"/>
  <c r="BY36" i="20"/>
  <c r="BY38" i="20"/>
  <c r="BY27" i="20"/>
  <c r="BY6" i="20"/>
  <c r="BY25" i="20"/>
  <c r="BY44" i="20"/>
  <c r="BY23" i="20"/>
  <c r="BY33" i="20"/>
  <c r="BY42" i="20"/>
  <c r="BY22" i="20"/>
  <c r="BU70" i="21"/>
  <c r="BX47" i="19"/>
  <c r="BX49" i="19"/>
  <c r="BV5" i="3"/>
  <c r="BV52" i="3"/>
  <c r="BO52" i="20"/>
  <c r="BO5" i="20"/>
  <c r="BU5" i="19"/>
  <c r="BU52" i="19"/>
  <c r="BO70" i="21"/>
  <c r="CB49" i="21"/>
  <c r="CB29" i="20"/>
  <c r="CB16" i="20"/>
  <c r="CB21" i="20"/>
  <c r="CB3" i="20"/>
  <c r="CB41" i="20"/>
  <c r="CE3" i="20"/>
  <c r="CB45" i="20"/>
  <c r="CB19" i="20"/>
  <c r="CB34" i="20"/>
  <c r="CB28" i="20"/>
  <c r="CB32" i="20"/>
  <c r="CB37" i="20"/>
  <c r="CB30" i="20"/>
  <c r="CB17" i="20"/>
  <c r="CB9" i="20"/>
  <c r="CB18" i="20"/>
  <c r="CB40" i="20"/>
  <c r="CB10" i="20"/>
  <c r="CB14" i="20"/>
  <c r="CB12" i="20"/>
  <c r="CB39" i="20"/>
  <c r="CB43" i="20"/>
  <c r="CB8" i="20"/>
  <c r="CB15" i="20"/>
  <c r="CB13" i="20"/>
  <c r="CB25" i="20"/>
  <c r="CB7" i="20"/>
  <c r="CB11" i="20"/>
  <c r="CB35" i="20"/>
  <c r="CB26" i="20"/>
  <c r="CB31" i="20"/>
  <c r="CB36" i="20"/>
  <c r="CB6" i="20"/>
  <c r="CB20" i="20"/>
  <c r="CB27" i="20"/>
  <c r="CB44" i="20"/>
  <c r="CB33" i="20"/>
  <c r="CB24" i="20"/>
  <c r="CB23" i="20"/>
  <c r="CB42" i="20"/>
  <c r="CB38" i="20"/>
  <c r="CB22" i="20"/>
  <c r="BR49" i="20"/>
  <c r="BS21" i="20"/>
  <c r="BS32" i="20"/>
  <c r="BS41" i="20"/>
  <c r="BS45" i="20"/>
  <c r="BS28" i="20"/>
  <c r="BS16" i="20"/>
  <c r="BS19" i="20"/>
  <c r="BS18" i="20"/>
  <c r="BS34" i="20"/>
  <c r="BS29" i="20"/>
  <c r="BS30" i="20"/>
  <c r="BS37" i="20"/>
  <c r="BS17" i="20"/>
  <c r="BS15" i="20"/>
  <c r="BS10" i="20"/>
  <c r="BS9" i="20"/>
  <c r="BS36" i="20"/>
  <c r="BS40" i="20"/>
  <c r="BS13" i="20"/>
  <c r="BS12" i="20"/>
  <c r="BS14" i="20"/>
  <c r="BS43" i="20"/>
  <c r="BS39" i="20"/>
  <c r="BS8" i="20"/>
  <c r="BS11" i="20"/>
  <c r="BS20" i="20"/>
  <c r="BS26" i="20"/>
  <c r="BS35" i="20"/>
  <c r="BS7" i="20"/>
  <c r="BS31" i="20"/>
  <c r="BS33" i="20"/>
  <c r="BS6" i="20"/>
  <c r="BS25" i="20"/>
  <c r="BS42" i="20"/>
  <c r="BS44" i="20"/>
  <c r="BS27" i="20"/>
  <c r="BS24" i="20"/>
  <c r="BS23" i="20"/>
  <c r="BS22" i="20"/>
  <c r="BS38" i="20"/>
  <c r="CB47" i="3"/>
  <c r="BV46" i="21"/>
  <c r="BO47" i="19"/>
  <c r="BY47" i="3"/>
  <c r="BS50" i="3"/>
  <c r="BX52" i="20"/>
  <c r="BX5" i="20"/>
  <c r="BX46" i="19"/>
  <c r="BV50" i="21"/>
  <c r="BW21" i="21"/>
  <c r="BW16" i="21"/>
  <c r="BW37" i="21"/>
  <c r="BW19" i="21"/>
  <c r="BW18" i="21"/>
  <c r="BW45" i="21"/>
  <c r="BW20" i="21"/>
  <c r="BW17" i="21"/>
  <c r="BW30" i="21"/>
  <c r="BW41" i="21"/>
  <c r="BW34" i="21"/>
  <c r="BW27" i="21"/>
  <c r="BW11" i="21"/>
  <c r="BW26" i="21"/>
  <c r="BW38" i="21"/>
  <c r="BW40" i="21"/>
  <c r="BW24" i="21"/>
  <c r="BW9" i="21"/>
  <c r="BW42" i="21"/>
  <c r="BW6" i="21"/>
  <c r="BW22" i="21"/>
  <c r="BW33" i="21"/>
  <c r="BW39" i="21"/>
  <c r="BW28" i="21"/>
  <c r="BW7" i="21"/>
  <c r="BW8" i="21"/>
  <c r="BW12" i="21"/>
  <c r="BW32" i="21"/>
  <c r="BW15" i="21"/>
  <c r="BW13" i="21"/>
  <c r="BW44" i="21"/>
  <c r="BW31" i="21"/>
  <c r="BW25" i="21"/>
  <c r="BW43" i="21"/>
  <c r="BW23" i="21"/>
  <c r="BW14" i="21"/>
  <c r="BW29" i="21"/>
  <c r="BW36" i="21"/>
  <c r="BW35" i="21"/>
  <c r="BW10" i="21"/>
  <c r="BV48" i="3"/>
  <c r="BV3" i="19"/>
  <c r="BV34" i="19"/>
  <c r="BV16" i="19"/>
  <c r="BV41" i="19"/>
  <c r="BV45" i="19"/>
  <c r="BV21" i="19"/>
  <c r="BV28" i="19"/>
  <c r="BV17" i="19"/>
  <c r="BV29" i="19"/>
  <c r="BV27" i="19"/>
  <c r="BV25" i="19"/>
  <c r="BV37" i="19"/>
  <c r="BV15" i="19"/>
  <c r="BV7" i="19"/>
  <c r="BV38" i="19"/>
  <c r="BV40" i="19"/>
  <c r="BV6" i="19"/>
  <c r="BV11" i="19"/>
  <c r="BV43" i="19"/>
  <c r="BV33" i="19"/>
  <c r="BV8" i="19"/>
  <c r="BV19" i="19"/>
  <c r="BV42" i="19"/>
  <c r="BV26" i="19"/>
  <c r="BV10" i="19"/>
  <c r="BV32" i="19"/>
  <c r="BV14" i="19"/>
  <c r="BV13" i="19"/>
  <c r="BV12" i="19"/>
  <c r="BV44" i="19"/>
  <c r="BV20" i="19"/>
  <c r="BV9" i="19"/>
  <c r="BV39" i="19"/>
  <c r="BV18" i="19"/>
  <c r="BV30" i="19"/>
  <c r="BV36" i="19"/>
  <c r="BV35" i="19"/>
  <c r="BV23" i="19"/>
  <c r="BV24" i="19"/>
  <c r="BV22" i="19"/>
  <c r="BV31" i="19"/>
  <c r="BS46" i="21"/>
  <c r="BY47" i="21"/>
  <c r="BR52" i="20"/>
  <c r="BR5" i="20"/>
  <c r="BR46" i="20"/>
  <c r="BR70" i="21"/>
  <c r="BV52" i="21"/>
  <c r="BV5" i="21"/>
  <c r="BU47" i="19"/>
  <c r="BR46" i="19"/>
  <c r="CB52" i="3"/>
  <c r="CB5" i="3"/>
  <c r="BN70" i="20"/>
  <c r="BK70" i="19"/>
  <c r="CC3" i="3"/>
  <c r="CC8" i="3"/>
  <c r="CC19" i="3"/>
  <c r="CC22" i="3"/>
  <c r="CC20" i="3"/>
  <c r="CC16" i="3"/>
  <c r="CC12" i="3"/>
  <c r="CC21" i="3"/>
  <c r="CC13" i="3"/>
  <c r="CC37" i="3"/>
  <c r="CC6" i="3"/>
  <c r="CC18" i="3"/>
  <c r="CC45" i="3"/>
  <c r="CC10" i="3"/>
  <c r="CC38" i="3"/>
  <c r="CC17" i="3"/>
  <c r="CC33" i="3"/>
  <c r="CC30" i="3"/>
  <c r="CC40" i="3"/>
  <c r="CC29" i="3"/>
  <c r="CC28" i="3"/>
  <c r="CC34" i="3"/>
  <c r="CC35" i="3"/>
  <c r="CC39" i="3"/>
  <c r="CC26" i="3"/>
  <c r="CC42" i="3"/>
  <c r="CC41" i="3"/>
  <c r="CC11" i="3"/>
  <c r="CC43" i="3"/>
  <c r="CC9" i="3"/>
  <c r="CC25" i="3"/>
  <c r="CC32" i="3"/>
  <c r="CC14" i="3"/>
  <c r="CC15" i="3"/>
  <c r="CC31" i="3"/>
  <c r="CC7" i="3"/>
  <c r="CC24" i="3"/>
  <c r="CC36" i="3"/>
  <c r="CC44" i="3"/>
  <c r="CC23" i="3"/>
  <c r="CC27" i="3"/>
  <c r="BY49" i="3"/>
  <c r="BX5" i="19"/>
  <c r="BX52" i="19"/>
  <c r="BV49" i="3"/>
  <c r="BT70" i="20"/>
  <c r="BR5" i="19"/>
  <c r="BR52" i="19"/>
  <c r="CB47" i="21"/>
  <c r="CC3" i="21"/>
  <c r="CC21" i="21"/>
  <c r="CC19" i="21"/>
  <c r="CC16" i="21"/>
  <c r="CC37" i="21"/>
  <c r="CC41" i="21"/>
  <c r="CC32" i="21"/>
  <c r="CC27" i="21"/>
  <c r="CC18" i="21"/>
  <c r="CC17" i="21"/>
  <c r="CC45" i="21"/>
  <c r="CC20" i="21"/>
  <c r="CC11" i="21"/>
  <c r="CC26" i="21"/>
  <c r="CC38" i="21"/>
  <c r="CC34" i="21"/>
  <c r="CC28" i="21"/>
  <c r="CC40" i="21"/>
  <c r="CC42" i="21"/>
  <c r="CC6" i="21"/>
  <c r="CC9" i="21"/>
  <c r="CC33" i="21"/>
  <c r="CC24" i="21"/>
  <c r="CC8" i="21"/>
  <c r="CC12" i="21"/>
  <c r="CC39" i="21"/>
  <c r="CC7" i="21"/>
  <c r="CC25" i="21"/>
  <c r="CC44" i="21"/>
  <c r="CC30" i="21"/>
  <c r="CC15" i="21"/>
  <c r="CC13" i="21"/>
  <c r="CC22" i="21"/>
  <c r="CC31" i="21"/>
  <c r="CC10" i="21"/>
  <c r="CC43" i="21"/>
  <c r="CC29" i="21"/>
  <c r="CC14" i="21"/>
  <c r="CC36" i="21"/>
  <c r="CC23" i="21"/>
  <c r="CC35" i="21"/>
  <c r="BY46" i="21"/>
  <c r="BZ3" i="21"/>
  <c r="BZ21" i="21"/>
  <c r="BZ16" i="21"/>
  <c r="BZ19" i="21"/>
  <c r="BZ34" i="21"/>
  <c r="BZ27" i="21"/>
  <c r="BZ45" i="21"/>
  <c r="BZ17" i="21"/>
  <c r="BZ20" i="21"/>
  <c r="BZ41" i="21"/>
  <c r="BZ11" i="21"/>
  <c r="BZ32" i="21"/>
  <c r="BZ18" i="21"/>
  <c r="BZ42" i="21"/>
  <c r="BZ26" i="21"/>
  <c r="BZ38" i="21"/>
  <c r="BZ37" i="21"/>
  <c r="BZ40" i="21"/>
  <c r="BZ28" i="21"/>
  <c r="BZ6" i="21"/>
  <c r="BZ9" i="21"/>
  <c r="BZ24" i="21"/>
  <c r="BZ39" i="21"/>
  <c r="BZ33" i="21"/>
  <c r="BZ7" i="21"/>
  <c r="BZ12" i="21"/>
  <c r="BZ30" i="21"/>
  <c r="BZ8" i="21"/>
  <c r="BZ44" i="21"/>
  <c r="BZ22" i="21"/>
  <c r="BZ13" i="21"/>
  <c r="BZ14" i="21"/>
  <c r="BZ15" i="21"/>
  <c r="BZ25" i="21"/>
  <c r="BZ43" i="21"/>
  <c r="BZ35" i="21"/>
  <c r="BZ10" i="21"/>
  <c r="BZ36" i="21"/>
  <c r="BZ29" i="21"/>
  <c r="BZ23" i="21"/>
  <c r="BZ31" i="21"/>
  <c r="BU49" i="19"/>
  <c r="CB50" i="3"/>
  <c r="CB49" i="3"/>
  <c r="BO52" i="19"/>
  <c r="BO5" i="19"/>
  <c r="BO46" i="19"/>
  <c r="BZ20" i="3"/>
  <c r="BZ12" i="3"/>
  <c r="BZ39" i="3"/>
  <c r="BZ10" i="3"/>
  <c r="BZ8" i="3"/>
  <c r="BZ16" i="3"/>
  <c r="BZ19" i="3"/>
  <c r="BZ3" i="3"/>
  <c r="BZ9" i="3"/>
  <c r="BZ44" i="3"/>
  <c r="BZ37" i="3"/>
  <c r="BZ24" i="3"/>
  <c r="BZ18" i="3"/>
  <c r="BZ6" i="3"/>
  <c r="BZ21" i="3"/>
  <c r="BZ13" i="3"/>
  <c r="BZ28" i="3"/>
  <c r="BZ35" i="3"/>
  <c r="BZ30" i="3"/>
  <c r="BZ42" i="3"/>
  <c r="BZ33" i="3"/>
  <c r="BZ17" i="3"/>
  <c r="BZ40" i="3"/>
  <c r="BZ38" i="3"/>
  <c r="BZ26" i="3"/>
  <c r="BZ41" i="3"/>
  <c r="BZ45" i="3"/>
  <c r="BZ11" i="3"/>
  <c r="BZ43" i="3"/>
  <c r="BZ7" i="3"/>
  <c r="BZ14" i="3"/>
  <c r="BZ34" i="3"/>
  <c r="BZ36" i="3"/>
  <c r="BZ32" i="3"/>
  <c r="BZ29" i="3"/>
  <c r="BZ15" i="3"/>
  <c r="BZ31" i="3"/>
  <c r="BZ22" i="3"/>
  <c r="BZ25" i="3"/>
  <c r="BZ27" i="3"/>
  <c r="BZ23" i="3"/>
  <c r="BS52" i="3"/>
  <c r="BS5" i="3"/>
  <c r="BR70" i="3"/>
  <c r="BY3" i="19"/>
  <c r="BY16" i="19"/>
  <c r="BY29" i="19"/>
  <c r="BY45" i="19"/>
  <c r="BY21" i="19"/>
  <c r="BY37" i="19"/>
  <c r="BY34" i="19"/>
  <c r="BY28" i="19"/>
  <c r="BY27" i="19"/>
  <c r="BY15" i="19"/>
  <c r="BY6" i="19"/>
  <c r="BY44" i="19"/>
  <c r="BY40" i="19"/>
  <c r="BY38" i="19"/>
  <c r="BY43" i="19"/>
  <c r="BY25" i="19"/>
  <c r="BY11" i="19"/>
  <c r="BY7" i="19"/>
  <c r="BY18" i="19"/>
  <c r="BY42" i="19"/>
  <c r="BY19" i="19"/>
  <c r="BY26" i="19"/>
  <c r="BY8" i="19"/>
  <c r="BY33" i="19"/>
  <c r="BY32" i="19"/>
  <c r="BY10" i="19"/>
  <c r="BY13" i="19"/>
  <c r="BY14" i="19"/>
  <c r="BY9" i="19"/>
  <c r="BY20" i="19"/>
  <c r="BY17" i="19"/>
  <c r="BY23" i="19"/>
  <c r="BY41" i="19"/>
  <c r="BY36" i="19"/>
  <c r="BY35" i="19"/>
  <c r="BY30" i="19"/>
  <c r="BY12" i="19"/>
  <c r="BY39" i="19"/>
  <c r="BY24" i="19"/>
  <c r="BY31" i="19"/>
  <c r="BY22" i="19"/>
  <c r="BO50" i="20"/>
  <c r="BO49" i="20"/>
  <c r="BU48" i="19"/>
  <c r="BU49" i="20"/>
  <c r="BT70" i="19"/>
  <c r="BS49" i="21"/>
  <c r="BR50" i="20"/>
  <c r="CB48" i="3"/>
  <c r="BY52" i="3"/>
  <c r="BY5" i="3"/>
  <c r="BS48" i="3"/>
  <c r="CB3" i="19"/>
  <c r="CE3" i="19"/>
  <c r="CB16" i="19"/>
  <c r="CB21" i="19"/>
  <c r="CB45" i="19"/>
  <c r="CB25" i="19"/>
  <c r="CB29" i="19"/>
  <c r="CB28" i="19"/>
  <c r="CB27" i="19"/>
  <c r="CB37" i="19"/>
  <c r="CB34" i="19"/>
  <c r="CB11" i="19"/>
  <c r="CB43" i="19"/>
  <c r="CB15" i="19"/>
  <c r="CB26" i="19"/>
  <c r="CB38" i="19"/>
  <c r="CB6" i="19"/>
  <c r="CB40" i="19"/>
  <c r="CB7" i="19"/>
  <c r="CB33" i="19"/>
  <c r="CB19" i="19"/>
  <c r="CB8" i="19"/>
  <c r="CB42" i="19"/>
  <c r="CB22" i="19"/>
  <c r="CB10" i="19"/>
  <c r="CB32" i="19"/>
  <c r="CB13" i="19"/>
  <c r="CB14" i="19"/>
  <c r="CB20" i="19"/>
  <c r="CB36" i="19"/>
  <c r="CB17" i="19"/>
  <c r="CB9" i="19"/>
  <c r="CB35" i="19"/>
  <c r="CB44" i="19"/>
  <c r="CB18" i="19"/>
  <c r="CB12" i="19"/>
  <c r="CB39" i="19"/>
  <c r="CB41" i="19"/>
  <c r="CB31" i="19"/>
  <c r="CB23" i="19"/>
  <c r="CB30" i="19"/>
  <c r="CB24" i="19"/>
  <c r="BO70" i="3"/>
  <c r="BW12" i="3"/>
  <c r="BW16" i="3"/>
  <c r="BW19" i="3"/>
  <c r="BW8" i="3"/>
  <c r="BW20" i="3"/>
  <c r="BW17" i="3"/>
  <c r="BW44" i="3"/>
  <c r="BW10" i="3"/>
  <c r="BW13" i="3"/>
  <c r="BW21" i="3"/>
  <c r="BW24" i="3"/>
  <c r="BW6" i="3"/>
  <c r="BW38" i="3"/>
  <c r="BW9" i="3"/>
  <c r="BW18" i="3"/>
  <c r="BW36" i="3"/>
  <c r="BW45" i="3"/>
  <c r="BW37" i="3"/>
  <c r="BW34" i="3"/>
  <c r="BW41" i="3"/>
  <c r="BW39" i="3"/>
  <c r="BW40" i="3"/>
  <c r="BW35" i="3"/>
  <c r="BW28" i="3"/>
  <c r="BW33" i="3"/>
  <c r="BW11" i="3"/>
  <c r="BW43" i="3"/>
  <c r="BW42" i="3"/>
  <c r="BW31" i="3"/>
  <c r="BW26" i="3"/>
  <c r="BW14" i="3"/>
  <c r="BW7" i="3"/>
  <c r="BW22" i="3"/>
  <c r="BW29" i="3"/>
  <c r="BW15" i="3"/>
  <c r="BW30" i="3"/>
  <c r="BW32" i="3"/>
  <c r="BW25" i="3"/>
  <c r="BW23" i="3"/>
  <c r="BW27" i="3"/>
  <c r="BS19" i="19"/>
  <c r="BS21" i="19"/>
  <c r="BS37" i="19"/>
  <c r="BS41" i="19"/>
  <c r="BS16" i="19"/>
  <c r="BS28" i="19"/>
  <c r="BS27" i="19"/>
  <c r="BS34" i="19"/>
  <c r="BS29" i="19"/>
  <c r="BS25" i="19"/>
  <c r="BS45" i="19"/>
  <c r="BS6" i="19"/>
  <c r="BS44" i="19"/>
  <c r="BS43" i="19"/>
  <c r="BS15" i="19"/>
  <c r="BS11" i="19"/>
  <c r="BS38" i="19"/>
  <c r="BS40" i="19"/>
  <c r="BS7" i="19"/>
  <c r="BS33" i="19"/>
  <c r="BS26" i="19"/>
  <c r="BS8" i="19"/>
  <c r="BS42" i="19"/>
  <c r="BS10" i="19"/>
  <c r="BS35" i="19"/>
  <c r="BS13" i="19"/>
  <c r="BS14" i="19"/>
  <c r="BS32" i="19"/>
  <c r="BS12" i="19"/>
  <c r="BS20" i="19"/>
  <c r="BS17" i="19"/>
  <c r="BS9" i="19"/>
  <c r="BS39" i="19"/>
  <c r="BS18" i="19"/>
  <c r="BS36" i="19"/>
  <c r="BS30" i="19"/>
  <c r="BS31" i="19"/>
  <c r="BS24" i="19"/>
  <c r="BS23" i="19"/>
  <c r="BS22" i="19"/>
  <c r="BV41" i="20"/>
  <c r="BV3" i="20"/>
  <c r="BV21" i="20"/>
  <c r="BV45" i="20"/>
  <c r="BV16" i="20"/>
  <c r="BV34" i="20"/>
  <c r="BV19" i="20"/>
  <c r="BV37" i="20"/>
  <c r="BV30" i="20"/>
  <c r="BV28" i="20"/>
  <c r="BV29" i="20"/>
  <c r="BV32" i="20"/>
  <c r="BV17" i="20"/>
  <c r="BV10" i="20"/>
  <c r="BV12" i="20"/>
  <c r="BV9" i="20"/>
  <c r="BV31" i="20"/>
  <c r="BV18" i="20"/>
  <c r="BV40" i="20"/>
  <c r="BV14" i="20"/>
  <c r="BV13" i="20"/>
  <c r="BV43" i="20"/>
  <c r="BV15" i="20"/>
  <c r="BV39" i="20"/>
  <c r="BV8" i="20"/>
  <c r="BV11" i="20"/>
  <c r="BV20" i="20"/>
  <c r="BV36" i="20"/>
  <c r="BV33" i="20"/>
  <c r="BV25" i="20"/>
  <c r="BV38" i="20"/>
  <c r="BV44" i="20"/>
  <c r="BV7" i="20"/>
  <c r="BV35" i="20"/>
  <c r="BV24" i="20"/>
  <c r="BV27" i="20"/>
  <c r="BV42" i="20"/>
  <c r="BV23" i="20"/>
  <c r="BV26" i="20"/>
  <c r="BV6" i="20"/>
  <c r="BV22" i="20"/>
  <c r="BQ70" i="19"/>
  <c r="BQ70" i="20"/>
  <c r="BY52" i="21"/>
  <c r="BY5" i="21"/>
  <c r="BN70" i="19"/>
  <c r="BY50" i="3"/>
  <c r="BX49" i="20"/>
  <c r="BX48" i="19"/>
  <c r="BV48" i="21"/>
  <c r="BV49" i="21"/>
  <c r="BO48" i="20"/>
  <c r="BU50" i="19"/>
  <c r="BU52" i="20"/>
  <c r="BU5" i="20"/>
  <c r="BS5" i="21"/>
  <c r="BS52" i="21"/>
  <c r="BK70" i="20"/>
  <c r="BY49" i="21"/>
  <c r="BO49" i="19"/>
  <c r="C93" i="2"/>
  <c r="D92" i="2"/>
  <c r="BX50" i="18" l="1"/>
  <c r="CC47" i="23"/>
  <c r="BO53" i="18"/>
  <c r="BZ53" i="23"/>
  <c r="BX53" i="18"/>
  <c r="CC53" i="23"/>
  <c r="BW53" i="23"/>
  <c r="BR53" i="18"/>
  <c r="BU53" i="18"/>
  <c r="BV50" i="20"/>
  <c r="BT50" i="22"/>
  <c r="BW46" i="23"/>
  <c r="BU50" i="18"/>
  <c r="BZ48" i="23"/>
  <c r="CC46" i="23"/>
  <c r="BT48" i="22"/>
  <c r="BK49" i="22"/>
  <c r="CC48" i="23"/>
  <c r="BW48" i="23"/>
  <c r="CB47" i="20"/>
  <c r="BQ48" i="22"/>
  <c r="BV53" i="20"/>
  <c r="BK48" i="22"/>
  <c r="BT53" i="22"/>
  <c r="CC51" i="23"/>
  <c r="BN50" i="22"/>
  <c r="BK51" i="22"/>
  <c r="BK47" i="22"/>
  <c r="BW51" i="23"/>
  <c r="BW47" i="23"/>
  <c r="BZ51" i="23"/>
  <c r="BZ47" i="23"/>
  <c r="CB51" i="19"/>
  <c r="BY51" i="19"/>
  <c r="BZ51" i="21"/>
  <c r="CC51" i="21"/>
  <c r="BO50" i="18"/>
  <c r="BN49" i="22"/>
  <c r="BN48" i="22"/>
  <c r="BT52" i="22"/>
  <c r="BT46" i="22"/>
  <c r="CC49" i="23"/>
  <c r="BW52" i="23"/>
  <c r="BZ52" i="23"/>
  <c r="BZ46" i="23"/>
  <c r="BQ46" i="22"/>
  <c r="BQ52" i="22"/>
  <c r="BN51" i="22"/>
  <c r="BN47" i="22"/>
  <c r="BS51" i="19"/>
  <c r="BZ51" i="3"/>
  <c r="BS51" i="20"/>
  <c r="BT49" i="22"/>
  <c r="BK52" i="22"/>
  <c r="BK50" i="22"/>
  <c r="BW49" i="23"/>
  <c r="BZ49" i="23"/>
  <c r="BQ50" i="22"/>
  <c r="BQ51" i="22"/>
  <c r="BQ47" i="22"/>
  <c r="BV51" i="20"/>
  <c r="CC53" i="21"/>
  <c r="BW47" i="21"/>
  <c r="BN53" i="22"/>
  <c r="BN46" i="22"/>
  <c r="CC52" i="23"/>
  <c r="BW50" i="23"/>
  <c r="BT51" i="22"/>
  <c r="BT47" i="22"/>
  <c r="BW51" i="3"/>
  <c r="CC51" i="3"/>
  <c r="BV51" i="19"/>
  <c r="BW51" i="21"/>
  <c r="CB51" i="20"/>
  <c r="BY51" i="20"/>
  <c r="BN52" i="22"/>
  <c r="BK46" i="22"/>
  <c r="BK53" i="22"/>
  <c r="CC50" i="23"/>
  <c r="BZ50" i="23"/>
  <c r="BQ53" i="22"/>
  <c r="BQ49" i="22"/>
  <c r="BO49" i="18"/>
  <c r="BR49" i="18"/>
  <c r="BU49" i="18"/>
  <c r="BX49" i="18"/>
  <c r="CB50" i="19"/>
  <c r="BR51" i="18"/>
  <c r="BR47" i="18"/>
  <c r="BX51" i="18"/>
  <c r="BX47" i="18"/>
  <c r="BU51" i="18"/>
  <c r="BU47" i="18"/>
  <c r="BO51" i="18"/>
  <c r="BO47" i="18"/>
  <c r="BO48" i="18"/>
  <c r="BX48" i="18"/>
  <c r="BU48" i="18"/>
  <c r="BR48" i="18"/>
  <c r="BR46" i="18"/>
  <c r="BU46" i="18"/>
  <c r="BX46" i="18"/>
  <c r="BO46" i="18"/>
  <c r="BU52" i="18"/>
  <c r="BR52" i="18"/>
  <c r="BO52" i="18"/>
  <c r="BX52" i="18"/>
  <c r="BQ5" i="22"/>
  <c r="BQ70" i="22" s="1"/>
  <c r="BN5" i="22"/>
  <c r="BN70" i="22" s="1"/>
  <c r="BK5" i="22"/>
  <c r="BK70" i="22" s="1"/>
  <c r="BR5" i="18"/>
  <c r="BR70" i="18" s="1"/>
  <c r="BU21" i="22"/>
  <c r="BU29" i="22"/>
  <c r="BU26" i="22"/>
  <c r="BU39" i="22"/>
  <c r="BU30" i="22"/>
  <c r="BU27" i="22"/>
  <c r="BU45" i="22"/>
  <c r="BU37" i="22"/>
  <c r="BU31" i="22"/>
  <c r="BU8" i="22"/>
  <c r="BU24" i="22"/>
  <c r="BU41" i="22"/>
  <c r="BU23" i="22"/>
  <c r="BU43" i="22"/>
  <c r="BU25" i="22"/>
  <c r="BU44" i="22"/>
  <c r="BU3" i="22"/>
  <c r="BU17" i="22"/>
  <c r="BU12" i="22"/>
  <c r="BU7" i="22"/>
  <c r="BU36" i="22"/>
  <c r="BU16" i="22"/>
  <c r="BU40" i="22"/>
  <c r="BU42" i="22"/>
  <c r="BU13" i="22"/>
  <c r="BU35" i="22"/>
  <c r="BU19" i="22"/>
  <c r="BU18" i="22"/>
  <c r="BU28" i="22"/>
  <c r="BU6" i="22"/>
  <c r="BU14" i="22"/>
  <c r="BU20" i="22"/>
  <c r="BU11" i="22"/>
  <c r="BU33" i="22"/>
  <c r="BU22" i="22"/>
  <c r="BU38" i="22"/>
  <c r="BU34" i="22"/>
  <c r="BU32" i="22"/>
  <c r="BU9" i="22"/>
  <c r="BU15" i="22"/>
  <c r="BU10" i="22"/>
  <c r="BV20" i="18"/>
  <c r="BV7" i="18"/>
  <c r="BV43" i="18"/>
  <c r="BV27" i="18"/>
  <c r="BV38" i="18"/>
  <c r="BV45" i="18"/>
  <c r="BV34" i="18"/>
  <c r="BV13" i="18"/>
  <c r="BV28" i="18"/>
  <c r="BV25" i="18"/>
  <c r="BV22" i="18"/>
  <c r="BV41" i="18"/>
  <c r="BV37" i="18"/>
  <c r="BV33" i="18"/>
  <c r="BV29" i="18"/>
  <c r="BV35" i="18"/>
  <c r="BV16" i="18"/>
  <c r="BV17" i="18"/>
  <c r="BV9" i="18"/>
  <c r="BV23" i="18"/>
  <c r="BV24" i="18"/>
  <c r="BV3" i="18"/>
  <c r="BV32" i="18"/>
  <c r="BV40" i="18"/>
  <c r="BV6" i="18"/>
  <c r="BV14" i="18"/>
  <c r="BV31" i="18"/>
  <c r="BV15" i="18"/>
  <c r="BV39" i="18"/>
  <c r="BV10" i="18"/>
  <c r="BV36" i="18"/>
  <c r="BV18" i="18"/>
  <c r="BV8" i="18"/>
  <c r="BV12" i="18"/>
  <c r="BV21" i="18"/>
  <c r="BV30" i="18"/>
  <c r="BV19" i="18"/>
  <c r="BV11" i="18"/>
  <c r="BV44" i="18"/>
  <c r="BV26" i="18"/>
  <c r="BV42" i="18"/>
  <c r="BX5" i="18"/>
  <c r="CB18" i="18"/>
  <c r="CB28" i="18"/>
  <c r="CB12" i="18"/>
  <c r="CB9" i="18"/>
  <c r="CB22" i="18"/>
  <c r="CB16" i="18"/>
  <c r="CB26" i="18"/>
  <c r="CB33" i="18"/>
  <c r="CB7" i="18"/>
  <c r="CB44" i="18"/>
  <c r="CB25" i="18"/>
  <c r="CE3" i="18"/>
  <c r="CB37" i="18"/>
  <c r="CB6" i="18"/>
  <c r="CB43" i="18"/>
  <c r="CB36" i="18"/>
  <c r="CB30" i="18"/>
  <c r="CB41" i="18"/>
  <c r="CB15" i="18"/>
  <c r="CB10" i="18"/>
  <c r="CB29" i="18"/>
  <c r="CB35" i="18"/>
  <c r="CB45" i="18"/>
  <c r="CB17" i="18"/>
  <c r="CB14" i="18"/>
  <c r="CB8" i="18"/>
  <c r="CB31" i="18"/>
  <c r="CB3" i="18"/>
  <c r="CB11" i="18"/>
  <c r="CB40" i="18"/>
  <c r="CB21" i="18"/>
  <c r="CB42" i="18"/>
  <c r="CB19" i="18"/>
  <c r="CB20" i="18"/>
  <c r="CB39" i="18"/>
  <c r="CB23" i="18"/>
  <c r="CB24" i="18"/>
  <c r="CB34" i="18"/>
  <c r="CB13" i="18"/>
  <c r="CB32" i="18"/>
  <c r="CB27" i="18"/>
  <c r="CB38" i="18"/>
  <c r="BO45" i="22"/>
  <c r="BO32" i="22"/>
  <c r="BO9" i="22"/>
  <c r="BO24" i="22"/>
  <c r="BO30" i="22"/>
  <c r="BO18" i="22"/>
  <c r="BO20" i="22"/>
  <c r="BO31" i="22"/>
  <c r="BO26" i="22"/>
  <c r="BO10" i="22"/>
  <c r="BO16" i="22"/>
  <c r="BO11" i="22"/>
  <c r="BO14" i="22"/>
  <c r="BO38" i="22"/>
  <c r="BO6" i="22"/>
  <c r="BO34" i="22"/>
  <c r="BO19" i="22"/>
  <c r="BO29" i="22"/>
  <c r="BO39" i="22"/>
  <c r="BO22" i="22"/>
  <c r="BO21" i="22"/>
  <c r="BO23" i="22"/>
  <c r="BO35" i="22"/>
  <c r="BO8" i="22"/>
  <c r="BO15" i="22"/>
  <c r="BO37" i="22"/>
  <c r="BO17" i="22"/>
  <c r="BO40" i="22"/>
  <c r="BO13" i="22"/>
  <c r="BO36" i="22"/>
  <c r="BO41" i="22"/>
  <c r="BO25" i="22"/>
  <c r="BO42" i="22"/>
  <c r="BO12" i="22"/>
  <c r="BO27" i="22"/>
  <c r="BO33" i="22"/>
  <c r="BO28" i="22"/>
  <c r="BO43" i="22"/>
  <c r="BO7" i="22"/>
  <c r="BO44" i="22"/>
  <c r="BT5" i="22"/>
  <c r="BT70" i="22" s="1"/>
  <c r="BS16" i="18"/>
  <c r="BS37" i="18"/>
  <c r="BS22" i="18"/>
  <c r="BS21" i="18"/>
  <c r="BS36" i="18"/>
  <c r="BS45" i="18"/>
  <c r="BS15" i="18"/>
  <c r="BS28" i="18"/>
  <c r="BS29" i="18"/>
  <c r="BS38" i="18"/>
  <c r="BS41" i="18"/>
  <c r="BS17" i="18"/>
  <c r="BS13" i="18"/>
  <c r="BS23" i="18"/>
  <c r="BS25" i="18"/>
  <c r="BS19" i="18"/>
  <c r="BS20" i="18"/>
  <c r="BS40" i="18"/>
  <c r="BS6" i="18"/>
  <c r="BS31" i="18"/>
  <c r="BS32" i="18"/>
  <c r="BS12" i="18"/>
  <c r="BS7" i="18"/>
  <c r="BS10" i="18"/>
  <c r="BS24" i="18"/>
  <c r="BS18" i="18"/>
  <c r="BS8" i="18"/>
  <c r="BS44" i="18"/>
  <c r="BS14" i="18"/>
  <c r="BS42" i="18"/>
  <c r="BS34" i="18"/>
  <c r="BS9" i="18"/>
  <c r="BS11" i="18"/>
  <c r="BS27" i="18"/>
  <c r="BS39" i="18"/>
  <c r="BS26" i="18"/>
  <c r="BS33" i="18"/>
  <c r="BS43" i="18"/>
  <c r="BS35" i="18"/>
  <c r="BS30" i="18"/>
  <c r="BS50" i="18" s="1"/>
  <c r="CA37" i="23"/>
  <c r="CA27" i="23"/>
  <c r="CA42" i="23"/>
  <c r="CA10" i="23"/>
  <c r="CA40" i="23"/>
  <c r="CA41" i="23"/>
  <c r="CA26" i="23"/>
  <c r="CA6" i="23"/>
  <c r="CA33" i="23"/>
  <c r="CA22" i="23"/>
  <c r="CA25" i="23"/>
  <c r="CA18" i="23"/>
  <c r="CA32" i="23"/>
  <c r="CA38" i="23"/>
  <c r="CA44" i="23"/>
  <c r="CA16" i="23"/>
  <c r="CA11" i="23"/>
  <c r="CA8" i="23"/>
  <c r="CA24" i="23"/>
  <c r="CA31" i="23"/>
  <c r="CA21" i="23"/>
  <c r="CA15" i="23"/>
  <c r="CA29" i="23"/>
  <c r="CA9" i="23"/>
  <c r="CA12" i="23"/>
  <c r="CA19" i="23"/>
  <c r="CA34" i="23"/>
  <c r="CA20" i="23"/>
  <c r="CA35" i="23"/>
  <c r="CA17" i="23"/>
  <c r="CA23" i="23"/>
  <c r="CA28" i="23"/>
  <c r="CA43" i="23"/>
  <c r="CA36" i="23"/>
  <c r="CA14" i="23"/>
  <c r="CA45" i="23"/>
  <c r="CA30" i="23"/>
  <c r="CA13" i="23"/>
  <c r="CA7" i="23"/>
  <c r="CA39" i="23"/>
  <c r="BY19" i="18"/>
  <c r="BY17" i="18"/>
  <c r="BY8" i="18"/>
  <c r="BY36" i="18"/>
  <c r="BY38" i="18"/>
  <c r="BY34" i="18"/>
  <c r="BY20" i="18"/>
  <c r="BY12" i="18"/>
  <c r="BY44" i="18"/>
  <c r="BY22" i="18"/>
  <c r="BY26" i="18"/>
  <c r="BY15" i="18"/>
  <c r="BY6" i="18"/>
  <c r="BY35" i="18"/>
  <c r="BY32" i="18"/>
  <c r="BY41" i="18"/>
  <c r="BY40" i="18"/>
  <c r="BY11" i="18"/>
  <c r="BY10" i="18"/>
  <c r="BY31" i="18"/>
  <c r="BY25" i="18"/>
  <c r="BY16" i="18"/>
  <c r="BY27" i="18"/>
  <c r="BY7" i="18"/>
  <c r="BY21" i="18"/>
  <c r="BY42" i="18"/>
  <c r="BY3" i="18"/>
  <c r="BY29" i="18"/>
  <c r="BY33" i="18"/>
  <c r="BY43" i="18"/>
  <c r="BY24" i="18"/>
  <c r="BY45" i="18"/>
  <c r="BY37" i="18"/>
  <c r="BY13" i="18"/>
  <c r="BY23" i="18"/>
  <c r="BY9" i="18"/>
  <c r="BY18" i="18"/>
  <c r="BY30" i="18"/>
  <c r="BY28" i="18"/>
  <c r="BY14" i="18"/>
  <c r="BY39" i="18"/>
  <c r="BO5" i="18"/>
  <c r="BO70" i="18" s="1"/>
  <c r="BX19" i="22"/>
  <c r="BX11" i="22"/>
  <c r="BX43" i="22"/>
  <c r="BX22" i="22"/>
  <c r="BX32" i="22"/>
  <c r="BX45" i="22"/>
  <c r="BX17" i="22"/>
  <c r="BX33" i="22"/>
  <c r="BX31" i="22"/>
  <c r="BX15" i="22"/>
  <c r="BX27" i="22"/>
  <c r="BX41" i="22"/>
  <c r="BX29" i="22"/>
  <c r="BX40" i="22"/>
  <c r="BX8" i="22"/>
  <c r="BX36" i="22"/>
  <c r="BX14" i="22"/>
  <c r="BX3" i="22"/>
  <c r="BX28" i="22"/>
  <c r="BX7" i="22"/>
  <c r="BX39" i="22"/>
  <c r="BX35" i="22"/>
  <c r="CA3" i="22"/>
  <c r="BX37" i="22"/>
  <c r="BX42" i="22"/>
  <c r="BX44" i="22"/>
  <c r="BX30" i="22"/>
  <c r="BX21" i="22"/>
  <c r="BX23" i="22"/>
  <c r="BX34" i="22"/>
  <c r="BX38" i="22"/>
  <c r="BX26" i="22"/>
  <c r="BX18" i="22"/>
  <c r="BX25" i="22"/>
  <c r="BX12" i="22"/>
  <c r="BX13" i="22"/>
  <c r="BX6" i="22"/>
  <c r="BX16" i="22"/>
  <c r="BX20" i="22"/>
  <c r="BX9" i="22"/>
  <c r="BX24" i="22"/>
  <c r="BX10" i="22"/>
  <c r="CD3" i="23"/>
  <c r="CD34" i="23"/>
  <c r="CD22" i="23"/>
  <c r="CD32" i="23"/>
  <c r="CD40" i="23"/>
  <c r="CD12" i="23"/>
  <c r="CD45" i="23"/>
  <c r="CD30" i="23"/>
  <c r="CD8" i="23"/>
  <c r="CD36" i="23"/>
  <c r="CD39" i="23"/>
  <c r="CD19" i="23"/>
  <c r="CD37" i="23"/>
  <c r="CD11" i="23"/>
  <c r="CD18" i="23"/>
  <c r="CD14" i="23"/>
  <c r="CD28" i="23"/>
  <c r="CD26" i="23"/>
  <c r="CD15" i="23"/>
  <c r="CD10" i="23"/>
  <c r="CD23" i="23"/>
  <c r="CD16" i="23"/>
  <c r="CD20" i="23"/>
  <c r="CD35" i="23"/>
  <c r="CD9" i="23"/>
  <c r="CD44" i="23"/>
  <c r="CD29" i="23"/>
  <c r="CD43" i="23"/>
  <c r="CD13" i="23"/>
  <c r="CD17" i="23"/>
  <c r="CD24" i="23"/>
  <c r="CD21" i="23"/>
  <c r="CD6" i="23"/>
  <c r="CD7" i="23"/>
  <c r="CD27" i="23"/>
  <c r="CD25" i="23"/>
  <c r="CD41" i="23"/>
  <c r="CD42" i="23"/>
  <c r="CD38" i="23"/>
  <c r="CD31" i="23"/>
  <c r="CD33" i="23"/>
  <c r="BS70" i="23"/>
  <c r="BR19" i="22"/>
  <c r="BR38" i="22"/>
  <c r="BR32" i="22"/>
  <c r="BR13" i="22"/>
  <c r="BR14" i="22"/>
  <c r="BR45" i="22"/>
  <c r="BR28" i="22"/>
  <c r="BR33" i="22"/>
  <c r="BR9" i="22"/>
  <c r="BR24" i="22"/>
  <c r="BR27" i="22"/>
  <c r="BR18" i="22"/>
  <c r="BR25" i="22"/>
  <c r="BR23" i="22"/>
  <c r="BR12" i="22"/>
  <c r="BR22" i="22"/>
  <c r="BR29" i="22"/>
  <c r="BR34" i="22"/>
  <c r="BR36" i="22"/>
  <c r="BR8" i="22"/>
  <c r="BR15" i="22"/>
  <c r="BR21" i="22"/>
  <c r="BR37" i="22"/>
  <c r="BR40" i="22"/>
  <c r="BR39" i="22"/>
  <c r="BR35" i="22"/>
  <c r="BR17" i="22"/>
  <c r="BR3" i="22"/>
  <c r="BR43" i="22"/>
  <c r="BR10" i="22"/>
  <c r="BR44" i="22"/>
  <c r="BR41" i="22"/>
  <c r="BR11" i="22"/>
  <c r="BR42" i="22"/>
  <c r="BR7" i="22"/>
  <c r="BR30" i="22"/>
  <c r="BR16" i="22"/>
  <c r="BR20" i="22"/>
  <c r="BR31" i="22"/>
  <c r="BR26" i="22"/>
  <c r="BR6" i="22"/>
  <c r="CC5" i="23"/>
  <c r="BW5" i="23"/>
  <c r="BZ5" i="23"/>
  <c r="BU5" i="18"/>
  <c r="BU70" i="18" s="1"/>
  <c r="BV70" i="23"/>
  <c r="BZ53" i="21"/>
  <c r="CC47" i="21"/>
  <c r="BY53" i="19"/>
  <c r="CC53" i="3"/>
  <c r="BY49" i="20"/>
  <c r="BS47" i="19"/>
  <c r="BY48" i="19"/>
  <c r="BS53" i="19"/>
  <c r="BW53" i="21"/>
  <c r="BS53" i="20"/>
  <c r="BY53" i="20"/>
  <c r="BZ50" i="3"/>
  <c r="BZ48" i="3"/>
  <c r="BW53" i="3"/>
  <c r="BY50" i="19"/>
  <c r="CB53" i="20"/>
  <c r="BY48" i="20"/>
  <c r="BV49" i="20"/>
  <c r="CB47" i="19"/>
  <c r="BY50" i="20"/>
  <c r="BZ47" i="21"/>
  <c r="CC46" i="21"/>
  <c r="BV50" i="19"/>
  <c r="BV53" i="19"/>
  <c r="BY46" i="20"/>
  <c r="CB53" i="19"/>
  <c r="BZ48" i="21"/>
  <c r="BW50" i="21"/>
  <c r="BV48" i="20"/>
  <c r="BV46" i="20"/>
  <c r="BW48" i="3"/>
  <c r="CB48" i="19"/>
  <c r="BZ53" i="3"/>
  <c r="BS48" i="20"/>
  <c r="BW46" i="3"/>
  <c r="CC46" i="3"/>
  <c r="BZ46" i="3"/>
  <c r="BS46" i="19"/>
  <c r="BW37" i="19"/>
  <c r="BW25" i="19"/>
  <c r="BW28" i="19"/>
  <c r="BW16" i="19"/>
  <c r="BW45" i="19"/>
  <c r="BW21" i="19"/>
  <c r="BW41" i="19"/>
  <c r="BW29" i="19"/>
  <c r="BW34" i="19"/>
  <c r="BW27" i="19"/>
  <c r="BW38" i="19"/>
  <c r="BW26" i="19"/>
  <c r="BW15" i="19"/>
  <c r="BW43" i="19"/>
  <c r="BW40" i="19"/>
  <c r="BW14" i="19"/>
  <c r="BW11" i="19"/>
  <c r="BW6" i="19"/>
  <c r="BW7" i="19"/>
  <c r="BW33" i="19"/>
  <c r="BW19" i="19"/>
  <c r="BW42" i="19"/>
  <c r="BW8" i="19"/>
  <c r="BW32" i="19"/>
  <c r="BW13" i="19"/>
  <c r="BW10" i="19"/>
  <c r="BW17" i="19"/>
  <c r="BW9" i="19"/>
  <c r="BW20" i="19"/>
  <c r="BW44" i="19"/>
  <c r="BW39" i="19"/>
  <c r="BW36" i="19"/>
  <c r="BW30" i="19"/>
  <c r="BW35" i="19"/>
  <c r="BW12" i="19"/>
  <c r="BW18" i="19"/>
  <c r="BW24" i="19"/>
  <c r="BW31" i="19"/>
  <c r="BW22" i="19"/>
  <c r="BW23" i="19"/>
  <c r="BS70" i="3"/>
  <c r="CD20" i="3"/>
  <c r="CD8" i="3"/>
  <c r="CD3" i="3"/>
  <c r="CD16" i="3"/>
  <c r="CD19" i="3"/>
  <c r="CD12" i="3"/>
  <c r="CD13" i="3"/>
  <c r="CD22" i="3"/>
  <c r="CD6" i="3"/>
  <c r="CD17" i="3"/>
  <c r="CD9" i="3"/>
  <c r="CD21" i="3"/>
  <c r="CD10" i="3"/>
  <c r="CD38" i="3"/>
  <c r="CD24" i="3"/>
  <c r="CD45" i="3"/>
  <c r="CD42" i="3"/>
  <c r="CD35" i="3"/>
  <c r="CD26" i="3"/>
  <c r="CD18" i="3"/>
  <c r="CD33" i="3"/>
  <c r="CD36" i="3"/>
  <c r="CD37" i="3"/>
  <c r="CD34" i="3"/>
  <c r="CD28" i="3"/>
  <c r="CD43" i="3"/>
  <c r="CD11" i="3"/>
  <c r="CD31" i="3"/>
  <c r="CD39" i="3"/>
  <c r="CD14" i="3"/>
  <c r="CD15" i="3"/>
  <c r="CD7" i="3"/>
  <c r="CD30" i="3"/>
  <c r="CD29" i="3"/>
  <c r="CD32" i="3"/>
  <c r="CD40" i="3"/>
  <c r="CD41" i="3"/>
  <c r="CD44" i="3"/>
  <c r="CD23" i="3"/>
  <c r="CD27" i="3"/>
  <c r="CD25" i="3"/>
  <c r="BR70" i="20"/>
  <c r="BW49" i="21"/>
  <c r="BV52" i="20"/>
  <c r="BV5" i="20"/>
  <c r="CD45" i="21"/>
  <c r="CD41" i="21"/>
  <c r="CD21" i="21"/>
  <c r="CD3" i="21"/>
  <c r="CD19" i="21"/>
  <c r="CD16" i="21"/>
  <c r="CD20" i="21"/>
  <c r="CD37" i="21"/>
  <c r="CD27" i="21"/>
  <c r="CD26" i="21"/>
  <c r="CD18" i="21"/>
  <c r="CD34" i="21"/>
  <c r="CD17" i="21"/>
  <c r="CD11" i="21"/>
  <c r="CD33" i="21"/>
  <c r="CD38" i="21"/>
  <c r="CD24" i="21"/>
  <c r="CD32" i="21"/>
  <c r="CD40" i="21"/>
  <c r="CD28" i="21"/>
  <c r="CD9" i="21"/>
  <c r="CD42" i="21"/>
  <c r="CD30" i="21"/>
  <c r="CD6" i="21"/>
  <c r="CD39" i="21"/>
  <c r="CD8" i="21"/>
  <c r="CD12" i="21"/>
  <c r="CD7" i="21"/>
  <c r="CD44" i="21"/>
  <c r="CD13" i="21"/>
  <c r="CD22" i="21"/>
  <c r="CD29" i="21"/>
  <c r="CD23" i="21"/>
  <c r="CD10" i="21"/>
  <c r="CD14" i="21"/>
  <c r="CD31" i="21"/>
  <c r="CD36" i="21"/>
  <c r="CD15" i="21"/>
  <c r="CD25" i="21"/>
  <c r="CD35" i="21"/>
  <c r="CD43" i="21"/>
  <c r="CC49" i="3"/>
  <c r="BV70" i="21"/>
  <c r="BV48" i="19"/>
  <c r="BS47" i="20"/>
  <c r="BS50" i="20"/>
  <c r="BZ45" i="20"/>
  <c r="BZ41" i="20"/>
  <c r="BZ29" i="20"/>
  <c r="BZ3" i="20"/>
  <c r="BZ16" i="20"/>
  <c r="BZ21" i="20"/>
  <c r="BZ32" i="20"/>
  <c r="BZ30" i="20"/>
  <c r="BZ19" i="20"/>
  <c r="BZ28" i="20"/>
  <c r="BZ34" i="20"/>
  <c r="BZ37" i="20"/>
  <c r="BZ17" i="20"/>
  <c r="BZ43" i="20"/>
  <c r="BZ10" i="20"/>
  <c r="BZ18" i="20"/>
  <c r="BZ35" i="20"/>
  <c r="BZ9" i="20"/>
  <c r="BZ8" i="20"/>
  <c r="BZ40" i="20"/>
  <c r="BZ14" i="20"/>
  <c r="BZ12" i="20"/>
  <c r="BZ13" i="20"/>
  <c r="BZ11" i="20"/>
  <c r="BZ15" i="20"/>
  <c r="BZ39" i="20"/>
  <c r="BZ20" i="20"/>
  <c r="BZ7" i="20"/>
  <c r="BZ36" i="20"/>
  <c r="BZ31" i="20"/>
  <c r="BZ33" i="20"/>
  <c r="BZ26" i="20"/>
  <c r="BZ25" i="20"/>
  <c r="BZ44" i="20"/>
  <c r="BZ24" i="20"/>
  <c r="BZ23" i="20"/>
  <c r="BZ6" i="20"/>
  <c r="BZ38" i="20"/>
  <c r="BZ47" i="20" s="1"/>
  <c r="BZ42" i="20"/>
  <c r="BZ27" i="20"/>
  <c r="BZ22" i="20"/>
  <c r="CA42" i="3"/>
  <c r="CA7" i="3"/>
  <c r="CA12" i="3"/>
  <c r="CA16" i="3"/>
  <c r="CA20" i="3"/>
  <c r="CA8" i="3"/>
  <c r="CA19" i="3"/>
  <c r="CA6" i="3"/>
  <c r="CA17" i="3"/>
  <c r="CA10" i="3"/>
  <c r="CA45" i="3"/>
  <c r="CA21" i="3"/>
  <c r="CA13" i="3"/>
  <c r="CA22" i="3"/>
  <c r="CA18" i="3"/>
  <c r="CA9" i="3"/>
  <c r="CA24" i="3"/>
  <c r="CA32" i="3"/>
  <c r="CA41" i="3"/>
  <c r="CA40" i="3"/>
  <c r="CA38" i="3"/>
  <c r="CA31" i="3"/>
  <c r="CA37" i="3"/>
  <c r="CA26" i="3"/>
  <c r="CA34" i="3"/>
  <c r="CA29" i="3"/>
  <c r="CA11" i="3"/>
  <c r="CA43" i="3"/>
  <c r="CA36" i="3"/>
  <c r="CA25" i="3"/>
  <c r="CA39" i="3"/>
  <c r="CA35" i="3"/>
  <c r="CA15" i="3"/>
  <c r="CA14" i="3"/>
  <c r="CA28" i="3"/>
  <c r="CA33" i="3"/>
  <c r="CA44" i="3"/>
  <c r="CA30" i="3"/>
  <c r="CA23" i="3"/>
  <c r="CA27" i="3"/>
  <c r="BZ46" i="21"/>
  <c r="CC50" i="3"/>
  <c r="CC52" i="3"/>
  <c r="CC5" i="3"/>
  <c r="BV49" i="19"/>
  <c r="BZ52" i="21"/>
  <c r="BZ5" i="21"/>
  <c r="BW41" i="20"/>
  <c r="BW45" i="20"/>
  <c r="BW21" i="20"/>
  <c r="BW16" i="20"/>
  <c r="BW19" i="20"/>
  <c r="BW34" i="20"/>
  <c r="BW28" i="20"/>
  <c r="BW30" i="20"/>
  <c r="BW29" i="20"/>
  <c r="BW37" i="20"/>
  <c r="BW33" i="20"/>
  <c r="BW24" i="20"/>
  <c r="BW12" i="20"/>
  <c r="BW17" i="20"/>
  <c r="BW18" i="20"/>
  <c r="BW10" i="20"/>
  <c r="BW40" i="20"/>
  <c r="BW9" i="20"/>
  <c r="BW32" i="20"/>
  <c r="BW14" i="20"/>
  <c r="BW13" i="20"/>
  <c r="BW43" i="20"/>
  <c r="BW39" i="20"/>
  <c r="BW8" i="20"/>
  <c r="BW15" i="20"/>
  <c r="BW20" i="20"/>
  <c r="BW6" i="20"/>
  <c r="BW7" i="20"/>
  <c r="BW26" i="20"/>
  <c r="BW31" i="20"/>
  <c r="BW35" i="20"/>
  <c r="BW36" i="20"/>
  <c r="BW25" i="20"/>
  <c r="BW27" i="20"/>
  <c r="BW11" i="20"/>
  <c r="BW44" i="20"/>
  <c r="BW42" i="20"/>
  <c r="BW38" i="20"/>
  <c r="BW23" i="20"/>
  <c r="BW22" i="20"/>
  <c r="BS50" i="19"/>
  <c r="CC3" i="19"/>
  <c r="CC21" i="19"/>
  <c r="CC19" i="19"/>
  <c r="CC41" i="19"/>
  <c r="CC17" i="19"/>
  <c r="CC45" i="19"/>
  <c r="CC37" i="19"/>
  <c r="CC18" i="19"/>
  <c r="CC25" i="19"/>
  <c r="CC38" i="19"/>
  <c r="CC34" i="19"/>
  <c r="CC26" i="19"/>
  <c r="CC16" i="19"/>
  <c r="CC27" i="19"/>
  <c r="CC28" i="19"/>
  <c r="CC29" i="19"/>
  <c r="CC11" i="19"/>
  <c r="CC15" i="19"/>
  <c r="CC43" i="19"/>
  <c r="CC40" i="19"/>
  <c r="CC7" i="19"/>
  <c r="CC6" i="19"/>
  <c r="CC33" i="19"/>
  <c r="CC42" i="19"/>
  <c r="CC8" i="19"/>
  <c r="CC32" i="19"/>
  <c r="CC10" i="19"/>
  <c r="CC14" i="19"/>
  <c r="CC13" i="19"/>
  <c r="CC12" i="19"/>
  <c r="CC20" i="19"/>
  <c r="CC36" i="19"/>
  <c r="CC9" i="19"/>
  <c r="CC39" i="19"/>
  <c r="CC35" i="19"/>
  <c r="CC30" i="19"/>
  <c r="CC44" i="19"/>
  <c r="CC23" i="19"/>
  <c r="CC31" i="19"/>
  <c r="CC24" i="19"/>
  <c r="CC22" i="19"/>
  <c r="BY46" i="19"/>
  <c r="BY49" i="19"/>
  <c r="CB52" i="20"/>
  <c r="CB5" i="20"/>
  <c r="BS52" i="19"/>
  <c r="BS5" i="19"/>
  <c r="BV46" i="19"/>
  <c r="BU70" i="19"/>
  <c r="BU70" i="20"/>
  <c r="BS48" i="19"/>
  <c r="BW49" i="3"/>
  <c r="CB49" i="19"/>
  <c r="BZ52" i="3"/>
  <c r="BZ5" i="3"/>
  <c r="CC49" i="21"/>
  <c r="BO70" i="20"/>
  <c r="CB5" i="19"/>
  <c r="CB52" i="19"/>
  <c r="BS49" i="19"/>
  <c r="BZ49" i="3"/>
  <c r="BZ49" i="21"/>
  <c r="CA45" i="21"/>
  <c r="CA16" i="21"/>
  <c r="CA21" i="21"/>
  <c r="CA19" i="21"/>
  <c r="CA34" i="21"/>
  <c r="CA41" i="21"/>
  <c r="CA27" i="21"/>
  <c r="CA37" i="21"/>
  <c r="CA18" i="21"/>
  <c r="CA17" i="21"/>
  <c r="CA20" i="21"/>
  <c r="CA11" i="21"/>
  <c r="CA32" i="21"/>
  <c r="CA26" i="21"/>
  <c r="CA33" i="21"/>
  <c r="CA38" i="21"/>
  <c r="CA42" i="21"/>
  <c r="CA39" i="21"/>
  <c r="CA40" i="21"/>
  <c r="CA28" i="21"/>
  <c r="CA12" i="21"/>
  <c r="CA24" i="21"/>
  <c r="CA6" i="21"/>
  <c r="CA8" i="21"/>
  <c r="CA7" i="21"/>
  <c r="CA30" i="21"/>
  <c r="CA9" i="21"/>
  <c r="CA13" i="21"/>
  <c r="CA44" i="21"/>
  <c r="CA31" i="21"/>
  <c r="CA14" i="21"/>
  <c r="CA15" i="21"/>
  <c r="CA22" i="21"/>
  <c r="CA43" i="21"/>
  <c r="CA36" i="21"/>
  <c r="CA29" i="21"/>
  <c r="CA10" i="21"/>
  <c r="CA23" i="21"/>
  <c r="CA25" i="21"/>
  <c r="CA35" i="21"/>
  <c r="CC52" i="21"/>
  <c r="CC5" i="21"/>
  <c r="BR70" i="19"/>
  <c r="BS46" i="20"/>
  <c r="BY5" i="19"/>
  <c r="BY52" i="19"/>
  <c r="BS70" i="21"/>
  <c r="BW47" i="3"/>
  <c r="BZ47" i="3"/>
  <c r="BZ50" i="21"/>
  <c r="CC48" i="21"/>
  <c r="BV5" i="19"/>
  <c r="BV52" i="19"/>
  <c r="CB50" i="20"/>
  <c r="BY52" i="20"/>
  <c r="BY5" i="20"/>
  <c r="BW52" i="3"/>
  <c r="BW5" i="3"/>
  <c r="BY47" i="19"/>
  <c r="CC48" i="3"/>
  <c r="CB48" i="20"/>
  <c r="CB49" i="20"/>
  <c r="CC32" i="20"/>
  <c r="CC37" i="20"/>
  <c r="CC41" i="20"/>
  <c r="CC3" i="20"/>
  <c r="CC45" i="20"/>
  <c r="CC21" i="20"/>
  <c r="CC16" i="20"/>
  <c r="CC30" i="20"/>
  <c r="CC19" i="20"/>
  <c r="CC29" i="20"/>
  <c r="CC34" i="20"/>
  <c r="CC28" i="20"/>
  <c r="CC17" i="20"/>
  <c r="CC10" i="20"/>
  <c r="CC9" i="20"/>
  <c r="CC18" i="20"/>
  <c r="CC40" i="20"/>
  <c r="CC31" i="20"/>
  <c r="CC13" i="20"/>
  <c r="CC14" i="20"/>
  <c r="CC43" i="20"/>
  <c r="CC12" i="20"/>
  <c r="CC8" i="20"/>
  <c r="CC39" i="20"/>
  <c r="CC15" i="20"/>
  <c r="CC35" i="20"/>
  <c r="CC11" i="20"/>
  <c r="CC22" i="20"/>
  <c r="CC20" i="20"/>
  <c r="CC7" i="20"/>
  <c r="CC6" i="20"/>
  <c r="CC33" i="20"/>
  <c r="CC26" i="20"/>
  <c r="CC36" i="20"/>
  <c r="CC44" i="20"/>
  <c r="CC25" i="20"/>
  <c r="CC42" i="20"/>
  <c r="CC38" i="20"/>
  <c r="CC27" i="20"/>
  <c r="CC24" i="20"/>
  <c r="CC23" i="20"/>
  <c r="BW50" i="3"/>
  <c r="CB46" i="19"/>
  <c r="BZ45" i="19"/>
  <c r="BZ3" i="19"/>
  <c r="BZ16" i="19"/>
  <c r="BZ21" i="19"/>
  <c r="BZ28" i="19"/>
  <c r="BZ11" i="19"/>
  <c r="BZ25" i="19"/>
  <c r="BZ37" i="19"/>
  <c r="BZ34" i="19"/>
  <c r="BZ18" i="19"/>
  <c r="BZ29" i="19"/>
  <c r="BZ27" i="19"/>
  <c r="BZ17" i="19"/>
  <c r="BZ43" i="19"/>
  <c r="BZ15" i="19"/>
  <c r="BZ6" i="19"/>
  <c r="BZ38" i="19"/>
  <c r="BZ40" i="19"/>
  <c r="BZ7" i="19"/>
  <c r="BZ42" i="19"/>
  <c r="BZ24" i="19"/>
  <c r="BZ19" i="19"/>
  <c r="BZ33" i="19"/>
  <c r="BZ26" i="19"/>
  <c r="BZ8" i="19"/>
  <c r="BZ14" i="19"/>
  <c r="BZ13" i="19"/>
  <c r="BZ32" i="19"/>
  <c r="BZ10" i="19"/>
  <c r="BZ9" i="19"/>
  <c r="BZ20" i="19"/>
  <c r="BZ35" i="19"/>
  <c r="BZ36" i="19"/>
  <c r="BZ44" i="19"/>
  <c r="BZ39" i="19"/>
  <c r="BZ41" i="19"/>
  <c r="BZ31" i="19"/>
  <c r="BZ12" i="19"/>
  <c r="BZ23" i="19"/>
  <c r="BZ30" i="19"/>
  <c r="BZ22" i="19"/>
  <c r="BO70" i="19"/>
  <c r="CC50" i="21"/>
  <c r="BV47" i="19"/>
  <c r="BW52" i="21"/>
  <c r="BW5" i="21"/>
  <c r="BW46" i="21"/>
  <c r="BS52" i="20"/>
  <c r="BS5" i="20"/>
  <c r="BS49" i="20"/>
  <c r="BY47" i="20"/>
  <c r="BV47" i="20"/>
  <c r="CC47" i="3"/>
  <c r="BW48" i="21"/>
  <c r="CB46" i="20"/>
  <c r="D93" i="2"/>
  <c r="C94" i="2"/>
  <c r="BX47" i="22" l="1"/>
  <c r="BX51" i="22"/>
  <c r="BX53" i="22"/>
  <c r="BV53" i="18"/>
  <c r="CA53" i="23"/>
  <c r="BS53" i="18"/>
  <c r="CB53" i="18"/>
  <c r="BY53" i="18"/>
  <c r="CA48" i="23"/>
  <c r="BX48" i="22"/>
  <c r="BU51" i="22"/>
  <c r="BW51" i="20"/>
  <c r="BY48" i="18"/>
  <c r="CA51" i="3"/>
  <c r="BV50" i="18"/>
  <c r="BW51" i="19"/>
  <c r="CD53" i="23"/>
  <c r="BO52" i="22"/>
  <c r="BU53" i="22"/>
  <c r="BX46" i="22"/>
  <c r="CA51" i="23"/>
  <c r="CA49" i="23"/>
  <c r="BU49" i="22"/>
  <c r="BR50" i="22"/>
  <c r="BU47" i="22"/>
  <c r="BO53" i="22"/>
  <c r="BW50" i="20"/>
  <c r="BZ48" i="20"/>
  <c r="BR52" i="22"/>
  <c r="BR46" i="22"/>
  <c r="CD48" i="23"/>
  <c r="CD49" i="23"/>
  <c r="BY50" i="18"/>
  <c r="CA52" i="23"/>
  <c r="CA47" i="23"/>
  <c r="BU46" i="22"/>
  <c r="CC51" i="19"/>
  <c r="BR53" i="22"/>
  <c r="CD46" i="23"/>
  <c r="BO49" i="22"/>
  <c r="BU50" i="22"/>
  <c r="BO51" i="22"/>
  <c r="BO47" i="22"/>
  <c r="BW48" i="20"/>
  <c r="BR48" i="22"/>
  <c r="BR49" i="22"/>
  <c r="CD50" i="23"/>
  <c r="BX49" i="22"/>
  <c r="BX50" i="22"/>
  <c r="CA46" i="23"/>
  <c r="BO48" i="22"/>
  <c r="BO50" i="22"/>
  <c r="BU52" i="22"/>
  <c r="BR51" i="22"/>
  <c r="BR47" i="22"/>
  <c r="CD51" i="23"/>
  <c r="CD47" i="23"/>
  <c r="BZ51" i="19"/>
  <c r="CC51" i="20"/>
  <c r="CA51" i="21"/>
  <c r="BZ51" i="20"/>
  <c r="CD51" i="21"/>
  <c r="CD51" i="3"/>
  <c r="CD52" i="23"/>
  <c r="BX52" i="22"/>
  <c r="CA50" i="23"/>
  <c r="BO46" i="22"/>
  <c r="BU48" i="22"/>
  <c r="BW46" i="19"/>
  <c r="CB49" i="18"/>
  <c r="BY49" i="18"/>
  <c r="BV49" i="18"/>
  <c r="BS49" i="18"/>
  <c r="CB50" i="18"/>
  <c r="BY51" i="18"/>
  <c r="BY47" i="18"/>
  <c r="CB51" i="18"/>
  <c r="CB47" i="18"/>
  <c r="BS51" i="18"/>
  <c r="BS47" i="18"/>
  <c r="BV51" i="18"/>
  <c r="BV47" i="18"/>
  <c r="CB48" i="18"/>
  <c r="BS48" i="18"/>
  <c r="BV48" i="18"/>
  <c r="BY46" i="18"/>
  <c r="BS46" i="18"/>
  <c r="CB46" i="18"/>
  <c r="BV46" i="18"/>
  <c r="BV52" i="18"/>
  <c r="BS52" i="18"/>
  <c r="CB52" i="18"/>
  <c r="BY52" i="18"/>
  <c r="CA47" i="3"/>
  <c r="CA53" i="3"/>
  <c r="BX5" i="22"/>
  <c r="BO5" i="22"/>
  <c r="BO70" i="22" s="1"/>
  <c r="CD5" i="23"/>
  <c r="CE34" i="23"/>
  <c r="CE26" i="23"/>
  <c r="CE6" i="23"/>
  <c r="CE36" i="23"/>
  <c r="CE44" i="23"/>
  <c r="CE19" i="23"/>
  <c r="CE43" i="23"/>
  <c r="CE22" i="23"/>
  <c r="CE33" i="23"/>
  <c r="CE31" i="23"/>
  <c r="CE41" i="23"/>
  <c r="CE25" i="23"/>
  <c r="CE29" i="23"/>
  <c r="CE32" i="23"/>
  <c r="CE40" i="23"/>
  <c r="CE21" i="23"/>
  <c r="CE20" i="23"/>
  <c r="CE8" i="23"/>
  <c r="CE35" i="23"/>
  <c r="CE27" i="23"/>
  <c r="CE28" i="23"/>
  <c r="CE15" i="23"/>
  <c r="CE14" i="23"/>
  <c r="CE7" i="23"/>
  <c r="CE17" i="23"/>
  <c r="CE23" i="23"/>
  <c r="CE42" i="23"/>
  <c r="CE30" i="23"/>
  <c r="CE38" i="23"/>
  <c r="CE12" i="23"/>
  <c r="CE45" i="23"/>
  <c r="CE39" i="23"/>
  <c r="CE13" i="23"/>
  <c r="CE10" i="23"/>
  <c r="CE24" i="23"/>
  <c r="CE16" i="23"/>
  <c r="CE37" i="23"/>
  <c r="CE11" i="23"/>
  <c r="CE18" i="23"/>
  <c r="CE9" i="23"/>
  <c r="BY5" i="18"/>
  <c r="BW70" i="23"/>
  <c r="BY16" i="22"/>
  <c r="BY20" i="22"/>
  <c r="BY9" i="22"/>
  <c r="BY13" i="22"/>
  <c r="BY6" i="22"/>
  <c r="BY19" i="22"/>
  <c r="BY40" i="22"/>
  <c r="BY33" i="22"/>
  <c r="BY15" i="22"/>
  <c r="BY14" i="22"/>
  <c r="BY21" i="22"/>
  <c r="BY29" i="22"/>
  <c r="BY12" i="22"/>
  <c r="BY26" i="22"/>
  <c r="BY27" i="22"/>
  <c r="BY36" i="22"/>
  <c r="BY34" i="22"/>
  <c r="BY28" i="22"/>
  <c r="BY23" i="22"/>
  <c r="BY7" i="22"/>
  <c r="BY22" i="22"/>
  <c r="BY41" i="22"/>
  <c r="BY25" i="22"/>
  <c r="BY8" i="22"/>
  <c r="BY44" i="22"/>
  <c r="BY35" i="22"/>
  <c r="BY18" i="22"/>
  <c r="BY37" i="22"/>
  <c r="BY43" i="22"/>
  <c r="BY39" i="22"/>
  <c r="BY30" i="22"/>
  <c r="BY3" i="22"/>
  <c r="BY17" i="22"/>
  <c r="BY42" i="22"/>
  <c r="BY38" i="22"/>
  <c r="BY32" i="22"/>
  <c r="BY45" i="22"/>
  <c r="BY11" i="22"/>
  <c r="BY31" i="22"/>
  <c r="BY24" i="22"/>
  <c r="BY10" i="22"/>
  <c r="BV5" i="18"/>
  <c r="BV70" i="18" s="1"/>
  <c r="BS16" i="22"/>
  <c r="BS33" i="22"/>
  <c r="BS34" i="22"/>
  <c r="BS12" i="22"/>
  <c r="BS14" i="22"/>
  <c r="BS45" i="22"/>
  <c r="BS37" i="22"/>
  <c r="BS28" i="22"/>
  <c r="BS7" i="22"/>
  <c r="BS44" i="22"/>
  <c r="BS18" i="22"/>
  <c r="BS23" i="22"/>
  <c r="BS42" i="22"/>
  <c r="BS24" i="22"/>
  <c r="BS35" i="22"/>
  <c r="BS21" i="22"/>
  <c r="BS29" i="22"/>
  <c r="BS8" i="22"/>
  <c r="BS30" i="22"/>
  <c r="BS13" i="22"/>
  <c r="BS41" i="22"/>
  <c r="BS20" i="22"/>
  <c r="BS43" i="22"/>
  <c r="BS26" i="22"/>
  <c r="BS10" i="22"/>
  <c r="BS19" i="22"/>
  <c r="BS17" i="22"/>
  <c r="BS31" i="22"/>
  <c r="BS38" i="22"/>
  <c r="BS6" i="22"/>
  <c r="BS25" i="22"/>
  <c r="BS40" i="22"/>
  <c r="BS39" i="22"/>
  <c r="BS15" i="22"/>
  <c r="BS27" i="22"/>
  <c r="BS32" i="22"/>
  <c r="BS11" i="22"/>
  <c r="BS9" i="22"/>
  <c r="BS36" i="22"/>
  <c r="BS22" i="22"/>
  <c r="BZ18" i="18"/>
  <c r="BZ28" i="18"/>
  <c r="BZ43" i="18"/>
  <c r="BZ14" i="18"/>
  <c r="BZ39" i="18"/>
  <c r="BZ45" i="18"/>
  <c r="BZ27" i="18"/>
  <c r="BZ33" i="18"/>
  <c r="BZ29" i="18"/>
  <c r="BZ38" i="18"/>
  <c r="BZ42" i="18"/>
  <c r="BZ3" i="18"/>
  <c r="BZ37" i="18"/>
  <c r="BZ24" i="18"/>
  <c r="BZ12" i="18"/>
  <c r="BZ44" i="18"/>
  <c r="BZ41" i="18"/>
  <c r="BZ15" i="18"/>
  <c r="BZ35" i="18"/>
  <c r="BZ23" i="18"/>
  <c r="BZ36" i="18"/>
  <c r="BZ16" i="18"/>
  <c r="BZ17" i="18"/>
  <c r="BZ40" i="18"/>
  <c r="BZ6" i="18"/>
  <c r="BZ31" i="18"/>
  <c r="BZ21" i="18"/>
  <c r="BZ20" i="18"/>
  <c r="BZ7" i="18"/>
  <c r="BZ26" i="18"/>
  <c r="BZ30" i="18"/>
  <c r="BZ34" i="18"/>
  <c r="BZ13" i="18"/>
  <c r="BZ11" i="18"/>
  <c r="BZ10" i="18"/>
  <c r="BZ22" i="18"/>
  <c r="BZ19" i="18"/>
  <c r="BZ9" i="18"/>
  <c r="BZ8" i="18"/>
  <c r="BZ25" i="18"/>
  <c r="BZ32" i="18"/>
  <c r="BS5" i="18"/>
  <c r="BS70" i="18" s="1"/>
  <c r="CB5" i="18"/>
  <c r="BV18" i="22"/>
  <c r="BV28" i="22"/>
  <c r="BV9" i="22"/>
  <c r="BV8" i="22"/>
  <c r="BV15" i="22"/>
  <c r="BV45" i="22"/>
  <c r="BV23" i="22"/>
  <c r="BV36" i="22"/>
  <c r="BV39" i="22"/>
  <c r="BV35" i="22"/>
  <c r="BV3" i="22"/>
  <c r="BV40" i="22"/>
  <c r="BV20" i="22"/>
  <c r="BV12" i="22"/>
  <c r="BV30" i="22"/>
  <c r="BV29" i="22"/>
  <c r="BV37" i="22"/>
  <c r="BV31" i="22"/>
  <c r="BV7" i="22"/>
  <c r="BV6" i="22"/>
  <c r="BV16" i="22"/>
  <c r="BV17" i="22"/>
  <c r="BV42" i="22"/>
  <c r="BV13" i="22"/>
  <c r="BV32" i="22"/>
  <c r="BV19" i="22"/>
  <c r="BV22" i="22"/>
  <c r="BV43" i="22"/>
  <c r="BV26" i="22"/>
  <c r="BV10" i="22"/>
  <c r="BV41" i="22"/>
  <c r="BV33" i="22"/>
  <c r="BV11" i="22"/>
  <c r="BV34" i="22"/>
  <c r="BV27" i="22"/>
  <c r="BV14" i="22"/>
  <c r="BV21" i="22"/>
  <c r="BV25" i="22"/>
  <c r="BV38" i="22"/>
  <c r="BV24" i="22"/>
  <c r="BV44" i="22"/>
  <c r="CB41" i="22"/>
  <c r="CB17" i="22"/>
  <c r="CB22" i="22"/>
  <c r="CB26" i="22"/>
  <c r="CB27" i="22"/>
  <c r="CB18" i="22"/>
  <c r="CB20" i="22"/>
  <c r="CB42" i="22"/>
  <c r="CB38" i="22"/>
  <c r="CB35" i="22"/>
  <c r="CB19" i="22"/>
  <c r="CB23" i="22"/>
  <c r="CB12" i="22"/>
  <c r="CB6" i="22"/>
  <c r="CB15" i="22"/>
  <c r="CB33" i="22"/>
  <c r="CB37" i="22"/>
  <c r="CB40" i="22"/>
  <c r="CB43" i="22"/>
  <c r="CB13" i="22"/>
  <c r="CB32" i="22"/>
  <c r="CB21" i="22"/>
  <c r="CB25" i="22"/>
  <c r="CB31" i="22"/>
  <c r="CB8" i="22"/>
  <c r="CB24" i="22"/>
  <c r="CB10" i="22"/>
  <c r="CE3" i="22"/>
  <c r="CB29" i="22"/>
  <c r="CB36" i="22"/>
  <c r="CB39" i="22"/>
  <c r="CB44" i="22"/>
  <c r="CB45" i="22"/>
  <c r="CB28" i="22"/>
  <c r="CB11" i="22"/>
  <c r="CB9" i="22"/>
  <c r="CB30" i="22"/>
  <c r="CB3" i="22"/>
  <c r="CB16" i="22"/>
  <c r="CB34" i="22"/>
  <c r="CB7" i="22"/>
  <c r="CB14" i="22"/>
  <c r="CC34" i="18"/>
  <c r="CC20" i="18"/>
  <c r="CC29" i="18"/>
  <c r="CC14" i="18"/>
  <c r="CC32" i="18"/>
  <c r="CC33" i="18"/>
  <c r="CC7" i="18"/>
  <c r="CC23" i="18"/>
  <c r="CC9" i="18"/>
  <c r="CC25" i="18"/>
  <c r="CC18" i="18"/>
  <c r="CC11" i="18"/>
  <c r="CC6" i="18"/>
  <c r="CC36" i="18"/>
  <c r="CC42" i="18"/>
  <c r="CC45" i="18"/>
  <c r="CC19" i="18"/>
  <c r="CC28" i="18"/>
  <c r="CC10" i="18"/>
  <c r="CC31" i="18"/>
  <c r="CC30" i="18"/>
  <c r="CC3" i="18"/>
  <c r="CC26" i="18"/>
  <c r="CC13" i="18"/>
  <c r="CC12" i="18"/>
  <c r="CC38" i="18"/>
  <c r="CC16" i="18"/>
  <c r="CC37" i="18"/>
  <c r="CC40" i="18"/>
  <c r="CC27" i="18"/>
  <c r="CC24" i="18"/>
  <c r="CC21" i="18"/>
  <c r="CC17" i="18"/>
  <c r="CC8" i="18"/>
  <c r="CC35" i="18"/>
  <c r="CC22" i="18"/>
  <c r="CC41" i="18"/>
  <c r="CC15" i="18"/>
  <c r="CC43" i="18"/>
  <c r="CC44" i="18"/>
  <c r="CC39" i="18"/>
  <c r="BW16" i="18"/>
  <c r="BW28" i="18"/>
  <c r="BW12" i="18"/>
  <c r="BW43" i="18"/>
  <c r="BW39" i="18"/>
  <c r="BW41" i="18"/>
  <c r="BW14" i="18"/>
  <c r="BW7" i="18"/>
  <c r="BW23" i="18"/>
  <c r="BW30" i="18"/>
  <c r="BW18" i="18"/>
  <c r="BW11" i="18"/>
  <c r="BW8" i="18"/>
  <c r="BW9" i="18"/>
  <c r="BW24" i="18"/>
  <c r="BW19" i="18"/>
  <c r="BW13" i="18"/>
  <c r="BW44" i="18"/>
  <c r="BW27" i="18"/>
  <c r="BW25" i="18"/>
  <c r="BW17" i="18"/>
  <c r="BW37" i="18"/>
  <c r="BW33" i="18"/>
  <c r="BW29" i="18"/>
  <c r="BW36" i="18"/>
  <c r="BW21" i="18"/>
  <c r="BW20" i="18"/>
  <c r="BW35" i="18"/>
  <c r="BW10" i="18"/>
  <c r="BW31" i="18"/>
  <c r="BW34" i="18"/>
  <c r="BW15" i="18"/>
  <c r="BW22" i="18"/>
  <c r="BW6" i="18"/>
  <c r="BW38" i="18"/>
  <c r="BW45" i="18"/>
  <c r="BW32" i="18"/>
  <c r="BW40" i="18"/>
  <c r="BW26" i="18"/>
  <c r="BW42" i="18"/>
  <c r="BR5" i="22"/>
  <c r="BR70" i="22" s="1"/>
  <c r="CA5" i="23"/>
  <c r="BU5" i="22"/>
  <c r="BU70" i="22" s="1"/>
  <c r="BW47" i="19"/>
  <c r="CD53" i="21"/>
  <c r="CC53" i="19"/>
  <c r="CD53" i="3"/>
  <c r="CA48" i="21"/>
  <c r="BW53" i="20"/>
  <c r="CA53" i="21"/>
  <c r="CA52" i="3"/>
  <c r="CA50" i="3"/>
  <c r="BZ53" i="20"/>
  <c r="BW53" i="19"/>
  <c r="BW49" i="19"/>
  <c r="CC47" i="20"/>
  <c r="CC53" i="20"/>
  <c r="CD46" i="21"/>
  <c r="BW50" i="19"/>
  <c r="BW48" i="19"/>
  <c r="BZ53" i="19"/>
  <c r="BW47" i="20"/>
  <c r="CD50" i="21"/>
  <c r="CD47" i="21"/>
  <c r="CD46" i="3"/>
  <c r="CD47" i="3"/>
  <c r="CA46" i="3"/>
  <c r="BS70" i="20"/>
  <c r="BZ46" i="19"/>
  <c r="BV70" i="19"/>
  <c r="BW46" i="20"/>
  <c r="CA48" i="3"/>
  <c r="CC49" i="19"/>
  <c r="BZ50" i="20"/>
  <c r="CE19" i="21"/>
  <c r="CE45" i="21"/>
  <c r="CE41" i="21"/>
  <c r="CE21" i="21"/>
  <c r="CE20" i="21"/>
  <c r="CE16" i="21"/>
  <c r="CE27" i="21"/>
  <c r="CE18" i="21"/>
  <c r="CE37" i="21"/>
  <c r="CE38" i="21"/>
  <c r="CE11" i="21"/>
  <c r="CE33" i="21"/>
  <c r="CE17" i="21"/>
  <c r="CE26" i="21"/>
  <c r="CE32" i="21"/>
  <c r="CE28" i="21"/>
  <c r="CE40" i="21"/>
  <c r="CE42" i="21"/>
  <c r="CE39" i="21"/>
  <c r="CE34" i="21"/>
  <c r="CE24" i="21"/>
  <c r="CE6" i="21"/>
  <c r="CE9" i="21"/>
  <c r="CE8" i="21"/>
  <c r="CE7" i="21"/>
  <c r="CE12" i="21"/>
  <c r="CE22" i="21"/>
  <c r="CE30" i="21"/>
  <c r="CE14" i="21"/>
  <c r="CE44" i="21"/>
  <c r="CE36" i="21"/>
  <c r="CE13" i="21"/>
  <c r="CE15" i="21"/>
  <c r="CE29" i="21"/>
  <c r="CE10" i="21"/>
  <c r="CE35" i="21"/>
  <c r="CE31" i="21"/>
  <c r="CE25" i="21"/>
  <c r="CE23" i="21"/>
  <c r="CE43" i="21"/>
  <c r="CE16" i="3"/>
  <c r="CE18" i="3"/>
  <c r="CE19" i="3"/>
  <c r="CE20" i="3"/>
  <c r="CE8" i="3"/>
  <c r="CE12" i="3"/>
  <c r="CE29" i="3"/>
  <c r="CE6" i="3"/>
  <c r="CE17" i="3"/>
  <c r="CE13" i="3"/>
  <c r="CE24" i="3"/>
  <c r="CE9" i="3"/>
  <c r="CE21" i="3"/>
  <c r="CE10" i="3"/>
  <c r="CE34" i="3"/>
  <c r="CE43" i="3"/>
  <c r="CE36" i="3"/>
  <c r="CE38" i="3"/>
  <c r="CE39" i="3"/>
  <c r="CE37" i="3"/>
  <c r="CE42" i="3"/>
  <c r="CE45" i="3"/>
  <c r="CE28" i="3"/>
  <c r="CE35" i="3"/>
  <c r="CE30" i="3"/>
  <c r="CE26" i="3"/>
  <c r="CE41" i="3"/>
  <c r="CE40" i="3"/>
  <c r="CE33" i="3"/>
  <c r="CE14" i="3"/>
  <c r="CE31" i="3"/>
  <c r="CE7" i="3"/>
  <c r="CE11" i="3"/>
  <c r="CE22" i="3"/>
  <c r="CE32" i="3"/>
  <c r="CE15" i="3"/>
  <c r="CE44" i="3"/>
  <c r="CE25" i="3"/>
  <c r="CE23" i="3"/>
  <c r="CE27" i="3"/>
  <c r="BZ49" i="20"/>
  <c r="CA16" i="20"/>
  <c r="CA32" i="20"/>
  <c r="CA41" i="20"/>
  <c r="CA21" i="20"/>
  <c r="CA45" i="20"/>
  <c r="CA29" i="20"/>
  <c r="CA19" i="20"/>
  <c r="CA30" i="20"/>
  <c r="CA28" i="20"/>
  <c r="CA34" i="20"/>
  <c r="CA37" i="20"/>
  <c r="CA17" i="20"/>
  <c r="CA20" i="20"/>
  <c r="CA15" i="20"/>
  <c r="CA10" i="20"/>
  <c r="CA9" i="20"/>
  <c r="CA31" i="20"/>
  <c r="CA18" i="20"/>
  <c r="CA22" i="20"/>
  <c r="CA40" i="20"/>
  <c r="CA8" i="20"/>
  <c r="CA42" i="20"/>
  <c r="CA13" i="20"/>
  <c r="CA14" i="20"/>
  <c r="CA43" i="20"/>
  <c r="CA39" i="20"/>
  <c r="CA12" i="20"/>
  <c r="CA26" i="20"/>
  <c r="CA7" i="20"/>
  <c r="CA36" i="20"/>
  <c r="CA33" i="20"/>
  <c r="CA35" i="20"/>
  <c r="CA25" i="20"/>
  <c r="CA6" i="20"/>
  <c r="CA24" i="20"/>
  <c r="CA11" i="20"/>
  <c r="CA27" i="20"/>
  <c r="CA38" i="20"/>
  <c r="CA23" i="20"/>
  <c r="CA44" i="20"/>
  <c r="BZ49" i="19"/>
  <c r="CA52" i="21"/>
  <c r="CA5" i="21"/>
  <c r="CC52" i="20"/>
  <c r="CC5" i="20"/>
  <c r="CC46" i="19"/>
  <c r="BZ50" i="19"/>
  <c r="BZ48" i="19"/>
  <c r="CA49" i="21"/>
  <c r="CA5" i="3"/>
  <c r="BZ52" i="20"/>
  <c r="BZ5" i="20"/>
  <c r="BZ46" i="20"/>
  <c r="CD5" i="21"/>
  <c r="CD52" i="21"/>
  <c r="CD49" i="21"/>
  <c r="BV70" i="20"/>
  <c r="BW52" i="19"/>
  <c r="BW5" i="19"/>
  <c r="CC49" i="20"/>
  <c r="CD41" i="20"/>
  <c r="CD3" i="20"/>
  <c r="CD28" i="20"/>
  <c r="CD21" i="20"/>
  <c r="CD16" i="20"/>
  <c r="CD45" i="20"/>
  <c r="CD19" i="20"/>
  <c r="CD18" i="20"/>
  <c r="CD34" i="20"/>
  <c r="CD24" i="20"/>
  <c r="CD37" i="20"/>
  <c r="CD29" i="20"/>
  <c r="CD32" i="20"/>
  <c r="CD30" i="20"/>
  <c r="CD17" i="20"/>
  <c r="CD20" i="20"/>
  <c r="CD15" i="20"/>
  <c r="CD10" i="20"/>
  <c r="CD40" i="20"/>
  <c r="CD9" i="20"/>
  <c r="CD8" i="20"/>
  <c r="CD31" i="20"/>
  <c r="CD13" i="20"/>
  <c r="CD14" i="20"/>
  <c r="CD12" i="20"/>
  <c r="CD43" i="20"/>
  <c r="CD39" i="20"/>
  <c r="CD25" i="20"/>
  <c r="CD23" i="20"/>
  <c r="CD11" i="20"/>
  <c r="CD7" i="20"/>
  <c r="CD36" i="20"/>
  <c r="CD35" i="20"/>
  <c r="CD33" i="20"/>
  <c r="CD26" i="20"/>
  <c r="CD6" i="20"/>
  <c r="CD44" i="20"/>
  <c r="CD42" i="20"/>
  <c r="CD38" i="20"/>
  <c r="CD47" i="20" s="1"/>
  <c r="CD27" i="20"/>
  <c r="CD22" i="20"/>
  <c r="CD48" i="21"/>
  <c r="CD5" i="3"/>
  <c r="CD52" i="3"/>
  <c r="BZ47" i="19"/>
  <c r="BS70" i="19"/>
  <c r="CD3" i="19"/>
  <c r="CD16" i="19"/>
  <c r="CD27" i="19"/>
  <c r="CD37" i="19"/>
  <c r="CD15" i="19"/>
  <c r="CD45" i="19"/>
  <c r="CD21" i="19"/>
  <c r="CD31" i="19"/>
  <c r="CD28" i="19"/>
  <c r="CD25" i="19"/>
  <c r="CD26" i="19"/>
  <c r="CD29" i="19"/>
  <c r="CD34" i="19"/>
  <c r="CD17" i="19"/>
  <c r="CD43" i="19"/>
  <c r="CD6" i="19"/>
  <c r="CD38" i="19"/>
  <c r="CD39" i="19"/>
  <c r="CD40" i="19"/>
  <c r="CD33" i="19"/>
  <c r="CD11" i="19"/>
  <c r="CD19" i="19"/>
  <c r="CD7" i="19"/>
  <c r="CD8" i="19"/>
  <c r="CD42" i="19"/>
  <c r="CD18" i="19"/>
  <c r="CD35" i="19"/>
  <c r="CD14" i="19"/>
  <c r="CD13" i="19"/>
  <c r="CD32" i="19"/>
  <c r="CD10" i="19"/>
  <c r="CD44" i="19"/>
  <c r="CD20" i="19"/>
  <c r="CD9" i="19"/>
  <c r="CD12" i="19"/>
  <c r="CD30" i="19"/>
  <c r="CD41" i="19"/>
  <c r="CD24" i="19"/>
  <c r="CD36" i="19"/>
  <c r="CD23" i="19"/>
  <c r="CD22" i="19"/>
  <c r="CD49" i="3"/>
  <c r="BZ5" i="19"/>
  <c r="BZ52" i="19"/>
  <c r="CC50" i="20"/>
  <c r="CA46" i="21"/>
  <c r="CC48" i="19"/>
  <c r="BW70" i="21"/>
  <c r="CC48" i="20"/>
  <c r="CC46" i="20"/>
  <c r="CA50" i="21"/>
  <c r="CA47" i="21"/>
  <c r="CC50" i="19"/>
  <c r="CA49" i="3"/>
  <c r="CD50" i="3"/>
  <c r="CA21" i="19"/>
  <c r="CA30" i="19"/>
  <c r="CA19" i="19"/>
  <c r="CA25" i="19"/>
  <c r="CA15" i="19"/>
  <c r="CA45" i="19"/>
  <c r="CA41" i="19"/>
  <c r="CA27" i="19"/>
  <c r="CA18" i="19"/>
  <c r="CA16" i="19"/>
  <c r="CA37" i="19"/>
  <c r="CA28" i="19"/>
  <c r="CA26" i="19"/>
  <c r="CA34" i="19"/>
  <c r="CA11" i="19"/>
  <c r="CA43" i="19"/>
  <c r="CA40" i="19"/>
  <c r="CA6" i="19"/>
  <c r="CA7" i="19"/>
  <c r="CA33" i="19"/>
  <c r="CA42" i="19"/>
  <c r="CA29" i="19"/>
  <c r="CA38" i="19"/>
  <c r="CA8" i="19"/>
  <c r="CA14" i="19"/>
  <c r="CA32" i="19"/>
  <c r="CA13" i="19"/>
  <c r="CA10" i="19"/>
  <c r="CA24" i="19"/>
  <c r="CA17" i="19"/>
  <c r="CA9" i="19"/>
  <c r="CA36" i="19"/>
  <c r="CA35" i="19"/>
  <c r="CA20" i="19"/>
  <c r="CA39" i="19"/>
  <c r="CA31" i="19"/>
  <c r="CA23" i="19"/>
  <c r="CA44" i="19"/>
  <c r="CA12" i="19"/>
  <c r="CA22" i="19"/>
  <c r="CC5" i="19"/>
  <c r="CC52" i="19"/>
  <c r="CC47" i="19"/>
  <c r="BW52" i="20"/>
  <c r="BW5" i="20"/>
  <c r="BW49" i="20"/>
  <c r="CD48" i="3"/>
  <c r="D94" i="2"/>
  <c r="C95" i="2"/>
  <c r="BZ47" i="18" l="1"/>
  <c r="BW53" i="18"/>
  <c r="BZ53" i="18"/>
  <c r="CC53" i="18"/>
  <c r="BY53" i="22"/>
  <c r="CD51" i="20"/>
  <c r="CC48" i="18"/>
  <c r="BV50" i="22"/>
  <c r="BV48" i="22"/>
  <c r="BS50" i="22"/>
  <c r="CA51" i="19"/>
  <c r="CD51" i="19"/>
  <c r="CE48" i="23"/>
  <c r="BY48" i="22"/>
  <c r="CB48" i="22"/>
  <c r="CE53" i="23"/>
  <c r="BS53" i="22"/>
  <c r="CB50" i="22"/>
  <c r="BS47" i="22"/>
  <c r="BY46" i="22"/>
  <c r="CE46" i="23"/>
  <c r="BV51" i="22"/>
  <c r="BV47" i="22"/>
  <c r="CE51" i="23"/>
  <c r="CE47" i="23"/>
  <c r="CE51" i="21"/>
  <c r="BW50" i="18"/>
  <c r="CB52" i="22"/>
  <c r="BV49" i="22"/>
  <c r="BS48" i="22"/>
  <c r="BY50" i="22"/>
  <c r="CE49" i="23"/>
  <c r="CB51" i="22"/>
  <c r="CB47" i="22"/>
  <c r="CB46" i="22"/>
  <c r="BS52" i="22"/>
  <c r="BY52" i="22"/>
  <c r="CE52" i="23"/>
  <c r="CA51" i="20"/>
  <c r="CC50" i="18"/>
  <c r="CB53" i="22"/>
  <c r="BV52" i="22"/>
  <c r="BZ50" i="18"/>
  <c r="BS46" i="22"/>
  <c r="BS49" i="22"/>
  <c r="BY49" i="22"/>
  <c r="BY51" i="22"/>
  <c r="BY47" i="22"/>
  <c r="CD50" i="20"/>
  <c r="CE51" i="3"/>
  <c r="CB49" i="22"/>
  <c r="BV46" i="22"/>
  <c r="BV53" i="22"/>
  <c r="BS51" i="22"/>
  <c r="CE50" i="23"/>
  <c r="BZ51" i="18"/>
  <c r="BZ49" i="18"/>
  <c r="BW49" i="18"/>
  <c r="CC49" i="18"/>
  <c r="BW51" i="18"/>
  <c r="BW47" i="18"/>
  <c r="CC51" i="18"/>
  <c r="CC47" i="18"/>
  <c r="BW48" i="18"/>
  <c r="BZ48" i="18"/>
  <c r="BW46" i="18"/>
  <c r="CC46" i="18"/>
  <c r="BZ46" i="18"/>
  <c r="BZ52" i="18"/>
  <c r="CC52" i="18"/>
  <c r="BW52" i="18"/>
  <c r="BW5" i="18"/>
  <c r="BW70" i="18" s="1"/>
  <c r="BV5" i="22"/>
  <c r="BV70" i="22" s="1"/>
  <c r="BW34" i="22"/>
  <c r="BW25" i="22"/>
  <c r="BW42" i="22"/>
  <c r="BW26" i="22"/>
  <c r="BW35" i="22"/>
  <c r="BW18" i="22"/>
  <c r="BW20" i="22"/>
  <c r="BW31" i="22"/>
  <c r="BW13" i="22"/>
  <c r="BW14" i="22"/>
  <c r="BW16" i="22"/>
  <c r="BW32" i="22"/>
  <c r="BW43" i="22"/>
  <c r="BW39" i="22"/>
  <c r="BW27" i="22"/>
  <c r="BW19" i="22"/>
  <c r="BW11" i="22"/>
  <c r="BW6" i="22"/>
  <c r="BW22" i="22"/>
  <c r="BW10" i="22"/>
  <c r="BW21" i="22"/>
  <c r="BW33" i="22"/>
  <c r="BW38" i="22"/>
  <c r="BW29" i="22"/>
  <c r="BW15" i="22"/>
  <c r="BW45" i="22"/>
  <c r="BW37" i="22"/>
  <c r="BW9" i="22"/>
  <c r="BW12" i="22"/>
  <c r="BW30" i="22"/>
  <c r="BW41" i="22"/>
  <c r="BW23" i="22"/>
  <c r="BW8" i="22"/>
  <c r="BW44" i="22"/>
  <c r="BW36" i="22"/>
  <c r="BW17" i="22"/>
  <c r="BW28" i="22"/>
  <c r="BW40" i="22"/>
  <c r="BW7" i="22"/>
  <c r="BW24" i="22"/>
  <c r="BS5" i="22"/>
  <c r="BS70" i="22" s="1"/>
  <c r="CD29" i="18"/>
  <c r="CD28" i="18"/>
  <c r="CD8" i="18"/>
  <c r="CD6" i="18"/>
  <c r="CD44" i="18"/>
  <c r="CD45" i="18"/>
  <c r="CD30" i="18"/>
  <c r="CD13" i="18"/>
  <c r="CD10" i="18"/>
  <c r="CD27" i="18"/>
  <c r="CD17" i="18"/>
  <c r="CD37" i="18"/>
  <c r="CD22" i="18"/>
  <c r="CD23" i="18"/>
  <c r="CD31" i="18"/>
  <c r="CD3" i="18"/>
  <c r="CD34" i="18"/>
  <c r="CD33" i="18"/>
  <c r="CD21" i="18"/>
  <c r="CD9" i="18"/>
  <c r="CD18" i="18"/>
  <c r="CD32" i="18"/>
  <c r="CD40" i="18"/>
  <c r="CD25" i="18"/>
  <c r="CD39" i="18"/>
  <c r="CD19" i="18"/>
  <c r="CD15" i="18"/>
  <c r="CD35" i="18"/>
  <c r="CD14" i="18"/>
  <c r="CD42" i="18"/>
  <c r="CD16" i="18"/>
  <c r="CD11" i="18"/>
  <c r="CD20" i="18"/>
  <c r="CD7" i="18"/>
  <c r="CD36" i="18"/>
  <c r="CD24" i="18"/>
  <c r="CD41" i="18"/>
  <c r="CD26" i="18"/>
  <c r="CD12" i="18"/>
  <c r="CD43" i="18"/>
  <c r="CD38" i="18"/>
  <c r="BZ45" i="22"/>
  <c r="BZ33" i="22"/>
  <c r="BZ9" i="22"/>
  <c r="BZ39" i="22"/>
  <c r="BZ14" i="22"/>
  <c r="BZ21" i="22"/>
  <c r="BZ34" i="22"/>
  <c r="BZ31" i="22"/>
  <c r="BZ7" i="22"/>
  <c r="BZ6" i="22"/>
  <c r="BZ3" i="22"/>
  <c r="BZ37" i="22"/>
  <c r="BZ36" i="22"/>
  <c r="BZ26" i="22"/>
  <c r="BZ10" i="22"/>
  <c r="BZ19" i="22"/>
  <c r="BZ17" i="22"/>
  <c r="BZ38" i="22"/>
  <c r="BZ24" i="22"/>
  <c r="BZ27" i="22"/>
  <c r="BZ18" i="22"/>
  <c r="BZ40" i="22"/>
  <c r="BZ43" i="22"/>
  <c r="BZ22" i="22"/>
  <c r="BZ30" i="22"/>
  <c r="BZ25" i="22"/>
  <c r="BZ23" i="22"/>
  <c r="BZ11" i="22"/>
  <c r="BZ42" i="22"/>
  <c r="BZ44" i="22"/>
  <c r="BZ32" i="22"/>
  <c r="BZ28" i="22"/>
  <c r="BZ16" i="22"/>
  <c r="BZ20" i="22"/>
  <c r="BZ8" i="22"/>
  <c r="BZ35" i="22"/>
  <c r="BZ41" i="22"/>
  <c r="BZ29" i="22"/>
  <c r="BZ13" i="22"/>
  <c r="BZ12" i="22"/>
  <c r="BZ15" i="22"/>
  <c r="CE5" i="23"/>
  <c r="CC5" i="18"/>
  <c r="CA16" i="18"/>
  <c r="CA15" i="18"/>
  <c r="CA11" i="18"/>
  <c r="CA27" i="18"/>
  <c r="CA38" i="18"/>
  <c r="CA45" i="18"/>
  <c r="CA20" i="18"/>
  <c r="CA12" i="18"/>
  <c r="CA8" i="18"/>
  <c r="CA25" i="18"/>
  <c r="CA19" i="18"/>
  <c r="CA23" i="18"/>
  <c r="CA29" i="18"/>
  <c r="CA44" i="18"/>
  <c r="CA39" i="18"/>
  <c r="CA18" i="18"/>
  <c r="CA9" i="18"/>
  <c r="CA6" i="18"/>
  <c r="CA31" i="18"/>
  <c r="CA32" i="18"/>
  <c r="CA37" i="18"/>
  <c r="CA33" i="18"/>
  <c r="CA7" i="18"/>
  <c r="CA35" i="18"/>
  <c r="CA30" i="18"/>
  <c r="CA26" i="18"/>
  <c r="CA13" i="18"/>
  <c r="CA10" i="18"/>
  <c r="CA36" i="18"/>
  <c r="CA24" i="18"/>
  <c r="CA34" i="18"/>
  <c r="CA40" i="18"/>
  <c r="CA21" i="18"/>
  <c r="CA14" i="18"/>
  <c r="CA42" i="18"/>
  <c r="CA41" i="18"/>
  <c r="CA17" i="18"/>
  <c r="CA28" i="18"/>
  <c r="CA43" i="18"/>
  <c r="CA22" i="18"/>
  <c r="CC19" i="22"/>
  <c r="CC18" i="22"/>
  <c r="CC29" i="22"/>
  <c r="CC44" i="22"/>
  <c r="CC30" i="22"/>
  <c r="CC45" i="22"/>
  <c r="CC17" i="22"/>
  <c r="CC11" i="22"/>
  <c r="CC42" i="22"/>
  <c r="CC22" i="22"/>
  <c r="CC14" i="22"/>
  <c r="CC41" i="22"/>
  <c r="CC16" i="22"/>
  <c r="CC40" i="22"/>
  <c r="CC9" i="22"/>
  <c r="CC35" i="22"/>
  <c r="CC3" i="22"/>
  <c r="CC20" i="22"/>
  <c r="CC39" i="22"/>
  <c r="CC12" i="22"/>
  <c r="CC36" i="22"/>
  <c r="CC33" i="22"/>
  <c r="CC28" i="22"/>
  <c r="CC7" i="22"/>
  <c r="CC6" i="22"/>
  <c r="CC38" i="22"/>
  <c r="CC21" i="22"/>
  <c r="CC37" i="22"/>
  <c r="CC31" i="22"/>
  <c r="CC26" i="22"/>
  <c r="CC15" i="22"/>
  <c r="CC34" i="22"/>
  <c r="CC25" i="22"/>
  <c r="CC43" i="22"/>
  <c r="CC24" i="22"/>
  <c r="CC10" i="22"/>
  <c r="CC32" i="22"/>
  <c r="CC23" i="22"/>
  <c r="CC8" i="22"/>
  <c r="CC13" i="22"/>
  <c r="CC27" i="22"/>
  <c r="CB5" i="22"/>
  <c r="BY5" i="22"/>
  <c r="BZ5" i="18"/>
  <c r="CD53" i="19"/>
  <c r="CA46" i="20"/>
  <c r="CD53" i="20"/>
  <c r="CA50" i="20"/>
  <c r="CE53" i="3"/>
  <c r="CE50" i="3"/>
  <c r="CA53" i="19"/>
  <c r="CD48" i="20"/>
  <c r="CD49" i="19"/>
  <c r="CD46" i="19"/>
  <c r="CD48" i="19"/>
  <c r="CA47" i="20"/>
  <c r="CA53" i="20"/>
  <c r="CE53" i="21"/>
  <c r="CA47" i="19"/>
  <c r="CE49" i="21"/>
  <c r="CE47" i="21"/>
  <c r="CA50" i="19"/>
  <c r="CA48" i="19"/>
  <c r="CE46" i="21"/>
  <c r="CE28" i="19"/>
  <c r="CE21" i="19"/>
  <c r="CE29" i="19"/>
  <c r="CE26" i="19"/>
  <c r="CE45" i="19"/>
  <c r="CE16" i="19"/>
  <c r="CE37" i="19"/>
  <c r="CE25" i="19"/>
  <c r="CE34" i="19"/>
  <c r="CE27" i="19"/>
  <c r="CE33" i="19"/>
  <c r="CE38" i="19"/>
  <c r="CE11" i="19"/>
  <c r="CE15" i="19"/>
  <c r="CE43" i="19"/>
  <c r="CE6" i="19"/>
  <c r="CE40" i="19"/>
  <c r="CE32" i="19"/>
  <c r="CE7" i="19"/>
  <c r="CE42" i="19"/>
  <c r="CE8" i="19"/>
  <c r="CE19" i="19"/>
  <c r="CE13" i="19"/>
  <c r="CE14" i="19"/>
  <c r="CE10" i="19"/>
  <c r="CE36" i="19"/>
  <c r="CE17" i="19"/>
  <c r="CE20" i="19"/>
  <c r="CE30" i="19"/>
  <c r="CE35" i="19"/>
  <c r="CE18" i="19"/>
  <c r="CE41" i="19"/>
  <c r="CE9" i="19"/>
  <c r="CE12" i="19"/>
  <c r="CE44" i="19"/>
  <c r="CE39" i="19"/>
  <c r="CE31" i="19"/>
  <c r="CE24" i="19"/>
  <c r="CE23" i="19"/>
  <c r="CE22" i="19"/>
  <c r="CE47" i="3"/>
  <c r="CE52" i="21"/>
  <c r="CE5" i="21"/>
  <c r="CD46" i="20"/>
  <c r="CA52" i="20"/>
  <c r="CA5" i="20"/>
  <c r="CE16" i="20"/>
  <c r="CE28" i="20"/>
  <c r="CE21" i="20"/>
  <c r="CE45" i="20"/>
  <c r="CE41" i="20"/>
  <c r="CE19" i="20"/>
  <c r="CE34" i="20"/>
  <c r="CE29" i="20"/>
  <c r="CE37" i="20"/>
  <c r="CE30" i="20"/>
  <c r="CE17" i="20"/>
  <c r="CE10" i="20"/>
  <c r="CE43" i="20"/>
  <c r="CE18" i="20"/>
  <c r="CE40" i="20"/>
  <c r="CE9" i="20"/>
  <c r="CE8" i="20"/>
  <c r="CE13" i="20"/>
  <c r="CE14" i="20"/>
  <c r="CE32" i="20"/>
  <c r="CE12" i="20"/>
  <c r="CE39" i="20"/>
  <c r="CE15" i="20"/>
  <c r="CE25" i="20"/>
  <c r="CE20" i="20"/>
  <c r="CE26" i="20"/>
  <c r="CE7" i="20"/>
  <c r="CE36" i="20"/>
  <c r="CE31" i="20"/>
  <c r="CE35" i="20"/>
  <c r="CE33" i="20"/>
  <c r="CE11" i="20"/>
  <c r="CE6" i="20"/>
  <c r="CE24" i="20"/>
  <c r="CE44" i="20"/>
  <c r="CE42" i="20"/>
  <c r="CE23" i="20"/>
  <c r="CE38" i="20"/>
  <c r="CE27" i="20"/>
  <c r="CE22" i="20"/>
  <c r="BW70" i="20"/>
  <c r="CA49" i="19"/>
  <c r="CD52" i="20"/>
  <c r="CD5" i="20"/>
  <c r="CE49" i="3"/>
  <c r="CE48" i="21"/>
  <c r="BW70" i="19"/>
  <c r="CA49" i="20"/>
  <c r="CE46" i="3"/>
  <c r="CA46" i="19"/>
  <c r="CD47" i="19"/>
  <c r="CD49" i="20"/>
  <c r="CA5" i="19"/>
  <c r="CA52" i="19"/>
  <c r="CD52" i="19"/>
  <c r="CD5" i="19"/>
  <c r="CE48" i="3"/>
  <c r="CD50" i="19"/>
  <c r="CA48" i="20"/>
  <c r="CE52" i="3"/>
  <c r="CE5" i="3"/>
  <c r="CE50" i="21"/>
  <c r="C96" i="2"/>
  <c r="D95" i="2"/>
  <c r="CE47" i="20" l="1"/>
  <c r="BW50" i="22"/>
  <c r="CA53" i="18"/>
  <c r="CD53" i="18"/>
  <c r="CA50" i="18"/>
  <c r="CC47" i="22"/>
  <c r="CA48" i="18"/>
  <c r="CE51" i="20"/>
  <c r="BZ48" i="22"/>
  <c r="BZ50" i="22"/>
  <c r="CE51" i="19"/>
  <c r="BW52" i="22"/>
  <c r="CC49" i="22"/>
  <c r="BW46" i="22"/>
  <c r="BW53" i="22"/>
  <c r="BZ53" i="22"/>
  <c r="BW51" i="22"/>
  <c r="BW47" i="22"/>
  <c r="BZ52" i="22"/>
  <c r="BZ49" i="22"/>
  <c r="BW49" i="22"/>
  <c r="CC50" i="22"/>
  <c r="BZ51" i="22"/>
  <c r="CE48" i="20"/>
  <c r="CC46" i="22"/>
  <c r="BZ46" i="22"/>
  <c r="BW48" i="22"/>
  <c r="CC52" i="22"/>
  <c r="CC48" i="22"/>
  <c r="CC53" i="22"/>
  <c r="CC51" i="22"/>
  <c r="BZ47" i="22"/>
  <c r="CD50" i="18"/>
  <c r="CD49" i="18"/>
  <c r="CA49" i="18"/>
  <c r="CD51" i="18"/>
  <c r="CD47" i="18"/>
  <c r="CA51" i="18"/>
  <c r="CA47" i="18"/>
  <c r="CD48" i="18"/>
  <c r="CD46" i="18"/>
  <c r="CA46" i="18"/>
  <c r="CA52" i="18"/>
  <c r="CD52" i="18"/>
  <c r="CC5" i="22"/>
  <c r="CD3" i="22"/>
  <c r="CD29" i="22"/>
  <c r="CD40" i="22"/>
  <c r="CD9" i="22"/>
  <c r="CD15" i="22"/>
  <c r="CD41" i="22"/>
  <c r="CD37" i="22"/>
  <c r="CD31" i="22"/>
  <c r="CD39" i="22"/>
  <c r="CD32" i="22"/>
  <c r="CD34" i="22"/>
  <c r="CD23" i="22"/>
  <c r="CD12" i="22"/>
  <c r="CD26" i="22"/>
  <c r="CD10" i="22"/>
  <c r="CD16" i="22"/>
  <c r="CD25" i="22"/>
  <c r="CD36" i="22"/>
  <c r="CD13" i="22"/>
  <c r="CD14" i="22"/>
  <c r="CD19" i="22"/>
  <c r="CD11" i="22"/>
  <c r="CD42" i="22"/>
  <c r="CD38" i="22"/>
  <c r="CD35" i="22"/>
  <c r="CD17" i="22"/>
  <c r="CD18" i="22"/>
  <c r="CD22" i="22"/>
  <c r="CD24" i="22"/>
  <c r="CD27" i="22"/>
  <c r="CD21" i="22"/>
  <c r="CD33" i="22"/>
  <c r="CD7" i="22"/>
  <c r="CD43" i="22"/>
  <c r="CD30" i="22"/>
  <c r="CD6" i="22"/>
  <c r="CD28" i="22"/>
  <c r="CD45" i="22"/>
  <c r="CD20" i="22"/>
  <c r="CD8" i="22"/>
  <c r="CD44" i="22"/>
  <c r="CA29" i="22"/>
  <c r="CA18" i="22"/>
  <c r="CA12" i="22"/>
  <c r="CA22" i="22"/>
  <c r="CA15" i="22"/>
  <c r="CA16" i="22"/>
  <c r="CA20" i="22"/>
  <c r="CA31" i="22"/>
  <c r="CA38" i="22"/>
  <c r="CA30" i="22"/>
  <c r="CA37" i="22"/>
  <c r="CA32" i="22"/>
  <c r="CA11" i="22"/>
  <c r="CA24" i="22"/>
  <c r="CA10" i="22"/>
  <c r="CA41" i="22"/>
  <c r="CA34" i="22"/>
  <c r="CA36" i="22"/>
  <c r="CA42" i="22"/>
  <c r="CA44" i="22"/>
  <c r="CA45" i="22"/>
  <c r="CA23" i="22"/>
  <c r="CA40" i="22"/>
  <c r="CA8" i="22"/>
  <c r="CA35" i="22"/>
  <c r="CA21" i="22"/>
  <c r="CA25" i="22"/>
  <c r="CA39" i="22"/>
  <c r="CA26" i="22"/>
  <c r="CA13" i="22"/>
  <c r="CA19" i="22"/>
  <c r="CA28" i="22"/>
  <c r="CA6" i="22"/>
  <c r="CA7" i="22"/>
  <c r="CA14" i="22"/>
  <c r="CA17" i="22"/>
  <c r="CA33" i="22"/>
  <c r="CA43" i="22"/>
  <c r="CA9" i="22"/>
  <c r="CA27" i="22"/>
  <c r="CD5" i="18"/>
  <c r="BZ5" i="22"/>
  <c r="BW5" i="22"/>
  <c r="CE45" i="18"/>
  <c r="CE11" i="18"/>
  <c r="CE43" i="18"/>
  <c r="CE12" i="18"/>
  <c r="CE32" i="18"/>
  <c r="CE17" i="18"/>
  <c r="CE29" i="18"/>
  <c r="CE38" i="18"/>
  <c r="CE15" i="18"/>
  <c r="CE19" i="18"/>
  <c r="CE20" i="18"/>
  <c r="CE23" i="18"/>
  <c r="CE36" i="18"/>
  <c r="CE30" i="18"/>
  <c r="CE37" i="18"/>
  <c r="CE40" i="18"/>
  <c r="CE35" i="18"/>
  <c r="CE44" i="18"/>
  <c r="CE24" i="18"/>
  <c r="CE18" i="18"/>
  <c r="CE28" i="18"/>
  <c r="CE26" i="18"/>
  <c r="CE31" i="18"/>
  <c r="CE25" i="18"/>
  <c r="CE7" i="18"/>
  <c r="CE9" i="18"/>
  <c r="CE8" i="18"/>
  <c r="CE34" i="18"/>
  <c r="CE21" i="18"/>
  <c r="CE42" i="18"/>
  <c r="CE41" i="18"/>
  <c r="CE33" i="18"/>
  <c r="CE22" i="18"/>
  <c r="CE10" i="18"/>
  <c r="CE14" i="18"/>
  <c r="CE13" i="18"/>
  <c r="CE39" i="18"/>
  <c r="CE16" i="18"/>
  <c r="CE6" i="18"/>
  <c r="CE27" i="18"/>
  <c r="CA5" i="18"/>
  <c r="CF5" i="23"/>
  <c r="CE53" i="20"/>
  <c r="CE50" i="19"/>
  <c r="CE48" i="19"/>
  <c r="CE50" i="20"/>
  <c r="CE53" i="19"/>
  <c r="CE47" i="19"/>
  <c r="CE46" i="20"/>
  <c r="CE52" i="20"/>
  <c r="CE5" i="20"/>
  <c r="CF5" i="21"/>
  <c r="CE49" i="19"/>
  <c r="CF5" i="3"/>
  <c r="CE5" i="19"/>
  <c r="CE52" i="19"/>
  <c r="CE46" i="19"/>
  <c r="CE49" i="20"/>
  <c r="C97" i="2"/>
  <c r="D97" i="2" s="1"/>
  <c r="D96" i="2"/>
  <c r="CE53" i="18" l="1"/>
  <c r="CA53" i="22"/>
  <c r="CD50" i="22"/>
  <c r="CE50" i="18"/>
  <c r="CA50" i="22"/>
  <c r="CD52" i="22"/>
  <c r="CA51" i="22"/>
  <c r="CD51" i="22"/>
  <c r="CD46" i="22"/>
  <c r="CD47" i="22"/>
  <c r="CA52" i="22"/>
  <c r="CD53" i="22"/>
  <c r="CA49" i="22"/>
  <c r="CA47" i="22"/>
  <c r="CA48" i="22"/>
  <c r="CA46" i="22"/>
  <c r="CD48" i="22"/>
  <c r="CD49" i="22"/>
  <c r="CE49" i="18"/>
  <c r="CE51" i="18"/>
  <c r="CE47" i="18"/>
  <c r="CE48" i="18"/>
  <c r="CE46" i="18"/>
  <c r="CE52" i="18"/>
  <c r="R67" i="23"/>
  <c r="AG67" i="23"/>
  <c r="P67" i="23"/>
  <c r="S67" i="23"/>
  <c r="AX67" i="23"/>
  <c r="BE67" i="23"/>
  <c r="BM67" i="23"/>
  <c r="BX67" i="23"/>
  <c r="AZ67" i="23"/>
  <c r="AM67" i="23"/>
  <c r="AI67" i="23"/>
  <c r="AF67" i="23"/>
  <c r="AH67" i="23"/>
  <c r="BB67" i="23"/>
  <c r="BJ67" i="23"/>
  <c r="BR67" i="23"/>
  <c r="J67" i="23"/>
  <c r="U67" i="23"/>
  <c r="AN67" i="23"/>
  <c r="AW67" i="23"/>
  <c r="T67" i="23"/>
  <c r="AC67" i="23"/>
  <c r="AY67" i="23"/>
  <c r="BG67" i="23"/>
  <c r="BO67" i="23"/>
  <c r="BD67" i="23"/>
  <c r="V67" i="23"/>
  <c r="AK67" i="23"/>
  <c r="K67" i="23"/>
  <c r="O67" i="23"/>
  <c r="Z67" i="23"/>
  <c r="BH67" i="23"/>
  <c r="BP67" i="23"/>
  <c r="BU67" i="23"/>
  <c r="Y67" i="23"/>
  <c r="L67" i="23"/>
  <c r="BK67" i="23"/>
  <c r="AV67" i="23"/>
  <c r="H67" i="23"/>
  <c r="BA67" i="23"/>
  <c r="I67" i="23"/>
  <c r="AA67" i="23"/>
  <c r="BC67" i="23"/>
  <c r="BT67" i="23"/>
  <c r="AT67" i="23"/>
  <c r="AS67" i="23"/>
  <c r="AJ67" i="23"/>
  <c r="AE67" i="23"/>
  <c r="Q67" i="23"/>
  <c r="N67" i="23"/>
  <c r="BL67" i="23"/>
  <c r="BQ67" i="23"/>
  <c r="M67" i="23"/>
  <c r="AR67" i="23"/>
  <c r="AL67" i="23"/>
  <c r="AQ67" i="23"/>
  <c r="AP67" i="23"/>
  <c r="AD67" i="23"/>
  <c r="BI67" i="23"/>
  <c r="BN67" i="23"/>
  <c r="BF67" i="23"/>
  <c r="AO67" i="23"/>
  <c r="AU67" i="23"/>
  <c r="W67" i="23"/>
  <c r="X67" i="23"/>
  <c r="AB67" i="23"/>
  <c r="BV67" i="23"/>
  <c r="BY67" i="23"/>
  <c r="CB67" i="23"/>
  <c r="BS67" i="23"/>
  <c r="CC67" i="23"/>
  <c r="BZ67" i="23"/>
  <c r="BW67" i="23"/>
  <c r="CA67" i="23"/>
  <c r="CD67" i="23"/>
  <c r="BW70" i="22"/>
  <c r="CE5" i="18"/>
  <c r="CD5" i="22"/>
  <c r="CE67" i="23"/>
  <c r="CA5" i="22"/>
  <c r="CE19" i="22"/>
  <c r="CE37" i="22"/>
  <c r="CE33" i="22"/>
  <c r="CE35" i="22"/>
  <c r="CE6" i="22"/>
  <c r="CE20" i="22"/>
  <c r="CE40" i="22"/>
  <c r="CE39" i="22"/>
  <c r="CE38" i="22"/>
  <c r="CE24" i="22"/>
  <c r="CE16" i="22"/>
  <c r="CE11" i="22"/>
  <c r="CE44" i="22"/>
  <c r="CE22" i="22"/>
  <c r="CE15" i="22"/>
  <c r="CE18" i="22"/>
  <c r="CE29" i="22"/>
  <c r="CE9" i="22"/>
  <c r="CE12" i="22"/>
  <c r="CE14" i="22"/>
  <c r="CE41" i="22"/>
  <c r="CE34" i="22"/>
  <c r="CE8" i="22"/>
  <c r="CE7" i="22"/>
  <c r="CE10" i="22"/>
  <c r="CE45" i="22"/>
  <c r="CE23" i="22"/>
  <c r="CE31" i="22"/>
  <c r="CE13" i="22"/>
  <c r="CE30" i="22"/>
  <c r="CE25" i="22"/>
  <c r="CE28" i="22"/>
  <c r="CE43" i="22"/>
  <c r="CE26" i="22"/>
  <c r="CE32" i="22"/>
  <c r="CE21" i="22"/>
  <c r="CE17" i="22"/>
  <c r="CE42" i="22"/>
  <c r="CE36" i="22"/>
  <c r="CE27" i="22"/>
  <c r="BH67" i="3"/>
  <c r="T67" i="3"/>
  <c r="X67" i="3"/>
  <c r="P67" i="3"/>
  <c r="AB67" i="3"/>
  <c r="N67" i="3"/>
  <c r="AF67" i="3"/>
  <c r="L67" i="3"/>
  <c r="R67" i="3"/>
  <c r="Y67" i="3"/>
  <c r="AC67" i="3"/>
  <c r="S67" i="3"/>
  <c r="I67" i="3"/>
  <c r="M67" i="3"/>
  <c r="J67" i="3"/>
  <c r="Z67" i="3"/>
  <c r="Q67" i="3"/>
  <c r="AA67" i="3"/>
  <c r="V67" i="3"/>
  <c r="H67" i="3"/>
  <c r="U67" i="3"/>
  <c r="K67" i="3"/>
  <c r="O67" i="3"/>
  <c r="AG67" i="3"/>
  <c r="W67" i="3"/>
  <c r="AJ67" i="3"/>
  <c r="AD67" i="3"/>
  <c r="AE67" i="3"/>
  <c r="AN67" i="3"/>
  <c r="AH67" i="3"/>
  <c r="AK67" i="3"/>
  <c r="AO67" i="3"/>
  <c r="AR67" i="3"/>
  <c r="AI67" i="3"/>
  <c r="AL67" i="3"/>
  <c r="AV67" i="3"/>
  <c r="AM67" i="3"/>
  <c r="AS67" i="3"/>
  <c r="AP67" i="3"/>
  <c r="AW67" i="3"/>
  <c r="AT67" i="3"/>
  <c r="AQ67" i="3"/>
  <c r="AZ67" i="3"/>
  <c r="AU67" i="3"/>
  <c r="BA67" i="3"/>
  <c r="AX67" i="3"/>
  <c r="BD67" i="3"/>
  <c r="AY67" i="3"/>
  <c r="BB67" i="3"/>
  <c r="BC67" i="3"/>
  <c r="BE67" i="3"/>
  <c r="BI67" i="3"/>
  <c r="BF67" i="3"/>
  <c r="BL67" i="3"/>
  <c r="BM67" i="3"/>
  <c r="BJ67" i="3"/>
  <c r="BG67" i="3"/>
  <c r="BP67" i="3"/>
  <c r="BK67" i="3"/>
  <c r="BT67" i="3"/>
  <c r="BN67" i="3"/>
  <c r="BQ67" i="3"/>
  <c r="BO67" i="3"/>
  <c r="BX67" i="3"/>
  <c r="BU67" i="3"/>
  <c r="BR67" i="3"/>
  <c r="BS67" i="3"/>
  <c r="CB67" i="3"/>
  <c r="BV67" i="3"/>
  <c r="BY67" i="3"/>
  <c r="BW67" i="3"/>
  <c r="CC67" i="3"/>
  <c r="BZ67" i="3"/>
  <c r="CD67" i="3"/>
  <c r="CA67" i="3"/>
  <c r="BQ67" i="21"/>
  <c r="H67" i="21"/>
  <c r="W67" i="21"/>
  <c r="Y67" i="21"/>
  <c r="X67" i="21"/>
  <c r="I67" i="21"/>
  <c r="R67" i="21"/>
  <c r="AC67" i="21"/>
  <c r="S67" i="21"/>
  <c r="M67" i="21"/>
  <c r="K67" i="21"/>
  <c r="AF67" i="21"/>
  <c r="L67" i="21"/>
  <c r="AB67" i="21"/>
  <c r="J67" i="21"/>
  <c r="U67" i="21"/>
  <c r="Z67" i="21"/>
  <c r="P67" i="21"/>
  <c r="V67" i="21"/>
  <c r="Q67" i="21"/>
  <c r="N67" i="21"/>
  <c r="T67" i="21"/>
  <c r="O67" i="21"/>
  <c r="AJ67" i="21"/>
  <c r="AD67" i="21"/>
  <c r="AA67" i="21"/>
  <c r="AG67" i="21"/>
  <c r="AN67" i="21"/>
  <c r="AE67" i="21"/>
  <c r="AH67" i="21"/>
  <c r="AK67" i="21"/>
  <c r="AO67" i="21"/>
  <c r="AI67" i="21"/>
  <c r="AR67" i="21"/>
  <c r="AL67" i="21"/>
  <c r="AS67" i="21"/>
  <c r="AM67" i="21"/>
  <c r="AV67" i="21"/>
  <c r="AP67" i="21"/>
  <c r="AT67" i="21"/>
  <c r="AW67" i="21"/>
  <c r="AQ67" i="21"/>
  <c r="AZ67" i="21"/>
  <c r="BA67" i="21"/>
  <c r="AX67" i="21"/>
  <c r="AU67" i="21"/>
  <c r="BD67" i="21"/>
  <c r="AY67" i="21"/>
  <c r="BB67" i="21"/>
  <c r="BE67" i="21"/>
  <c r="BH67" i="21"/>
  <c r="BF67" i="21"/>
  <c r="BI67" i="21"/>
  <c r="BL67" i="21"/>
  <c r="BC67" i="21"/>
  <c r="BG67" i="21"/>
  <c r="BM67" i="21"/>
  <c r="BP67" i="21"/>
  <c r="BJ67" i="21"/>
  <c r="BK67" i="21"/>
  <c r="BN67" i="21"/>
  <c r="BT67" i="21"/>
  <c r="BX67" i="21"/>
  <c r="BR67" i="21"/>
  <c r="BO67" i="21"/>
  <c r="BU67" i="21"/>
  <c r="CB67" i="21"/>
  <c r="BV67" i="21"/>
  <c r="BY67" i="21"/>
  <c r="BS67" i="21"/>
  <c r="BW67" i="21"/>
  <c r="CC67" i="21"/>
  <c r="BZ67" i="21"/>
  <c r="CD67" i="21"/>
  <c r="CA67" i="21"/>
  <c r="CE67" i="21"/>
  <c r="CF5" i="20"/>
  <c r="CE67" i="3"/>
  <c r="CF5" i="19"/>
  <c r="CE67" i="19" s="1"/>
  <c r="CE50" i="22" l="1"/>
  <c r="CE52" i="22"/>
  <c r="CE53" i="22"/>
  <c r="CE51" i="22"/>
  <c r="CE48" i="22"/>
  <c r="CE49" i="22"/>
  <c r="CE46" i="22"/>
  <c r="CE47" i="22"/>
  <c r="CE5" i="22"/>
  <c r="CF5" i="18"/>
  <c r="CE67" i="18" s="1"/>
  <c r="CA67" i="20"/>
  <c r="J67" i="20"/>
  <c r="L67" i="20"/>
  <c r="H67" i="20"/>
  <c r="X67" i="20"/>
  <c r="S67" i="20"/>
  <c r="O67" i="20"/>
  <c r="I67" i="20"/>
  <c r="V67" i="20"/>
  <c r="W67" i="20"/>
  <c r="AB67" i="20"/>
  <c r="U67" i="20"/>
  <c r="P67" i="20"/>
  <c r="T67" i="20"/>
  <c r="Y67" i="20"/>
  <c r="N67" i="20"/>
  <c r="K67" i="20"/>
  <c r="Q67" i="20"/>
  <c r="R67" i="20"/>
  <c r="M67" i="20"/>
  <c r="Z67" i="20"/>
  <c r="AC67" i="20"/>
  <c r="AF67" i="20"/>
  <c r="AJ67" i="20"/>
  <c r="AD67" i="20"/>
  <c r="AA67" i="20"/>
  <c r="AG67" i="20"/>
  <c r="AN67" i="20"/>
  <c r="AH67" i="20"/>
  <c r="AE67" i="20"/>
  <c r="AK67" i="20"/>
  <c r="AO67" i="20"/>
  <c r="AL67" i="20"/>
  <c r="AI67" i="20"/>
  <c r="AR67" i="20"/>
  <c r="AV67" i="20"/>
  <c r="AS67" i="20"/>
  <c r="AM67" i="20"/>
  <c r="AP67" i="20"/>
  <c r="AQ67" i="20"/>
  <c r="AW67" i="20"/>
  <c r="AT67" i="20"/>
  <c r="AZ67" i="20"/>
  <c r="BA67" i="20"/>
  <c r="AX67" i="20"/>
  <c r="BD67" i="20"/>
  <c r="AU67" i="20"/>
  <c r="BE67" i="20"/>
  <c r="BH67" i="20"/>
  <c r="BB67" i="20"/>
  <c r="AY67" i="20"/>
  <c r="BI67" i="20"/>
  <c r="BC67" i="20"/>
  <c r="BL67" i="20"/>
  <c r="BF67" i="20"/>
  <c r="BP67" i="20"/>
  <c r="BG67" i="20"/>
  <c r="BJ67" i="20"/>
  <c r="BM67" i="20"/>
  <c r="BT67" i="20"/>
  <c r="BQ67" i="20"/>
  <c r="BN67" i="20"/>
  <c r="BK67" i="20"/>
  <c r="BR67" i="20"/>
  <c r="BU67" i="20"/>
  <c r="BO67" i="20"/>
  <c r="BX67" i="20"/>
  <c r="BS67" i="20"/>
  <c r="BV67" i="20"/>
  <c r="BY67" i="20"/>
  <c r="CB67" i="20"/>
  <c r="BZ67" i="20"/>
  <c r="CC67" i="20"/>
  <c r="BW67" i="20"/>
  <c r="CD67" i="20"/>
  <c r="CE67" i="20"/>
  <c r="I67" i="19"/>
  <c r="P67" i="19"/>
  <c r="W67" i="19"/>
  <c r="U67" i="19"/>
  <c r="AB67" i="19"/>
  <c r="N67" i="19"/>
  <c r="J67" i="19"/>
  <c r="X67" i="19"/>
  <c r="T67" i="19"/>
  <c r="R67" i="19"/>
  <c r="S67" i="19"/>
  <c r="M67" i="19"/>
  <c r="K67" i="19"/>
  <c r="V67" i="19"/>
  <c r="L67" i="19"/>
  <c r="H67" i="19"/>
  <c r="Y67" i="19"/>
  <c r="O67" i="19"/>
  <c r="Q67" i="19"/>
  <c r="AF67" i="19"/>
  <c r="Z67" i="19"/>
  <c r="AC67" i="19"/>
  <c r="AD67" i="19"/>
  <c r="AG67" i="19"/>
  <c r="AJ67" i="19"/>
  <c r="AA67" i="19"/>
  <c r="AN67" i="19"/>
  <c r="AH67" i="19"/>
  <c r="AK67" i="19"/>
  <c r="AE67" i="19"/>
  <c r="AL67" i="19"/>
  <c r="AO67" i="19"/>
  <c r="AR67" i="19"/>
  <c r="AI67" i="19"/>
  <c r="AP67" i="19"/>
  <c r="AS67" i="19"/>
  <c r="AM67" i="19"/>
  <c r="AV67" i="19"/>
  <c r="AQ67" i="19"/>
  <c r="AW67" i="19"/>
  <c r="AZ67" i="19"/>
  <c r="AT67" i="19"/>
  <c r="AU67" i="19"/>
  <c r="BD67" i="19"/>
  <c r="BA67" i="19"/>
  <c r="AX67" i="19"/>
  <c r="AY67" i="19"/>
  <c r="BE67" i="19"/>
  <c r="BB67" i="19"/>
  <c r="BH67" i="19"/>
  <c r="BL67" i="19"/>
  <c r="BC67" i="19"/>
  <c r="BI67" i="19"/>
  <c r="BF67" i="19"/>
  <c r="BP67" i="19"/>
  <c r="BG67" i="19"/>
  <c r="BJ67" i="19"/>
  <c r="BM67" i="19"/>
  <c r="BT67" i="19"/>
  <c r="BN67" i="19"/>
  <c r="BK67" i="19"/>
  <c r="BQ67" i="19"/>
  <c r="BO67" i="19"/>
  <c r="BR67" i="19"/>
  <c r="BX67" i="19"/>
  <c r="BU67" i="19"/>
  <c r="BV67" i="19"/>
  <c r="CB67" i="19"/>
  <c r="BS67" i="19"/>
  <c r="BY67" i="19"/>
  <c r="CC67" i="19"/>
  <c r="BW67" i="19"/>
  <c r="BZ67" i="19"/>
  <c r="CA67" i="19"/>
  <c r="CD67" i="19"/>
  <c r="CA67" i="18" l="1"/>
  <c r="U67" i="18"/>
  <c r="O67" i="18"/>
  <c r="I67" i="18"/>
  <c r="AK67" i="18"/>
  <c r="AS67" i="18"/>
  <c r="BD67" i="18"/>
  <c r="BL67" i="18"/>
  <c r="BT67" i="18"/>
  <c r="AB67" i="18"/>
  <c r="V67" i="18"/>
  <c r="T67" i="18"/>
  <c r="AN67" i="18"/>
  <c r="AM67" i="18"/>
  <c r="AU67" i="18"/>
  <c r="BF67" i="18"/>
  <c r="BK67" i="18"/>
  <c r="CB67" i="18"/>
  <c r="Z67" i="18"/>
  <c r="AF67" i="18"/>
  <c r="P67" i="18"/>
  <c r="H67" i="18"/>
  <c r="AR67" i="18"/>
  <c r="AT67" i="18"/>
  <c r="AY67" i="18"/>
  <c r="BJ67" i="18"/>
  <c r="BU67" i="18"/>
  <c r="CC67" i="18"/>
  <c r="AJ67" i="18"/>
  <c r="AO67" i="18"/>
  <c r="AZ67" i="18"/>
  <c r="BE67" i="18"/>
  <c r="BG67" i="18"/>
  <c r="BW67" i="18"/>
  <c r="Y67" i="18"/>
  <c r="R67" i="18"/>
  <c r="AC67" i="18"/>
  <c r="AI67" i="18"/>
  <c r="AW67" i="18"/>
  <c r="BB67" i="18"/>
  <c r="BM67" i="18"/>
  <c r="BR67" i="18"/>
  <c r="BZ67" i="18"/>
  <c r="K67" i="18"/>
  <c r="BX67" i="18"/>
  <c r="X67" i="18"/>
  <c r="S67" i="18"/>
  <c r="J67" i="18"/>
  <c r="AD67" i="18"/>
  <c r="AE67" i="18"/>
  <c r="AL67" i="18"/>
  <c r="AQ67" i="18"/>
  <c r="BH67" i="18"/>
  <c r="BP67" i="18"/>
  <c r="BO67" i="18"/>
  <c r="Q67" i="18"/>
  <c r="N67" i="18"/>
  <c r="W67" i="18"/>
  <c r="AA67" i="18"/>
  <c r="AV67" i="18"/>
  <c r="BA67" i="18"/>
  <c r="BC67" i="18"/>
  <c r="BN67" i="18"/>
  <c r="BS67" i="18"/>
  <c r="BV67" i="18"/>
  <c r="AG67" i="18"/>
  <c r="M67" i="18"/>
  <c r="L67" i="18"/>
  <c r="AH67" i="18"/>
  <c r="AP67" i="18"/>
  <c r="AX67" i="18"/>
  <c r="BI67" i="18"/>
  <c r="BQ67" i="18"/>
  <c r="BY67" i="18"/>
  <c r="CD67" i="18"/>
  <c r="CF5" i="22"/>
  <c r="R67" i="22" l="1"/>
  <c r="AC67" i="22"/>
  <c r="AG67" i="22"/>
  <c r="AK67" i="22"/>
  <c r="AP67" i="22"/>
  <c r="BD67" i="22"/>
  <c r="BT67" i="22"/>
  <c r="BS67" i="22"/>
  <c r="AB67" i="22"/>
  <c r="P67" i="22"/>
  <c r="Y67" i="22"/>
  <c r="AH67" i="22"/>
  <c r="AM67" i="22"/>
  <c r="AX67" i="22"/>
  <c r="BL67" i="22"/>
  <c r="BQ67" i="22"/>
  <c r="BY67" i="22"/>
  <c r="Z67" i="22"/>
  <c r="I67" i="22"/>
  <c r="K67" i="22"/>
  <c r="AE67" i="22"/>
  <c r="AV67" i="22"/>
  <c r="AU67" i="22"/>
  <c r="BF67" i="22"/>
  <c r="BK67" i="22"/>
  <c r="CB67" i="22"/>
  <c r="BE67" i="22"/>
  <c r="T67" i="22"/>
  <c r="W67" i="22"/>
  <c r="N67" i="22"/>
  <c r="AN67" i="22"/>
  <c r="AS67" i="22"/>
  <c r="BA67" i="22"/>
  <c r="BC67" i="22"/>
  <c r="BN67" i="22"/>
  <c r="BV67" i="22"/>
  <c r="V67" i="22"/>
  <c r="AJ67" i="22"/>
  <c r="AD67" i="22"/>
  <c r="AI67" i="22"/>
  <c r="AW67" i="22"/>
  <c r="BG67" i="22"/>
  <c r="BO67" i="22"/>
  <c r="X67" i="22"/>
  <c r="M67" i="22"/>
  <c r="AA67" i="22"/>
  <c r="AL67" i="22"/>
  <c r="AQ67" i="22"/>
  <c r="AY67" i="22"/>
  <c r="BM67" i="22"/>
  <c r="BU67" i="22"/>
  <c r="O67" i="22"/>
  <c r="H67" i="22"/>
  <c r="S67" i="22"/>
  <c r="Q67" i="22"/>
  <c r="AR67" i="22"/>
  <c r="AT67" i="22"/>
  <c r="BB67" i="22"/>
  <c r="BP67" i="22"/>
  <c r="BR67" i="22"/>
  <c r="J67" i="22"/>
  <c r="AF67" i="22"/>
  <c r="U67" i="22"/>
  <c r="L67" i="22"/>
  <c r="AO67" i="22"/>
  <c r="AZ67" i="22"/>
  <c r="BH67" i="22"/>
  <c r="BJ67" i="22"/>
  <c r="BX67" i="22"/>
  <c r="BI67" i="22"/>
  <c r="CC67" i="22"/>
  <c r="BW67" i="22"/>
  <c r="BZ67" i="22"/>
  <c r="CD67" i="22"/>
  <c r="CA67" i="22"/>
  <c r="CE67" i="22"/>
</calcChain>
</file>

<file path=xl/sharedStrings.xml><?xml version="1.0" encoding="utf-8"?>
<sst xmlns="http://schemas.openxmlformats.org/spreadsheetml/2006/main" count="441" uniqueCount="231">
  <si>
    <t>E</t>
  </si>
  <si>
    <t>U</t>
  </si>
  <si>
    <t>ORE</t>
  </si>
  <si>
    <t>NOMINATIVO</t>
  </si>
  <si>
    <t>REP.</t>
  </si>
  <si>
    <t>TOTALE SETTIMANA</t>
  </si>
  <si>
    <t>AL</t>
  </si>
  <si>
    <t>∑</t>
  </si>
  <si>
    <t>∆</t>
  </si>
  <si>
    <t>REPARTO</t>
  </si>
  <si>
    <t>SCATOLAME</t>
  </si>
  <si>
    <t>CARNE</t>
  </si>
  <si>
    <t>ORTOFRUTTA</t>
  </si>
  <si>
    <t>LATTICINI</t>
  </si>
  <si>
    <t>PESCE</t>
  </si>
  <si>
    <t>PANETTERIA</t>
  </si>
  <si>
    <t>CASSE</t>
  </si>
  <si>
    <t>SERVIZI GENERALI</t>
  </si>
  <si>
    <t>TESSILE</t>
  </si>
  <si>
    <t>TOTALE</t>
  </si>
  <si>
    <t>x</t>
  </si>
  <si>
    <t>NASTRO ORARIO &gt; 13 h</t>
  </si>
  <si>
    <t>MANCATO RIPOSO SETTIMANALE</t>
  </si>
  <si>
    <t>Suggerimenti:</t>
  </si>
  <si>
    <t>Ore</t>
  </si>
  <si>
    <t>%</t>
  </si>
  <si>
    <t>Domenica</t>
  </si>
  <si>
    <t>Lunedì</t>
  </si>
  <si>
    <t>Martedì</t>
  </si>
  <si>
    <t>Mercoledì</t>
  </si>
  <si>
    <t>Giovedì</t>
  </si>
  <si>
    <t>Venerdì</t>
  </si>
  <si>
    <t>Sabato</t>
  </si>
  <si>
    <t>DOM</t>
  </si>
  <si>
    <t>% Vendite 15'</t>
  </si>
  <si>
    <t>% Copertura</t>
  </si>
  <si>
    <t>P.O.L.</t>
  </si>
  <si>
    <t>t</t>
  </si>
  <si>
    <t>SUPERAMENTO 48° ORA SETTIMANALE</t>
  </si>
  <si>
    <t>a</t>
  </si>
  <si>
    <t>LEGENDA COLORI:</t>
  </si>
  <si>
    <t>DOMENICA</t>
  </si>
  <si>
    <t>LUNEDÌ</t>
  </si>
  <si>
    <t>MARTEDÌ</t>
  </si>
  <si>
    <t>MERCOLEDÌ</t>
  </si>
  <si>
    <t>GIOVEDÌ</t>
  </si>
  <si>
    <t>VENERDÌ</t>
  </si>
  <si>
    <t>SABATO</t>
  </si>
  <si>
    <t>RN</t>
  </si>
  <si>
    <t>% RN</t>
  </si>
  <si>
    <t xml:space="preserve">Ore </t>
  </si>
  <si>
    <t>INPUT RN</t>
  </si>
  <si>
    <t xml:space="preserve">RIPOSO GIORNALIERO &lt; 11h </t>
  </si>
  <si>
    <t>VALORI</t>
  </si>
  <si>
    <t>Ricavi Netti</t>
  </si>
  <si>
    <t>dom</t>
  </si>
  <si>
    <t>lun</t>
  </si>
  <si>
    <t>mar</t>
  </si>
  <si>
    <t>mer</t>
  </si>
  <si>
    <t>gio</t>
  </si>
  <si>
    <t>ven</t>
  </si>
  <si>
    <t>sab</t>
  </si>
  <si>
    <t>fascia</t>
  </si>
  <si>
    <t>NORMALE-IPG</t>
  </si>
  <si>
    <t>ESTIVA-FPG</t>
  </si>
  <si>
    <t>ESTIVA-IPG</t>
  </si>
  <si>
    <t>ESTIVA-IPL</t>
  </si>
  <si>
    <t>ESTIVA-STC</t>
  </si>
  <si>
    <t>INVERNALE-FPG</t>
  </si>
  <si>
    <t>INVERNALE-IPG</t>
  </si>
  <si>
    <t>INVERNALE-IPL</t>
  </si>
  <si>
    <t>INVERNALE-STC</t>
  </si>
  <si>
    <t>NATALE-STC</t>
  </si>
  <si>
    <t>NORMALE-FPG</t>
  </si>
  <si>
    <t>NORMALE-IPL</t>
  </si>
  <si>
    <t>NORMALE-STC</t>
  </si>
  <si>
    <t>cod</t>
  </si>
  <si>
    <t>stagione tipo</t>
  </si>
  <si>
    <t>rep</t>
  </si>
  <si>
    <t>PAM-Panorama - Direzione Risorse Umane</t>
  </si>
  <si>
    <t>GROCERY SURG</t>
  </si>
  <si>
    <t>LATTICINI CREMERIA</t>
  </si>
  <si>
    <t>FORNO</t>
  </si>
  <si>
    <t>NOFOOD</t>
  </si>
  <si>
    <t>TOTALE NEGOZIO</t>
  </si>
  <si>
    <t>0036</t>
  </si>
  <si>
    <t>0037</t>
  </si>
  <si>
    <t>0040</t>
  </si>
  <si>
    <t>0043</t>
  </si>
  <si>
    <t>0046</t>
  </si>
  <si>
    <t>0047</t>
  </si>
  <si>
    <t>0082</t>
  </si>
  <si>
    <t>0289</t>
  </si>
  <si>
    <t>0296</t>
  </si>
  <si>
    <t>0328</t>
  </si>
  <si>
    <t>0482</t>
  </si>
  <si>
    <t>1483</t>
  </si>
  <si>
    <t>1485</t>
  </si>
  <si>
    <t>0032</t>
  </si>
  <si>
    <t>0042</t>
  </si>
  <si>
    <t>0049</t>
  </si>
  <si>
    <t>0051</t>
  </si>
  <si>
    <t>0054</t>
  </si>
  <si>
    <t>0227</t>
  </si>
  <si>
    <t>0407</t>
  </si>
  <si>
    <t>0818</t>
  </si>
  <si>
    <t>0834</t>
  </si>
  <si>
    <t>0836</t>
  </si>
  <si>
    <t>0864</t>
  </si>
  <si>
    <t>0001</t>
  </si>
  <si>
    <t>0002</t>
  </si>
  <si>
    <t>0003</t>
  </si>
  <si>
    <t>0004</t>
  </si>
  <si>
    <t>0005</t>
  </si>
  <si>
    <t>0006</t>
  </si>
  <si>
    <t>0015</t>
  </si>
  <si>
    <t>0016</t>
  </si>
  <si>
    <t>0017</t>
  </si>
  <si>
    <t>0018</t>
  </si>
  <si>
    <t>0019</t>
  </si>
  <si>
    <t>0020</t>
  </si>
  <si>
    <t>0021</t>
  </si>
  <si>
    <t>0022</t>
  </si>
  <si>
    <t>0327</t>
  </si>
  <si>
    <t>0369</t>
  </si>
  <si>
    <t>0007</t>
  </si>
  <si>
    <t>0008</t>
  </si>
  <si>
    <t>0010</t>
  </si>
  <si>
    <t>0011</t>
  </si>
  <si>
    <t>0012</t>
  </si>
  <si>
    <t>0013</t>
  </si>
  <si>
    <t>0014</t>
  </si>
  <si>
    <t>0025</t>
  </si>
  <si>
    <t>0028</t>
  </si>
  <si>
    <t>0050</t>
  </si>
  <si>
    <t>0073</t>
  </si>
  <si>
    <t>0326</t>
  </si>
  <si>
    <t>0484</t>
  </si>
  <si>
    <t>0504</t>
  </si>
  <si>
    <t>0658</t>
  </si>
  <si>
    <t>0660</t>
  </si>
  <si>
    <t>0840</t>
  </si>
  <si>
    <t>0848</t>
  </si>
  <si>
    <t>0865</t>
  </si>
  <si>
    <t>0404</t>
  </si>
  <si>
    <t>0437</t>
  </si>
  <si>
    <t>0485</t>
  </si>
  <si>
    <t>0710</t>
  </si>
  <si>
    <t>0711</t>
  </si>
  <si>
    <t>0712</t>
  </si>
  <si>
    <t>0713</t>
  </si>
  <si>
    <t>0725</t>
  </si>
  <si>
    <t>0726</t>
  </si>
  <si>
    <t>0761</t>
  </si>
  <si>
    <t>0763</t>
  </si>
  <si>
    <t>0765</t>
  </si>
  <si>
    <t>0153</t>
  </si>
  <si>
    <t>0157</t>
  </si>
  <si>
    <t>0499</t>
  </si>
  <si>
    <t>0720</t>
  </si>
  <si>
    <t>0732</t>
  </si>
  <si>
    <t>0735</t>
  </si>
  <si>
    <t>0738</t>
  </si>
  <si>
    <t>0742</t>
  </si>
  <si>
    <t>0767</t>
  </si>
  <si>
    <t>0771</t>
  </si>
  <si>
    <t>1492</t>
  </si>
  <si>
    <t>0024</t>
  </si>
  <si>
    <t>0088</t>
  </si>
  <si>
    <t>0200</t>
  </si>
  <si>
    <t>0225</t>
  </si>
  <si>
    <t>0300</t>
  </si>
  <si>
    <t>0321</t>
  </si>
  <si>
    <t>0366</t>
  </si>
  <si>
    <t>0531</t>
  </si>
  <si>
    <t>0632</t>
  </si>
  <si>
    <t>0068</t>
  </si>
  <si>
    <t>0410</t>
  </si>
  <si>
    <t>0532</t>
  </si>
  <si>
    <t>0625</t>
  </si>
  <si>
    <t>0729</t>
  </si>
  <si>
    <t>1486</t>
  </si>
  <si>
    <t>0323</t>
  </si>
  <si>
    <t>0423</t>
  </si>
  <si>
    <t>0530</t>
  </si>
  <si>
    <t>0533</t>
  </si>
  <si>
    <t>0701</t>
  </si>
  <si>
    <t>0714</t>
  </si>
  <si>
    <t>0721</t>
  </si>
  <si>
    <t>0727</t>
  </si>
  <si>
    <t>0730</t>
  </si>
  <si>
    <t>0731</t>
  </si>
  <si>
    <t>0734</t>
  </si>
  <si>
    <t>0739</t>
  </si>
  <si>
    <t>0173</t>
  </si>
  <si>
    <t>0228</t>
  </si>
  <si>
    <t>0229</t>
  </si>
  <si>
    <t>0297</t>
  </si>
  <si>
    <t>0301</t>
  </si>
  <si>
    <t>0322</t>
  </si>
  <si>
    <t>0438</t>
  </si>
  <si>
    <t>0512</t>
  </si>
  <si>
    <t>0570</t>
  </si>
  <si>
    <t>0597</t>
  </si>
  <si>
    <t>0420</t>
  </si>
  <si>
    <t>0421</t>
  </si>
  <si>
    <t>0659</t>
  </si>
  <si>
    <t>0662</t>
  </si>
  <si>
    <t>0663</t>
  </si>
  <si>
    <t>1491</t>
  </si>
  <si>
    <t>NEGOZIO</t>
  </si>
  <si>
    <t>RUSSO ANTONELLA</t>
  </si>
  <si>
    <t>PIANTA LISA</t>
  </si>
  <si>
    <t>ALAM ARA</t>
  </si>
  <si>
    <t>BONATO ANGELO</t>
  </si>
  <si>
    <t>SALVATO CRISTIAN</t>
  </si>
  <si>
    <t>VALENTINI TAMARA</t>
  </si>
  <si>
    <t>BALDAZZI ENRICO</t>
  </si>
  <si>
    <t>SARTORATO TATIANA</t>
  </si>
  <si>
    <t>GREGGIO MONICA</t>
  </si>
  <si>
    <t>RACCAGNI CRISTIANA</t>
  </si>
  <si>
    <t>LO BELLO ENRICHETTA</t>
  </si>
  <si>
    <t>BOLZONELLO MARCO</t>
  </si>
  <si>
    <t>CANELLA PAOLO</t>
  </si>
  <si>
    <t>MOCELLIN MAURIZIO</t>
  </si>
  <si>
    <t>ALDARWISH HASSAN</t>
  </si>
  <si>
    <t>CATALDO MARIKA</t>
  </si>
  <si>
    <t>VELENCINA ELAINE</t>
  </si>
  <si>
    <t>S</t>
  </si>
  <si>
    <t>xx</t>
  </si>
  <si>
    <t>ALESSANDRO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</si>
</sst>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dd/mm/yy;@"/>
    <numFmt numFmtId="165" formatCode="[$-410]d\-mmm;@"/>
    <numFmt numFmtId="166" formatCode="00"/>
    <numFmt numFmtId="167" formatCode="_-* #,##0.0_-;\-* #,##0.0_-;_-* &quot;-&quot;??_-;_-@_-"/>
    <numFmt numFmtId="168" formatCode="_-* #,##0_-;\-* #,##0_-;_-* &quot;-&quot;??_-;_-@_-"/>
    <numFmt numFmtId="169" formatCode="#,##0_ ;\-#,##0\ "/>
  </numFmts>
  <fonts count="58">
    <font>
      <sz val="10"/>
      <name val="MS Sans Serif"/>
    </font>
    <font>
      <sz val="10"/>
      <name val="Verdana"/>
      <family val="2"/>
    </font>
    <font>
      <b/>
      <sz val="14"/>
      <name val="Calibri"/>
      <family val="2"/>
    </font>
    <font>
      <b/>
      <sz val="14"/>
      <name val="Verdana"/>
      <family val="2"/>
    </font>
    <font>
      <b/>
      <sz val="16"/>
      <name val="Calibri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4"/>
      <name val="Verdana"/>
      <family val="2"/>
    </font>
    <font>
      <b/>
      <sz val="14"/>
      <color indexed="57"/>
      <name val="Verdana"/>
      <family val="2"/>
    </font>
    <font>
      <b/>
      <sz val="12"/>
      <name val="Verdana"/>
      <family val="2"/>
    </font>
    <font>
      <sz val="16"/>
      <name val="Calibri"/>
      <family val="2"/>
    </font>
    <font>
      <sz val="16"/>
      <name val="Verdana"/>
      <family val="2"/>
    </font>
    <font>
      <sz val="12"/>
      <name val="Calibri"/>
      <family val="2"/>
    </font>
    <font>
      <sz val="9"/>
      <name val="Verdana"/>
      <family val="2"/>
    </font>
    <font>
      <sz val="9"/>
      <color indexed="17"/>
      <name val="Verdana"/>
      <family val="2"/>
    </font>
    <font>
      <b/>
      <sz val="9"/>
      <name val="Verdana"/>
      <family val="2"/>
    </font>
    <font>
      <b/>
      <sz val="9"/>
      <color indexed="17"/>
      <name val="Verdana"/>
      <family val="2"/>
    </font>
    <font>
      <sz val="9"/>
      <name val="Webdings"/>
      <family val="1"/>
      <charset val="2"/>
    </font>
    <font>
      <sz val="10"/>
      <color indexed="9"/>
      <name val="Arial Unicode MS"/>
      <family val="2"/>
    </font>
    <font>
      <sz val="10"/>
      <name val="Arial Unicode MS"/>
      <family val="2"/>
    </font>
    <font>
      <b/>
      <sz val="10"/>
      <name val="MS Sans Serif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9"/>
      <color indexed="9"/>
      <name val="Verdana"/>
      <family val="2"/>
    </font>
    <font>
      <b/>
      <sz val="12"/>
      <color indexed="10"/>
      <name val="Verdana"/>
      <family val="2"/>
    </font>
    <font>
      <b/>
      <sz val="14"/>
      <color indexed="56"/>
      <name val="Verdana"/>
      <family val="2"/>
    </font>
    <font>
      <sz val="12"/>
      <color indexed="56"/>
      <name val="Verdana"/>
      <family val="2"/>
    </font>
    <font>
      <sz val="10"/>
      <color indexed="9"/>
      <name val="Verdana"/>
      <family val="2"/>
    </font>
    <font>
      <b/>
      <i/>
      <sz val="10"/>
      <color indexed="56"/>
      <name val="Verdana"/>
      <family val="2"/>
    </font>
    <font>
      <b/>
      <sz val="10"/>
      <color indexed="9"/>
      <name val="Verdana"/>
      <family val="2"/>
    </font>
    <font>
      <b/>
      <sz val="12"/>
      <color indexed="57"/>
      <name val="Verdana"/>
      <family val="2"/>
    </font>
    <font>
      <b/>
      <sz val="14"/>
      <color indexed="10"/>
      <name val="Webdings"/>
      <family val="1"/>
      <charset val="2"/>
    </font>
    <font>
      <b/>
      <sz val="14"/>
      <color indexed="17"/>
      <name val="Wingdings 3"/>
      <family val="1"/>
      <charset val="2"/>
    </font>
    <font>
      <sz val="10"/>
      <color indexed="18"/>
      <name val="Verdana"/>
      <family val="2"/>
    </font>
    <font>
      <b/>
      <sz val="10"/>
      <color indexed="10"/>
      <name val="Verdana"/>
      <family val="2"/>
    </font>
    <font>
      <b/>
      <sz val="12"/>
      <color indexed="17"/>
      <name val="Verdana"/>
      <family val="2"/>
    </font>
    <font>
      <b/>
      <sz val="10"/>
      <name val="Wingdings 3"/>
      <family val="1"/>
      <charset val="2"/>
    </font>
    <font>
      <b/>
      <u/>
      <sz val="10"/>
      <color indexed="18"/>
      <name val="Verdana"/>
      <family val="2"/>
    </font>
    <font>
      <b/>
      <sz val="10"/>
      <color indexed="18"/>
      <name val="Verdana"/>
      <family val="2"/>
    </font>
    <font>
      <b/>
      <sz val="10"/>
      <color indexed="17"/>
      <name val="Verdana"/>
      <family val="2"/>
    </font>
    <font>
      <b/>
      <sz val="12"/>
      <color indexed="18"/>
      <name val="Verdana"/>
      <family val="2"/>
    </font>
    <font>
      <sz val="12"/>
      <color indexed="17"/>
      <name val="Verdana"/>
      <family val="2"/>
    </font>
    <font>
      <sz val="16"/>
      <color indexed="10"/>
      <name val="Wingdings 3"/>
      <family val="1"/>
      <charset val="2"/>
    </font>
    <font>
      <sz val="11"/>
      <color indexed="17"/>
      <name val="Verdana"/>
      <family val="2"/>
    </font>
    <font>
      <b/>
      <sz val="11"/>
      <color indexed="17"/>
      <name val="Verdana"/>
      <family val="2"/>
    </font>
    <font>
      <b/>
      <sz val="9"/>
      <color indexed="18"/>
      <name val="Verdana"/>
      <family val="2"/>
    </font>
    <font>
      <sz val="10"/>
      <color indexed="10"/>
      <name val="MS Sans Serif"/>
      <family val="2"/>
    </font>
    <font>
      <b/>
      <u val="singleAccounting"/>
      <sz val="12"/>
      <color indexed="10"/>
      <name val="Verdana"/>
      <family val="2"/>
    </font>
    <font>
      <b/>
      <u val="singleAccounting"/>
      <sz val="12"/>
      <color indexed="17"/>
      <name val="Verdana"/>
      <family val="2"/>
    </font>
    <font>
      <b/>
      <u val="singleAccounting"/>
      <sz val="12"/>
      <color indexed="11"/>
      <name val="Verdana"/>
      <family val="2"/>
    </font>
    <font>
      <sz val="9"/>
      <color indexed="18"/>
      <name val="Verdana"/>
      <family val="2"/>
    </font>
    <font>
      <b/>
      <sz val="16"/>
      <color indexed="56"/>
      <name val="Verdana"/>
      <family val="2"/>
    </font>
    <font>
      <sz val="10"/>
      <name val="MS Sans Serif"/>
      <family val="2"/>
    </font>
    <font>
      <u/>
      <sz val="8.5"/>
      <color theme="10"/>
      <name val="MS Sans Serif"/>
      <family val="2"/>
    </font>
    <font>
      <sz val="10"/>
      <color theme="0" tint="-0.249977111117893"/>
      <name val="Verdana"/>
      <family val="2"/>
    </font>
    <font>
      <b/>
      <sz val="14"/>
      <color rgb="FF002060"/>
      <name val="Verdana"/>
      <family val="2"/>
    </font>
    <font>
      <b/>
      <sz val="14"/>
      <color rgb="FF002060"/>
      <name val="MS Sans Serif"/>
      <family val="2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54" fillId="0" borderId="0" applyNumberFormat="0" applyFill="0" applyBorder="0" applyAlignment="0" applyProtection="0">
      <alignment vertical="top"/>
      <protection locked="0"/>
    </xf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</cellStyleXfs>
  <cellXfs count="357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0" fontId="1" fillId="5" borderId="2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6" borderId="2" xfId="0" applyFont="1" applyFill="1" applyBorder="1" applyAlignment="1">
      <alignment vertical="center"/>
    </xf>
    <xf numFmtId="0" fontId="14" fillId="5" borderId="0" xfId="0" applyFont="1" applyFill="1" applyAlignment="1">
      <alignment horizontal="center"/>
    </xf>
    <xf numFmtId="0" fontId="14" fillId="5" borderId="0" xfId="0" applyFont="1" applyFill="1"/>
    <xf numFmtId="0" fontId="14" fillId="5" borderId="0" xfId="0" applyFont="1" applyFill="1" applyProtection="1">
      <protection locked="0"/>
    </xf>
    <xf numFmtId="166" fontId="14" fillId="5" borderId="3" xfId="0" applyNumberFormat="1" applyFont="1" applyFill="1" applyBorder="1" applyAlignment="1">
      <alignment horizontal="center" vertical="center"/>
    </xf>
    <xf numFmtId="166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 applyProtection="1">
      <alignment vertical="center"/>
      <protection locked="0"/>
    </xf>
    <xf numFmtId="0" fontId="16" fillId="5" borderId="0" xfId="0" applyFont="1" applyFill="1" applyAlignment="1" applyProtection="1">
      <alignment horizontal="center" vertical="center"/>
      <protection locked="0"/>
    </xf>
    <xf numFmtId="0" fontId="14" fillId="5" borderId="0" xfId="0" applyFont="1" applyFill="1" applyAlignment="1">
      <alignment vertical="center"/>
    </xf>
    <xf numFmtId="0" fontId="17" fillId="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vertical="center"/>
      <protection locked="0"/>
    </xf>
    <xf numFmtId="0" fontId="15" fillId="5" borderId="0" xfId="0" applyFont="1" applyFill="1" applyAlignment="1">
      <alignment vertical="center"/>
    </xf>
    <xf numFmtId="43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horizontal="center" textRotation="90"/>
    </xf>
    <xf numFmtId="2" fontId="14" fillId="5" borderId="0" xfId="0" applyNumberFormat="1" applyFont="1" applyFill="1" applyAlignment="1">
      <alignment horizontal="right" vertical="center" textRotation="90"/>
    </xf>
    <xf numFmtId="2" fontId="14" fillId="5" borderId="0" xfId="0" applyNumberFormat="1" applyFont="1" applyFill="1" applyAlignment="1">
      <alignment horizontal="center" vertical="center" textRotation="90"/>
    </xf>
    <xf numFmtId="0" fontId="14" fillId="5" borderId="4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left" vertic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0" fillId="5" borderId="1" xfId="0" applyFont="1" applyFill="1" applyBorder="1" applyAlignment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2" xfId="0" applyFont="1" applyFill="1" applyBorder="1" applyAlignment="1">
      <alignment horizontal="right" vertical="center"/>
    </xf>
    <xf numFmtId="2" fontId="24" fillId="5" borderId="0" xfId="0" applyNumberFormat="1" applyFont="1" applyFill="1" applyAlignment="1">
      <alignment horizontal="center" vertical="center" textRotation="90"/>
    </xf>
    <xf numFmtId="0" fontId="14" fillId="5" borderId="0" xfId="0" applyFont="1" applyFill="1" applyAlignment="1" applyProtection="1">
      <alignment horizontal="center" textRotation="90"/>
      <protection locked="0"/>
    </xf>
    <xf numFmtId="0" fontId="16" fillId="5" borderId="0" xfId="0" applyFont="1" applyFill="1" applyAlignment="1">
      <alignment horizontal="center"/>
    </xf>
    <xf numFmtId="0" fontId="17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 textRotation="90"/>
    </xf>
    <xf numFmtId="0" fontId="6" fillId="5" borderId="8" xfId="0" applyFont="1" applyFill="1" applyBorder="1" applyAlignment="1">
      <alignment horizontal="center" vertical="center" textRotation="90"/>
    </xf>
    <xf numFmtId="0" fontId="6" fillId="5" borderId="9" xfId="0" applyFont="1" applyFill="1" applyBorder="1" applyAlignment="1">
      <alignment horizontal="center" vertical="center" textRotation="90"/>
    </xf>
    <xf numFmtId="0" fontId="16" fillId="5" borderId="0" xfId="0" applyFont="1" applyFill="1" applyProtection="1">
      <protection locked="0"/>
    </xf>
    <xf numFmtId="0" fontId="14" fillId="7" borderId="4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/>
    </xf>
    <xf numFmtId="0" fontId="16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vertical="center"/>
    </xf>
    <xf numFmtId="0" fontId="1" fillId="8" borderId="0" xfId="0" applyFont="1" applyFill="1" applyAlignment="1" applyProtection="1">
      <alignment vertical="center"/>
      <protection hidden="1"/>
    </xf>
    <xf numFmtId="43" fontId="1" fillId="8" borderId="0" xfId="0" applyNumberFormat="1" applyFont="1" applyFill="1" applyAlignment="1" applyProtection="1">
      <alignment vertical="center"/>
      <protection hidden="1"/>
    </xf>
    <xf numFmtId="0" fontId="6" fillId="8" borderId="0" xfId="0" applyFont="1" applyFill="1" applyAlignment="1" applyProtection="1">
      <alignment vertical="center"/>
      <protection hidden="1"/>
    </xf>
    <xf numFmtId="0" fontId="1" fillId="8" borderId="0" xfId="0" applyFont="1" applyFill="1" applyAlignment="1" applyProtection="1">
      <alignment horizontal="left" vertical="center"/>
      <protection hidden="1"/>
    </xf>
    <xf numFmtId="0" fontId="1" fillId="7" borderId="0" xfId="0" applyFont="1" applyFill="1" applyAlignment="1" applyProtection="1">
      <alignment vertical="center"/>
      <protection hidden="1"/>
    </xf>
    <xf numFmtId="0" fontId="1" fillId="5" borderId="0" xfId="0" applyFont="1" applyFill="1" applyAlignment="1" applyProtection="1">
      <alignment vertical="center"/>
      <protection hidden="1"/>
    </xf>
    <xf numFmtId="0" fontId="1" fillId="5" borderId="0" xfId="0" applyFont="1" applyFill="1" applyAlignment="1" applyProtection="1">
      <alignment horizontal="right" vertical="center"/>
      <protection hidden="1"/>
    </xf>
    <xf numFmtId="0" fontId="25" fillId="5" borderId="0" xfId="0" applyFont="1" applyFill="1" applyAlignment="1" applyProtection="1">
      <alignment vertical="center"/>
      <protection hidden="1"/>
    </xf>
    <xf numFmtId="43" fontId="1" fillId="5" borderId="0" xfId="0" applyNumberFormat="1" applyFont="1" applyFill="1" applyAlignment="1" applyProtection="1">
      <alignment vertical="center"/>
      <protection hidden="1"/>
    </xf>
    <xf numFmtId="0" fontId="6" fillId="5" borderId="0" xfId="0" applyFont="1" applyFill="1" applyAlignment="1" applyProtection="1">
      <alignment vertical="center"/>
      <protection hidden="1"/>
    </xf>
    <xf numFmtId="0" fontId="1" fillId="5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vertical="center"/>
      <protection hidden="1"/>
    </xf>
    <xf numFmtId="0" fontId="7" fillId="5" borderId="10" xfId="0" applyFont="1" applyFill="1" applyBorder="1" applyAlignment="1" applyProtection="1">
      <alignment vertical="center"/>
      <protection hidden="1"/>
    </xf>
    <xf numFmtId="0" fontId="7" fillId="5" borderId="11" xfId="0" applyFont="1" applyFill="1" applyBorder="1" applyAlignment="1" applyProtection="1">
      <alignment vertical="center"/>
      <protection hidden="1"/>
    </xf>
    <xf numFmtId="0" fontId="8" fillId="5" borderId="11" xfId="0" applyFont="1" applyFill="1" applyBorder="1" applyAlignment="1" applyProtection="1">
      <alignment vertical="center"/>
      <protection hidden="1"/>
    </xf>
    <xf numFmtId="0" fontId="8" fillId="5" borderId="12" xfId="0" applyFont="1" applyFill="1" applyBorder="1" applyAlignment="1" applyProtection="1">
      <alignment vertical="center"/>
      <protection hidden="1"/>
    </xf>
    <xf numFmtId="0" fontId="7" fillId="8" borderId="0" xfId="0" applyFont="1" applyFill="1" applyAlignment="1" applyProtection="1">
      <alignment vertical="center"/>
      <protection hidden="1"/>
    </xf>
    <xf numFmtId="0" fontId="7" fillId="7" borderId="0" xfId="0" applyFont="1" applyFill="1" applyAlignment="1" applyProtection="1">
      <alignment vertical="center"/>
      <protection hidden="1"/>
    </xf>
    <xf numFmtId="0" fontId="7" fillId="5" borderId="3" xfId="0" applyFont="1" applyFill="1" applyBorder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8" fillId="5" borderId="0" xfId="0" applyFont="1" applyFill="1" applyAlignment="1" applyProtection="1">
      <alignment vertical="center"/>
      <protection hidden="1"/>
    </xf>
    <xf numFmtId="0" fontId="8" fillId="5" borderId="13" xfId="0" applyFont="1" applyFill="1" applyBorder="1" applyAlignment="1" applyProtection="1">
      <alignment vertical="center"/>
      <protection hidden="1"/>
    </xf>
    <xf numFmtId="0" fontId="7" fillId="5" borderId="14" xfId="0" applyFont="1" applyFill="1" applyBorder="1" applyAlignment="1" applyProtection="1">
      <alignment vertical="center"/>
      <protection hidden="1"/>
    </xf>
    <xf numFmtId="0" fontId="7" fillId="5" borderId="15" xfId="0" applyFont="1" applyFill="1" applyBorder="1" applyAlignment="1" applyProtection="1">
      <alignment vertical="center"/>
      <protection hidden="1"/>
    </xf>
    <xf numFmtId="0" fontId="7" fillId="5" borderId="16" xfId="0" applyFont="1" applyFill="1" applyBorder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1" fillId="5" borderId="6" xfId="0" applyFont="1" applyFill="1" applyBorder="1" applyAlignment="1" applyProtection="1">
      <alignment horizontal="center" vertical="center"/>
      <protection hidden="1"/>
    </xf>
    <xf numFmtId="0" fontId="6" fillId="5" borderId="6" xfId="0" applyFont="1" applyFill="1" applyBorder="1" applyAlignment="1" applyProtection="1">
      <alignment horizontal="center" vertical="center"/>
      <protection hidden="1"/>
    </xf>
    <xf numFmtId="0" fontId="1" fillId="5" borderId="0" xfId="0" applyFont="1" applyFill="1" applyAlignment="1" applyProtection="1">
      <alignment horizontal="center" vertical="center"/>
      <protection hidden="1"/>
    </xf>
    <xf numFmtId="43" fontId="1" fillId="5" borderId="6" xfId="0" applyNumberFormat="1" applyFont="1" applyFill="1" applyBorder="1" applyAlignment="1" applyProtection="1">
      <alignment horizontal="center" vertical="center"/>
      <protection hidden="1"/>
    </xf>
    <xf numFmtId="0" fontId="1" fillId="5" borderId="6" xfId="0" applyFont="1" applyFill="1" applyBorder="1" applyAlignment="1" applyProtection="1">
      <alignment horizontal="left" vertical="center"/>
      <protection hidden="1"/>
    </xf>
    <xf numFmtId="0" fontId="1" fillId="8" borderId="0" xfId="0" applyFont="1" applyFill="1" applyAlignment="1" applyProtection="1">
      <alignment horizontal="center" vertical="center"/>
      <protection hidden="1"/>
    </xf>
    <xf numFmtId="0" fontId="1" fillId="7" borderId="0" xfId="0" applyFont="1" applyFill="1" applyAlignment="1" applyProtection="1">
      <alignment horizontal="center"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" fillId="6" borderId="1" xfId="0" applyFont="1" applyFill="1" applyBorder="1" applyAlignment="1" applyProtection="1">
      <alignment vertical="center"/>
      <protection hidden="1"/>
    </xf>
    <xf numFmtId="0" fontId="1" fillId="6" borderId="2" xfId="0" applyFont="1" applyFill="1" applyBorder="1" applyAlignment="1" applyProtection="1">
      <alignment vertical="center"/>
      <protection hidden="1"/>
    </xf>
    <xf numFmtId="43" fontId="1" fillId="6" borderId="6" xfId="2" applyFont="1" applyFill="1" applyBorder="1" applyAlignment="1" applyProtection="1">
      <alignment horizontal="center" vertical="center"/>
      <protection hidden="1"/>
    </xf>
    <xf numFmtId="43" fontId="1" fillId="7" borderId="1" xfId="2" applyFont="1" applyFill="1" applyBorder="1" applyAlignment="1" applyProtection="1">
      <alignment horizontal="center" vertical="center"/>
      <protection hidden="1"/>
    </xf>
    <xf numFmtId="43" fontId="1" fillId="7" borderId="5" xfId="2" applyFont="1" applyFill="1" applyBorder="1" applyAlignment="1" applyProtection="1">
      <alignment horizontal="center" vertical="center"/>
      <protection hidden="1"/>
    </xf>
    <xf numFmtId="43" fontId="1" fillId="7" borderId="2" xfId="2" applyFont="1" applyFill="1" applyBorder="1" applyAlignment="1" applyProtection="1">
      <alignment horizontal="center" vertical="center"/>
      <protection hidden="1"/>
    </xf>
    <xf numFmtId="43" fontId="6" fillId="6" borderId="1" xfId="2" applyFont="1" applyFill="1" applyBorder="1" applyAlignment="1" applyProtection="1">
      <alignment vertical="center"/>
      <protection hidden="1"/>
    </xf>
    <xf numFmtId="0" fontId="1" fillId="3" borderId="1" xfId="0" applyFont="1" applyFill="1" applyBorder="1" applyAlignment="1" applyProtection="1">
      <alignment vertical="center"/>
      <protection hidden="1"/>
    </xf>
    <xf numFmtId="0" fontId="1" fillId="3" borderId="2" xfId="0" applyFont="1" applyFill="1" applyBorder="1" applyAlignment="1" applyProtection="1">
      <alignment vertical="center"/>
      <protection hidden="1"/>
    </xf>
    <xf numFmtId="43" fontId="1" fillId="3" borderId="6" xfId="2" applyFont="1" applyFill="1" applyBorder="1" applyAlignment="1" applyProtection="1">
      <alignment horizontal="center" vertical="center"/>
      <protection hidden="1"/>
    </xf>
    <xf numFmtId="43" fontId="6" fillId="3" borderId="1" xfId="2" applyFont="1" applyFill="1" applyBorder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/>
      <protection hidden="1"/>
    </xf>
    <xf numFmtId="0" fontId="1" fillId="2" borderId="2" xfId="0" applyFont="1" applyFill="1" applyBorder="1" applyAlignment="1" applyProtection="1">
      <alignment vertical="center"/>
      <protection hidden="1"/>
    </xf>
    <xf numFmtId="43" fontId="1" fillId="2" borderId="6" xfId="2" applyFont="1" applyFill="1" applyBorder="1" applyAlignment="1" applyProtection="1">
      <alignment horizontal="center" vertical="center"/>
      <protection hidden="1"/>
    </xf>
    <xf numFmtId="43" fontId="6" fillId="2" borderId="1" xfId="2" applyFont="1" applyFill="1" applyBorder="1" applyAlignment="1" applyProtection="1">
      <alignment vertical="center"/>
      <protection hidden="1"/>
    </xf>
    <xf numFmtId="0" fontId="1" fillId="9" borderId="1" xfId="0" applyFont="1" applyFill="1" applyBorder="1" applyAlignment="1" applyProtection="1">
      <alignment vertical="center"/>
      <protection hidden="1"/>
    </xf>
    <xf numFmtId="0" fontId="1" fillId="9" borderId="2" xfId="0" applyFont="1" applyFill="1" applyBorder="1" applyAlignment="1" applyProtection="1">
      <alignment vertical="center"/>
      <protection hidden="1"/>
    </xf>
    <xf numFmtId="0" fontId="1" fillId="4" borderId="1" xfId="0" applyFont="1" applyFill="1" applyBorder="1" applyAlignment="1" applyProtection="1">
      <alignment vertical="center"/>
      <protection hidden="1"/>
    </xf>
    <xf numFmtId="0" fontId="1" fillId="4" borderId="2" xfId="0" applyFont="1" applyFill="1" applyBorder="1" applyAlignment="1" applyProtection="1">
      <alignment vertical="center"/>
      <protection hidden="1"/>
    </xf>
    <xf numFmtId="43" fontId="1" fillId="4" borderId="6" xfId="2" applyFont="1" applyFill="1" applyBorder="1" applyAlignment="1" applyProtection="1">
      <alignment horizontal="center" vertical="center"/>
      <protection hidden="1"/>
    </xf>
    <xf numFmtId="43" fontId="6" fillId="4" borderId="1" xfId="2" applyFont="1" applyFill="1" applyBorder="1" applyAlignment="1" applyProtection="1">
      <alignment vertical="center"/>
      <protection hidden="1"/>
    </xf>
    <xf numFmtId="0" fontId="1" fillId="10" borderId="1" xfId="0" applyFont="1" applyFill="1" applyBorder="1" applyAlignment="1" applyProtection="1">
      <alignment vertical="center"/>
      <protection hidden="1"/>
    </xf>
    <xf numFmtId="0" fontId="1" fillId="10" borderId="2" xfId="0" applyFont="1" applyFill="1" applyBorder="1" applyAlignment="1" applyProtection="1">
      <alignment vertical="center"/>
      <protection hidden="1"/>
    </xf>
    <xf numFmtId="0" fontId="1" fillId="5" borderId="1" xfId="0" applyFont="1" applyFill="1" applyBorder="1" applyAlignment="1" applyProtection="1">
      <alignment vertical="center"/>
      <protection hidden="1"/>
    </xf>
    <xf numFmtId="0" fontId="1" fillId="5" borderId="2" xfId="0" applyFont="1" applyFill="1" applyBorder="1" applyAlignment="1" applyProtection="1">
      <alignment vertical="center"/>
      <protection hidden="1"/>
    </xf>
    <xf numFmtId="43" fontId="1" fillId="5" borderId="6" xfId="2" applyFont="1" applyFill="1" applyBorder="1" applyAlignment="1" applyProtection="1">
      <alignment horizontal="center" vertical="center"/>
      <protection hidden="1"/>
    </xf>
    <xf numFmtId="43" fontId="6" fillId="5" borderId="1" xfId="2" applyFont="1" applyFill="1" applyBorder="1" applyAlignment="1" applyProtection="1">
      <alignment vertical="center"/>
      <protection hidden="1"/>
    </xf>
    <xf numFmtId="0" fontId="1" fillId="11" borderId="10" xfId="0" applyFont="1" applyFill="1" applyBorder="1" applyAlignment="1" applyProtection="1">
      <alignment vertical="center"/>
      <protection hidden="1"/>
    </xf>
    <xf numFmtId="43" fontId="1" fillId="11" borderId="17" xfId="2" applyFont="1" applyFill="1" applyBorder="1" applyAlignment="1" applyProtection="1">
      <alignment horizontal="center" vertical="center"/>
      <protection hidden="1"/>
    </xf>
    <xf numFmtId="43" fontId="1" fillId="7" borderId="10" xfId="2" applyFont="1" applyFill="1" applyBorder="1" applyAlignment="1" applyProtection="1">
      <alignment horizontal="center" vertical="center"/>
      <protection hidden="1"/>
    </xf>
    <xf numFmtId="43" fontId="1" fillId="7" borderId="11" xfId="2" applyFont="1" applyFill="1" applyBorder="1" applyAlignment="1" applyProtection="1">
      <alignment horizontal="center" vertical="center"/>
      <protection hidden="1"/>
    </xf>
    <xf numFmtId="43" fontId="1" fillId="7" borderId="12" xfId="2" applyFont="1" applyFill="1" applyBorder="1" applyAlignment="1" applyProtection="1">
      <alignment horizontal="center" vertical="center"/>
      <protection hidden="1"/>
    </xf>
    <xf numFmtId="43" fontId="6" fillId="11" borderId="10" xfId="2" applyFont="1" applyFill="1" applyBorder="1" applyAlignment="1" applyProtection="1">
      <alignment vertical="center"/>
      <protection hidden="1"/>
    </xf>
    <xf numFmtId="43" fontId="1" fillId="5" borderId="17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0" fontId="6" fillId="6" borderId="18" xfId="0" applyFont="1" applyFill="1" applyBorder="1" applyAlignment="1" applyProtection="1">
      <alignment horizontal="right" vertical="center"/>
      <protection hidden="1"/>
    </xf>
    <xf numFmtId="0" fontId="6" fillId="6" borderId="19" xfId="0" applyFont="1" applyFill="1" applyBorder="1" applyAlignment="1" applyProtection="1">
      <alignment vertical="center"/>
      <protection hidden="1"/>
    </xf>
    <xf numFmtId="43" fontId="6" fillId="6" borderId="20" xfId="2" applyFont="1" applyFill="1" applyBorder="1" applyAlignment="1" applyProtection="1">
      <alignment horizontal="center" vertical="center"/>
      <protection hidden="1"/>
    </xf>
    <xf numFmtId="43" fontId="6" fillId="7" borderId="21" xfId="2" applyFont="1" applyFill="1" applyBorder="1" applyAlignment="1" applyProtection="1">
      <alignment horizontal="center" vertical="center"/>
      <protection hidden="1"/>
    </xf>
    <xf numFmtId="43" fontId="6" fillId="7" borderId="22" xfId="2" applyFont="1" applyFill="1" applyBorder="1" applyAlignment="1" applyProtection="1">
      <alignment horizontal="center" vertical="center"/>
      <protection hidden="1"/>
    </xf>
    <xf numFmtId="43" fontId="6" fillId="7" borderId="19" xfId="2" applyFont="1" applyFill="1" applyBorder="1" applyAlignment="1" applyProtection="1">
      <alignment horizontal="center" vertical="center"/>
      <protection hidden="1"/>
    </xf>
    <xf numFmtId="43" fontId="6" fillId="5" borderId="22" xfId="0" applyNumberFormat="1" applyFont="1" applyFill="1" applyBorder="1" applyAlignment="1" applyProtection="1">
      <alignment horizontal="center" vertical="center"/>
      <protection hidden="1"/>
    </xf>
    <xf numFmtId="43" fontId="6" fillId="5" borderId="23" xfId="0" applyNumberFormat="1" applyFont="1" applyFill="1" applyBorder="1" applyAlignment="1" applyProtection="1">
      <alignment horizontal="center" vertic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0" fontId="29" fillId="5" borderId="0" xfId="0" applyFont="1" applyFill="1" applyAlignment="1" applyProtection="1">
      <alignment vertical="center"/>
      <protection hidden="1"/>
    </xf>
    <xf numFmtId="0" fontId="1" fillId="12" borderId="24" xfId="0" applyFont="1" applyFill="1" applyBorder="1" applyAlignment="1" applyProtection="1">
      <alignment vertical="center"/>
      <protection hidden="1"/>
    </xf>
    <xf numFmtId="0" fontId="1" fillId="13" borderId="24" xfId="0" applyFont="1" applyFill="1" applyBorder="1" applyAlignment="1" applyProtection="1">
      <alignment vertical="center"/>
      <protection hidden="1"/>
    </xf>
    <xf numFmtId="0" fontId="1" fillId="14" borderId="24" xfId="0" applyFont="1" applyFill="1" applyBorder="1" applyAlignment="1" applyProtection="1">
      <alignment vertical="center"/>
      <protection hidden="1"/>
    </xf>
    <xf numFmtId="0" fontId="6" fillId="7" borderId="0" xfId="0" applyFont="1" applyFill="1" applyAlignment="1" applyProtection="1">
      <alignment vertical="center"/>
      <protection hidden="1"/>
    </xf>
    <xf numFmtId="0" fontId="1" fillId="7" borderId="0" xfId="0" applyFont="1" applyFill="1" applyAlignment="1" applyProtection="1">
      <alignment horizontal="left" vertical="center"/>
      <protection hidden="1"/>
    </xf>
    <xf numFmtId="0" fontId="1" fillId="5" borderId="6" xfId="0" applyFont="1" applyFill="1" applyBorder="1" applyAlignment="1" applyProtection="1">
      <alignment horizontal="center" vertical="center"/>
      <protection locked="0" hidden="1"/>
    </xf>
    <xf numFmtId="0" fontId="1" fillId="5" borderId="6" xfId="0" applyFont="1" applyFill="1" applyBorder="1" applyAlignment="1" applyProtection="1">
      <alignment horizontal="left" vertical="center" wrapText="1"/>
      <protection locked="0" hidden="1"/>
    </xf>
    <xf numFmtId="43" fontId="1" fillId="5" borderId="6" xfId="2" applyFont="1" applyFill="1" applyBorder="1" applyAlignment="1" applyProtection="1">
      <alignment horizontal="center" vertical="center"/>
      <protection locked="0" hidden="1"/>
    </xf>
    <xf numFmtId="0" fontId="19" fillId="15" borderId="0" xfId="0" applyFont="1" applyFill="1" applyAlignment="1">
      <alignment horizontal="center" vertical="center" wrapText="1"/>
    </xf>
    <xf numFmtId="20" fontId="20" fillId="9" borderId="0" xfId="0" applyNumberFormat="1" applyFont="1" applyFill="1" applyAlignment="1" applyProtection="1">
      <alignment horizontal="center" vertical="center" wrapText="1"/>
      <protection locked="0"/>
    </xf>
    <xf numFmtId="20" fontId="20" fillId="16" borderId="0" xfId="0" applyNumberFormat="1" applyFont="1" applyFill="1" applyAlignment="1" applyProtection="1">
      <alignment horizontal="center" vertical="center" wrapText="1"/>
      <protection locked="0"/>
    </xf>
    <xf numFmtId="0" fontId="20" fillId="5" borderId="0" xfId="0" applyFont="1" applyFill="1" applyAlignment="1">
      <alignment horizontal="center" vertical="center" wrapText="1"/>
    </xf>
    <xf numFmtId="4" fontId="20" fillId="9" borderId="0" xfId="0" applyNumberFormat="1" applyFont="1" applyFill="1" applyAlignment="1" applyProtection="1">
      <alignment horizontal="right" vertical="center" wrapText="1"/>
      <protection locked="0"/>
    </xf>
    <xf numFmtId="4" fontId="20" fillId="16" borderId="0" xfId="0" applyNumberFormat="1" applyFont="1" applyFill="1" applyAlignment="1" applyProtection="1">
      <alignment horizontal="right" vertical="center" wrapText="1"/>
      <protection locked="0"/>
    </xf>
    <xf numFmtId="4" fontId="20" fillId="5" borderId="0" xfId="0" applyNumberFormat="1" applyFont="1" applyFill="1" applyAlignment="1">
      <alignment horizontal="right" vertical="center" wrapText="1"/>
    </xf>
    <xf numFmtId="4" fontId="19" fillId="15" borderId="0" xfId="0" applyNumberFormat="1" applyFont="1" applyFill="1" applyAlignment="1">
      <alignment horizontal="right" vertical="center" wrapText="1"/>
    </xf>
    <xf numFmtId="0" fontId="0" fillId="5" borderId="0" xfId="0" applyFill="1"/>
    <xf numFmtId="0" fontId="19" fillId="5" borderId="0" xfId="0" applyFont="1" applyFill="1" applyAlignment="1">
      <alignment horizontal="center" vertical="center" wrapText="1"/>
    </xf>
    <xf numFmtId="0" fontId="21" fillId="2" borderId="0" xfId="0" applyFont="1" applyFill="1" applyAlignment="1">
      <alignment horizontal="center"/>
    </xf>
    <xf numFmtId="0" fontId="22" fillId="5" borderId="0" xfId="0" applyFont="1" applyFill="1"/>
    <xf numFmtId="4" fontId="19" fillId="15" borderId="0" xfId="0" applyNumberFormat="1" applyFont="1" applyFill="1" applyAlignment="1">
      <alignment horizontal="center" vertical="center" wrapText="1"/>
    </xf>
    <xf numFmtId="14" fontId="16" fillId="5" borderId="0" xfId="0" applyNumberFormat="1" applyFont="1" applyFill="1" applyAlignment="1">
      <alignment horizontal="center" vertical="center"/>
    </xf>
    <xf numFmtId="0" fontId="1" fillId="7" borderId="4" xfId="0" applyFont="1" applyFill="1" applyBorder="1" applyAlignment="1" applyProtection="1">
      <alignment vertical="center"/>
      <protection hidden="1"/>
    </xf>
    <xf numFmtId="0" fontId="1" fillId="7" borderId="17" xfId="0" applyFont="1" applyFill="1" applyBorder="1" applyAlignment="1" applyProtection="1">
      <alignment horizontal="center" vertical="center"/>
      <protection hidden="1"/>
    </xf>
    <xf numFmtId="4" fontId="14" fillId="5" borderId="0" xfId="0" applyNumberFormat="1" applyFont="1" applyFill="1"/>
    <xf numFmtId="20" fontId="14" fillId="5" borderId="0" xfId="0" applyNumberFormat="1" applyFont="1" applyFill="1"/>
    <xf numFmtId="43" fontId="14" fillId="5" borderId="0" xfId="2" applyFont="1" applyFill="1" applyAlignment="1">
      <alignment horizontal="center" vertical="center" textRotation="90"/>
    </xf>
    <xf numFmtId="43" fontId="14" fillId="5" borderId="0" xfId="2" applyFont="1" applyFill="1" applyAlignment="1">
      <alignment textRotation="90"/>
    </xf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168" fontId="14" fillId="5" borderId="0" xfId="2" applyNumberFormat="1" applyFont="1" applyFill="1" applyAlignment="1">
      <alignment horizontal="center" vertical="center" textRotation="90"/>
    </xf>
    <xf numFmtId="168" fontId="14" fillId="5" borderId="0" xfId="2" applyNumberFormat="1" applyFont="1" applyFill="1" applyAlignment="1">
      <alignment textRotation="90"/>
    </xf>
    <xf numFmtId="43" fontId="1" fillId="6" borderId="20" xfId="2" applyFont="1" applyFill="1" applyBorder="1" applyAlignment="1" applyProtection="1">
      <alignment horizontal="center" vertical="center"/>
      <protection hidden="1"/>
    </xf>
    <xf numFmtId="43" fontId="1" fillId="6" borderId="6" xfId="2" applyFont="1" applyFill="1" applyBorder="1" applyAlignment="1" applyProtection="1">
      <alignment vertical="center"/>
      <protection hidden="1"/>
    </xf>
    <xf numFmtId="43" fontId="1" fillId="3" borderId="6" xfId="2" applyFont="1" applyFill="1" applyBorder="1" applyAlignment="1" applyProtection="1">
      <alignment vertical="center"/>
      <protection hidden="1"/>
    </xf>
    <xf numFmtId="43" fontId="1" fillId="2" borderId="6" xfId="2" applyFont="1" applyFill="1" applyBorder="1" applyAlignment="1" applyProtection="1">
      <alignment vertical="center"/>
      <protection hidden="1"/>
    </xf>
    <xf numFmtId="43" fontId="1" fillId="9" borderId="6" xfId="2" applyFont="1" applyFill="1" applyBorder="1" applyAlignment="1" applyProtection="1">
      <alignment vertical="center"/>
      <protection hidden="1"/>
    </xf>
    <xf numFmtId="43" fontId="1" fillId="4" borderId="6" xfId="2" applyFont="1" applyFill="1" applyBorder="1" applyAlignment="1" applyProtection="1">
      <alignment vertical="center"/>
      <protection hidden="1"/>
    </xf>
    <xf numFmtId="43" fontId="1" fillId="10" borderId="6" xfId="2" applyFont="1" applyFill="1" applyBorder="1" applyAlignment="1" applyProtection="1">
      <alignment vertical="center"/>
      <protection hidden="1"/>
    </xf>
    <xf numFmtId="43" fontId="1" fillId="5" borderId="6" xfId="2" applyFont="1" applyFill="1" applyBorder="1" applyAlignment="1" applyProtection="1">
      <alignment vertical="center"/>
      <protection hidden="1"/>
    </xf>
    <xf numFmtId="43" fontId="1" fillId="11" borderId="17" xfId="2" applyFont="1" applyFill="1" applyBorder="1" applyAlignment="1" applyProtection="1">
      <alignment vertical="center"/>
      <protection hidden="1"/>
    </xf>
    <xf numFmtId="43" fontId="1" fillId="6" borderId="25" xfId="2" applyFont="1" applyFill="1" applyBorder="1" applyAlignment="1" applyProtection="1">
      <alignment horizontal="center" vertical="center"/>
      <protection hidden="1"/>
    </xf>
    <xf numFmtId="43" fontId="1" fillId="5" borderId="26" xfId="0" applyNumberFormat="1" applyFont="1" applyFill="1" applyBorder="1" applyAlignment="1" applyProtection="1">
      <alignment horizontal="center" vertical="center"/>
      <protection hidden="1"/>
    </xf>
    <xf numFmtId="0" fontId="6" fillId="6" borderId="25" xfId="0" applyFont="1" applyFill="1" applyBorder="1" applyAlignment="1" applyProtection="1">
      <alignment vertical="center"/>
      <protection hidden="1"/>
    </xf>
    <xf numFmtId="0" fontId="1" fillId="11" borderId="27" xfId="0" applyFont="1" applyFill="1" applyBorder="1" applyAlignment="1" applyProtection="1">
      <alignment vertical="center"/>
      <protection hidden="1"/>
    </xf>
    <xf numFmtId="0" fontId="1" fillId="11" borderId="28" xfId="0" applyFont="1" applyFill="1" applyBorder="1" applyAlignment="1" applyProtection="1">
      <alignment vertical="center"/>
      <protection hidden="1"/>
    </xf>
    <xf numFmtId="0" fontId="14" fillId="5" borderId="0" xfId="0" applyFont="1" applyFill="1" applyProtection="1">
      <protection hidden="1"/>
    </xf>
    <xf numFmtId="168" fontId="24" fillId="5" borderId="0" xfId="2" applyNumberFormat="1" applyFont="1" applyFill="1" applyAlignment="1">
      <alignment horizontal="center" textRotation="90"/>
    </xf>
    <xf numFmtId="0" fontId="1" fillId="17" borderId="24" xfId="0" applyFont="1" applyFill="1" applyBorder="1" applyAlignment="1" applyProtection="1">
      <alignment vertical="center"/>
      <protection hidden="1"/>
    </xf>
    <xf numFmtId="0" fontId="33" fillId="5" borderId="0" xfId="0" applyFont="1" applyFill="1" applyAlignment="1" applyProtection="1">
      <alignment horizontal="center" vertical="center"/>
      <protection hidden="1"/>
    </xf>
    <xf numFmtId="0" fontId="14" fillId="7" borderId="7" xfId="0" applyFont="1" applyFill="1" applyBorder="1" applyAlignment="1" applyProtection="1">
      <alignment horizontal="center" vertical="center" textRotation="90"/>
      <protection hidden="1"/>
    </xf>
    <xf numFmtId="0" fontId="14" fillId="7" borderId="8" xfId="0" applyFont="1" applyFill="1" applyBorder="1" applyAlignment="1" applyProtection="1">
      <alignment horizontal="center" vertical="center" textRotation="90"/>
      <protection hidden="1"/>
    </xf>
    <xf numFmtId="0" fontId="14" fillId="7" borderId="9" xfId="0" applyFont="1" applyFill="1" applyBorder="1" applyAlignment="1" applyProtection="1">
      <alignment horizontal="center" vertical="center" textRotation="90"/>
      <protection hidden="1"/>
    </xf>
    <xf numFmtId="0" fontId="14" fillId="13" borderId="7" xfId="0" applyFont="1" applyFill="1" applyBorder="1" applyAlignment="1" applyProtection="1">
      <alignment horizontal="center" vertical="center" textRotation="90"/>
      <protection hidden="1"/>
    </xf>
    <xf numFmtId="0" fontId="14" fillId="13" borderId="8" xfId="0" applyFont="1" applyFill="1" applyBorder="1" applyAlignment="1" applyProtection="1">
      <alignment horizontal="center" vertical="center" textRotation="90"/>
      <protection hidden="1"/>
    </xf>
    <xf numFmtId="0" fontId="14" fillId="13" borderId="9" xfId="0" applyFont="1" applyFill="1" applyBorder="1" applyAlignment="1" applyProtection="1">
      <alignment horizontal="center" vertical="center" textRotation="90"/>
      <protection hidden="1"/>
    </xf>
    <xf numFmtId="0" fontId="14" fillId="9" borderId="7" xfId="0" applyFont="1" applyFill="1" applyBorder="1" applyAlignment="1" applyProtection="1">
      <alignment horizontal="center" vertical="center" textRotation="90"/>
      <protection hidden="1"/>
    </xf>
    <xf numFmtId="0" fontId="14" fillId="9" borderId="8" xfId="0" applyFont="1" applyFill="1" applyBorder="1" applyAlignment="1" applyProtection="1">
      <alignment horizontal="center" vertical="center" textRotation="90"/>
      <protection hidden="1"/>
    </xf>
    <xf numFmtId="0" fontId="14" fillId="9" borderId="9" xfId="0" applyFont="1" applyFill="1" applyBorder="1" applyAlignment="1" applyProtection="1">
      <alignment horizontal="center" vertical="center" textRotation="90"/>
      <protection hidden="1"/>
    </xf>
    <xf numFmtId="0" fontId="14" fillId="18" borderId="7" xfId="0" applyFont="1" applyFill="1" applyBorder="1" applyAlignment="1" applyProtection="1">
      <alignment horizontal="center" vertical="center" textRotation="90"/>
      <protection hidden="1"/>
    </xf>
    <xf numFmtId="0" fontId="14" fillId="18" borderId="8" xfId="0" applyFont="1" applyFill="1" applyBorder="1" applyAlignment="1" applyProtection="1">
      <alignment horizontal="center" vertical="center" textRotation="90"/>
      <protection hidden="1"/>
    </xf>
    <xf numFmtId="0" fontId="14" fillId="18" borderId="9" xfId="0" applyFont="1" applyFill="1" applyBorder="1" applyAlignment="1" applyProtection="1">
      <alignment horizontal="center" vertical="center" textRotation="90"/>
      <protection hidden="1"/>
    </xf>
    <xf numFmtId="0" fontId="14" fillId="5" borderId="7" xfId="0" applyFont="1" applyFill="1" applyBorder="1" applyAlignment="1" applyProtection="1">
      <alignment horizontal="center" vertical="center" textRotation="90"/>
      <protection hidden="1"/>
    </xf>
    <xf numFmtId="0" fontId="14" fillId="5" borderId="8" xfId="0" applyFont="1" applyFill="1" applyBorder="1" applyAlignment="1" applyProtection="1">
      <alignment horizontal="center" vertical="center" textRotation="90"/>
      <protection hidden="1"/>
    </xf>
    <xf numFmtId="0" fontId="14" fillId="5" borderId="9" xfId="0" applyFont="1" applyFill="1" applyBorder="1" applyAlignment="1" applyProtection="1">
      <alignment horizontal="center" vertical="center" textRotation="90"/>
      <protection hidden="1"/>
    </xf>
    <xf numFmtId="0" fontId="14" fillId="19" borderId="7" xfId="0" applyFont="1" applyFill="1" applyBorder="1" applyAlignment="1" applyProtection="1">
      <alignment horizontal="center" vertical="center" textRotation="90"/>
      <protection hidden="1"/>
    </xf>
    <xf numFmtId="0" fontId="14" fillId="19" borderId="8" xfId="0" applyFont="1" applyFill="1" applyBorder="1" applyAlignment="1" applyProtection="1">
      <alignment horizontal="center" vertical="center" textRotation="90"/>
      <protection hidden="1"/>
    </xf>
    <xf numFmtId="0" fontId="14" fillId="19" borderId="9" xfId="0" applyFont="1" applyFill="1" applyBorder="1" applyAlignment="1" applyProtection="1">
      <alignment horizontal="center" vertical="center" textRotation="90"/>
      <protection hidden="1"/>
    </xf>
    <xf numFmtId="0" fontId="1" fillId="20" borderId="1" xfId="0" applyFont="1" applyFill="1" applyBorder="1" applyAlignment="1" applyProtection="1">
      <alignment vertical="center"/>
      <protection hidden="1"/>
    </xf>
    <xf numFmtId="43" fontId="1" fillId="20" borderId="6" xfId="2" applyFont="1" applyFill="1" applyBorder="1" applyAlignment="1" applyProtection="1">
      <alignment horizontal="center" vertical="center"/>
      <protection hidden="1"/>
    </xf>
    <xf numFmtId="43" fontId="6" fillId="20" borderId="1" xfId="2" applyFont="1" applyFill="1" applyBorder="1" applyAlignment="1" applyProtection="1">
      <alignment vertical="center"/>
      <protection hidden="1"/>
    </xf>
    <xf numFmtId="0" fontId="1" fillId="20" borderId="1" xfId="0" applyFont="1" applyFill="1" applyBorder="1" applyAlignment="1">
      <alignment vertical="center"/>
    </xf>
    <xf numFmtId="0" fontId="1" fillId="20" borderId="2" xfId="0" applyFont="1" applyFill="1" applyBorder="1" applyAlignment="1">
      <alignment vertical="center"/>
    </xf>
    <xf numFmtId="49" fontId="0" fillId="5" borderId="0" xfId="0" applyNumberFormat="1" applyFill="1"/>
    <xf numFmtId="49" fontId="0" fillId="0" borderId="0" xfId="0" applyNumberFormat="1"/>
    <xf numFmtId="0" fontId="34" fillId="5" borderId="0" xfId="0" applyFont="1" applyFill="1" applyAlignment="1">
      <alignment vertical="center"/>
    </xf>
    <xf numFmtId="0" fontId="37" fillId="5" borderId="8" xfId="0" applyFont="1" applyFill="1" applyBorder="1" applyAlignment="1" applyProtection="1">
      <alignment horizontal="center" vertical="center" textRotation="255"/>
      <protection hidden="1"/>
    </xf>
    <xf numFmtId="0" fontId="37" fillId="5" borderId="9" xfId="0" applyFont="1" applyFill="1" applyBorder="1" applyAlignment="1" applyProtection="1">
      <alignment horizontal="center" vertical="center" textRotation="255"/>
      <protection hidden="1"/>
    </xf>
    <xf numFmtId="0" fontId="37" fillId="5" borderId="7" xfId="0" applyFont="1" applyFill="1" applyBorder="1" applyAlignment="1" applyProtection="1">
      <alignment horizontal="center" vertical="center" textRotation="255"/>
      <protection hidden="1"/>
    </xf>
    <xf numFmtId="0" fontId="37" fillId="7" borderId="8" xfId="0" applyFont="1" applyFill="1" applyBorder="1" applyAlignment="1" applyProtection="1">
      <alignment horizontal="center" vertical="center" textRotation="255"/>
      <protection hidden="1"/>
    </xf>
    <xf numFmtId="0" fontId="37" fillId="7" borderId="9" xfId="0" applyFont="1" applyFill="1" applyBorder="1" applyAlignment="1" applyProtection="1">
      <alignment horizontal="center" vertical="center" textRotation="255"/>
      <protection hidden="1"/>
    </xf>
    <xf numFmtId="0" fontId="37" fillId="7" borderId="7" xfId="0" applyFont="1" applyFill="1" applyBorder="1" applyAlignment="1" applyProtection="1">
      <alignment horizontal="center" vertical="center" textRotation="255"/>
      <protection hidden="1"/>
    </xf>
    <xf numFmtId="0" fontId="14" fillId="10" borderId="7" xfId="0" applyFont="1" applyFill="1" applyBorder="1" applyAlignment="1" applyProtection="1">
      <alignment horizontal="center" vertical="center" textRotation="90"/>
      <protection hidden="1"/>
    </xf>
    <xf numFmtId="0" fontId="14" fillId="10" borderId="8" xfId="0" applyFont="1" applyFill="1" applyBorder="1" applyAlignment="1" applyProtection="1">
      <alignment horizontal="center" vertical="center" textRotation="90"/>
      <protection hidden="1"/>
    </xf>
    <xf numFmtId="0" fontId="14" fillId="10" borderId="9" xfId="0" applyFont="1" applyFill="1" applyBorder="1" applyAlignment="1" applyProtection="1">
      <alignment horizontal="center" vertical="center" textRotation="90"/>
      <protection hidden="1"/>
    </xf>
    <xf numFmtId="0" fontId="1" fillId="21" borderId="1" xfId="0" applyFont="1" applyFill="1" applyBorder="1" applyAlignment="1">
      <alignment vertical="center"/>
    </xf>
    <xf numFmtId="0" fontId="1" fillId="21" borderId="2" xfId="0" applyFont="1" applyFill="1" applyBorder="1" applyAlignment="1">
      <alignment vertical="center"/>
    </xf>
    <xf numFmtId="0" fontId="14" fillId="22" borderId="7" xfId="0" applyFont="1" applyFill="1" applyBorder="1" applyAlignment="1" applyProtection="1">
      <alignment horizontal="center" vertical="center" textRotation="90"/>
      <protection hidden="1"/>
    </xf>
    <xf numFmtId="0" fontId="14" fillId="22" borderId="8" xfId="0" applyFont="1" applyFill="1" applyBorder="1" applyAlignment="1" applyProtection="1">
      <alignment horizontal="center" vertical="center" textRotation="90"/>
      <protection hidden="1"/>
    </xf>
    <xf numFmtId="0" fontId="14" fillId="22" borderId="9" xfId="0" applyFont="1" applyFill="1" applyBorder="1" applyAlignment="1" applyProtection="1">
      <alignment horizontal="center" vertical="center" textRotation="90"/>
      <protection hidden="1"/>
    </xf>
    <xf numFmtId="0" fontId="1" fillId="19" borderId="1" xfId="0" applyFont="1" applyFill="1" applyBorder="1" applyAlignment="1">
      <alignment vertical="center"/>
    </xf>
    <xf numFmtId="0" fontId="1" fillId="19" borderId="2" xfId="0" applyFont="1" applyFill="1" applyBorder="1" applyAlignment="1">
      <alignment vertical="center"/>
    </xf>
    <xf numFmtId="0" fontId="14" fillId="23" borderId="7" xfId="0" applyFont="1" applyFill="1" applyBorder="1" applyAlignment="1" applyProtection="1">
      <alignment horizontal="center" vertical="center" textRotation="90"/>
      <protection hidden="1"/>
    </xf>
    <xf numFmtId="0" fontId="14" fillId="23" borderId="8" xfId="0" applyFont="1" applyFill="1" applyBorder="1" applyAlignment="1" applyProtection="1">
      <alignment horizontal="center" vertical="center" textRotation="90"/>
      <protection hidden="1"/>
    </xf>
    <xf numFmtId="0" fontId="14" fillId="23" borderId="9" xfId="0" applyFont="1" applyFill="1" applyBorder="1" applyAlignment="1" applyProtection="1">
      <alignment horizontal="center" vertical="center" textRotation="90"/>
      <protection hidden="1"/>
    </xf>
    <xf numFmtId="0" fontId="1" fillId="21" borderId="1" xfId="0" applyFont="1" applyFill="1" applyBorder="1" applyAlignment="1" applyProtection="1">
      <alignment vertical="center"/>
      <protection hidden="1"/>
    </xf>
    <xf numFmtId="0" fontId="1" fillId="19" borderId="1" xfId="0" applyFont="1" applyFill="1" applyBorder="1" applyAlignment="1" applyProtection="1">
      <alignment vertical="center"/>
      <protection hidden="1"/>
    </xf>
    <xf numFmtId="43" fontId="1" fillId="19" borderId="6" xfId="2" applyFont="1" applyFill="1" applyBorder="1" applyAlignment="1" applyProtection="1">
      <alignment horizontal="center" vertical="center"/>
      <protection hidden="1"/>
    </xf>
    <xf numFmtId="43" fontId="1" fillId="21" borderId="6" xfId="2" applyFont="1" applyFill="1" applyBorder="1" applyAlignment="1" applyProtection="1">
      <alignment horizontal="center" vertical="center"/>
      <protection hidden="1"/>
    </xf>
    <xf numFmtId="43" fontId="6" fillId="21" borderId="1" xfId="2" applyFont="1" applyFill="1" applyBorder="1" applyAlignment="1" applyProtection="1">
      <alignment vertical="center"/>
      <protection hidden="1"/>
    </xf>
    <xf numFmtId="43" fontId="6" fillId="19" borderId="1" xfId="2" applyFont="1" applyFill="1" applyBorder="1" applyAlignment="1" applyProtection="1">
      <alignment vertical="center"/>
      <protection hidden="1"/>
    </xf>
    <xf numFmtId="0" fontId="0" fillId="5" borderId="0" xfId="0" applyFill="1" applyProtection="1">
      <protection hidden="1"/>
    </xf>
    <xf numFmtId="0" fontId="40" fillId="5" borderId="0" xfId="0" applyFont="1" applyFill="1" applyProtection="1">
      <protection hidden="1"/>
    </xf>
    <xf numFmtId="4" fontId="40" fillId="5" borderId="0" xfId="0" applyNumberFormat="1" applyFont="1" applyFill="1" applyProtection="1">
      <protection hidden="1"/>
    </xf>
    <xf numFmtId="0" fontId="34" fillId="5" borderId="0" xfId="0" applyFont="1" applyFill="1" applyProtection="1">
      <protection hidden="1"/>
    </xf>
    <xf numFmtId="4" fontId="28" fillId="5" borderId="0" xfId="0" applyNumberFormat="1" applyFont="1" applyFill="1" applyProtection="1">
      <protection hidden="1"/>
    </xf>
    <xf numFmtId="0" fontId="35" fillId="5" borderId="0" xfId="0" applyFont="1" applyFill="1" applyProtection="1">
      <protection hidden="1"/>
    </xf>
    <xf numFmtId="4" fontId="30" fillId="5" borderId="0" xfId="0" applyNumberFormat="1" applyFont="1" applyFill="1" applyProtection="1">
      <protection hidden="1"/>
    </xf>
    <xf numFmtId="0" fontId="39" fillId="5" borderId="0" xfId="0" applyFont="1" applyFill="1" applyProtection="1">
      <protection hidden="1"/>
    </xf>
    <xf numFmtId="0" fontId="40" fillId="5" borderId="10" xfId="0" applyFont="1" applyFill="1" applyBorder="1" applyProtection="1">
      <protection hidden="1"/>
    </xf>
    <xf numFmtId="4" fontId="40" fillId="5" borderId="17" xfId="0" applyNumberFormat="1" applyFont="1" applyFill="1" applyBorder="1" applyProtection="1">
      <protection hidden="1"/>
    </xf>
    <xf numFmtId="0" fontId="40" fillId="5" borderId="29" xfId="0" applyFont="1" applyFill="1" applyBorder="1" applyProtection="1">
      <protection hidden="1"/>
    </xf>
    <xf numFmtId="0" fontId="35" fillId="5" borderId="29" xfId="0" applyFont="1" applyFill="1" applyBorder="1" applyProtection="1">
      <protection hidden="1"/>
    </xf>
    <xf numFmtId="0" fontId="30" fillId="24" borderId="30" xfId="0" applyFont="1" applyFill="1" applyBorder="1" applyProtection="1">
      <protection hidden="1"/>
    </xf>
    <xf numFmtId="4" fontId="40" fillId="5" borderId="31" xfId="0" applyNumberFormat="1" applyFont="1" applyFill="1" applyBorder="1" applyProtection="1">
      <protection hidden="1"/>
    </xf>
    <xf numFmtId="4" fontId="35" fillId="5" borderId="31" xfId="0" applyNumberFormat="1" applyFont="1" applyFill="1" applyBorder="1" applyProtection="1">
      <protection hidden="1"/>
    </xf>
    <xf numFmtId="3" fontId="30" fillId="24" borderId="32" xfId="0" applyNumberFormat="1" applyFont="1" applyFill="1" applyBorder="1" applyProtection="1">
      <protection hidden="1"/>
    </xf>
    <xf numFmtId="0" fontId="39" fillId="7" borderId="33" xfId="0" applyFont="1" applyFill="1" applyBorder="1" applyProtection="1">
      <protection hidden="1"/>
    </xf>
    <xf numFmtId="0" fontId="39" fillId="7" borderId="34" xfId="0" applyFont="1" applyFill="1" applyBorder="1" applyAlignment="1" applyProtection="1">
      <alignment horizontal="center"/>
      <protection hidden="1"/>
    </xf>
    <xf numFmtId="0" fontId="34" fillId="23" borderId="29" xfId="0" applyFont="1" applyFill="1" applyBorder="1" applyProtection="1">
      <protection hidden="1"/>
    </xf>
    <xf numFmtId="4" fontId="34" fillId="23" borderId="31" xfId="0" applyNumberFormat="1" applyFont="1" applyFill="1" applyBorder="1" applyProtection="1">
      <protection hidden="1"/>
    </xf>
    <xf numFmtId="4" fontId="40" fillId="2" borderId="35" xfId="0" applyNumberFormat="1" applyFont="1" applyFill="1" applyBorder="1" applyProtection="1">
      <protection locked="0" hidden="1"/>
    </xf>
    <xf numFmtId="4" fontId="40" fillId="2" borderId="36" xfId="0" applyNumberFormat="1" applyFont="1" applyFill="1" applyBorder="1" applyProtection="1">
      <protection locked="0" hidden="1"/>
    </xf>
    <xf numFmtId="0" fontId="39" fillId="7" borderId="37" xfId="0" applyFont="1" applyFill="1" applyBorder="1" applyAlignment="1" applyProtection="1">
      <alignment horizontal="center"/>
      <protection hidden="1"/>
    </xf>
    <xf numFmtId="0" fontId="39" fillId="7" borderId="38" xfId="0" applyFont="1" applyFill="1" applyBorder="1" applyAlignment="1" applyProtection="1">
      <alignment horizontal="center"/>
      <protection hidden="1"/>
    </xf>
    <xf numFmtId="4" fontId="40" fillId="5" borderId="39" xfId="0" applyNumberFormat="1" applyFont="1" applyFill="1" applyBorder="1" applyProtection="1">
      <protection hidden="1"/>
    </xf>
    <xf numFmtId="4" fontId="40" fillId="5" borderId="40" xfId="0" applyNumberFormat="1" applyFont="1" applyFill="1" applyBorder="1" applyProtection="1">
      <protection hidden="1"/>
    </xf>
    <xf numFmtId="4" fontId="34" fillId="23" borderId="39" xfId="0" applyNumberFormat="1" applyFont="1" applyFill="1" applyBorder="1" applyProtection="1">
      <protection hidden="1"/>
    </xf>
    <xf numFmtId="4" fontId="34" fillId="23" borderId="40" xfId="0" applyNumberFormat="1" applyFont="1" applyFill="1" applyBorder="1" applyProtection="1">
      <protection hidden="1"/>
    </xf>
    <xf numFmtId="4" fontId="35" fillId="5" borderId="39" xfId="0" applyNumberFormat="1" applyFont="1" applyFill="1" applyBorder="1" applyProtection="1">
      <protection hidden="1"/>
    </xf>
    <xf numFmtId="4" fontId="35" fillId="5" borderId="40" xfId="0" applyNumberFormat="1" applyFont="1" applyFill="1" applyBorder="1" applyProtection="1">
      <protection hidden="1"/>
    </xf>
    <xf numFmtId="3" fontId="30" fillId="24" borderId="41" xfId="0" applyNumberFormat="1" applyFont="1" applyFill="1" applyBorder="1" applyProtection="1">
      <protection hidden="1"/>
    </xf>
    <xf numFmtId="3" fontId="30" fillId="24" borderId="42" xfId="0" applyNumberFormat="1" applyFont="1" applyFill="1" applyBorder="1" applyProtection="1">
      <protection hidden="1"/>
    </xf>
    <xf numFmtId="4" fontId="40" fillId="2" borderId="43" xfId="0" applyNumberFormat="1" applyFont="1" applyFill="1" applyBorder="1" applyProtection="1">
      <protection locked="0" hidden="1"/>
    </xf>
    <xf numFmtId="0" fontId="39" fillId="7" borderId="44" xfId="0" applyFont="1" applyFill="1" applyBorder="1" applyAlignment="1" applyProtection="1">
      <alignment horizontal="center"/>
      <protection hidden="1"/>
    </xf>
    <xf numFmtId="4" fontId="40" fillId="5" borderId="45" xfId="0" applyNumberFormat="1" applyFont="1" applyFill="1" applyBorder="1" applyProtection="1">
      <protection hidden="1"/>
    </xf>
    <xf numFmtId="4" fontId="34" fillId="23" borderId="45" xfId="0" applyNumberFormat="1" applyFont="1" applyFill="1" applyBorder="1" applyProtection="1">
      <protection hidden="1"/>
    </xf>
    <xf numFmtId="4" fontId="35" fillId="5" borderId="45" xfId="0" applyNumberFormat="1" applyFont="1" applyFill="1" applyBorder="1" applyProtection="1">
      <protection hidden="1"/>
    </xf>
    <xf numFmtId="3" fontId="30" fillId="24" borderId="46" xfId="0" applyNumberFormat="1" applyFont="1" applyFill="1" applyBorder="1" applyProtection="1">
      <protection hidden="1"/>
    </xf>
    <xf numFmtId="0" fontId="0" fillId="5" borderId="0" xfId="0" applyFill="1" applyAlignment="1" applyProtection="1">
      <alignment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0" fontId="36" fillId="5" borderId="0" xfId="0" applyFont="1" applyFill="1" applyAlignment="1" applyProtection="1">
      <alignment horizontal="left" vertical="center"/>
      <protection hidden="1"/>
    </xf>
    <xf numFmtId="0" fontId="43" fillId="5" borderId="0" xfId="0" applyFont="1" applyFill="1" applyAlignment="1" applyProtection="1">
      <alignment horizontal="center" vertical="center"/>
      <protection hidden="1"/>
    </xf>
    <xf numFmtId="169" fontId="44" fillId="5" borderId="15" xfId="2" applyNumberFormat="1" applyFont="1" applyFill="1" applyBorder="1" applyAlignment="1" applyProtection="1">
      <alignment horizontal="center" vertical="center"/>
      <protection hidden="1"/>
    </xf>
    <xf numFmtId="169" fontId="45" fillId="5" borderId="15" xfId="2" applyNumberFormat="1" applyFont="1" applyFill="1" applyBorder="1" applyAlignment="1" applyProtection="1">
      <alignment horizontal="center" vertical="center"/>
      <protection hidden="1"/>
    </xf>
    <xf numFmtId="0" fontId="1" fillId="23" borderId="6" xfId="0" applyFont="1" applyFill="1" applyBorder="1" applyAlignment="1" applyProtection="1">
      <alignment horizontal="center" vertical="center"/>
      <protection hidden="1"/>
    </xf>
    <xf numFmtId="43" fontId="1" fillId="23" borderId="6" xfId="2" applyFont="1" applyFill="1" applyBorder="1" applyAlignment="1" applyProtection="1">
      <alignment horizontal="center" vertical="center"/>
      <protection locked="0" hidden="1"/>
    </xf>
    <xf numFmtId="0" fontId="0" fillId="7" borderId="0" xfId="0" applyFill="1" applyProtection="1">
      <protection hidden="1"/>
    </xf>
    <xf numFmtId="0" fontId="0" fillId="7" borderId="0" xfId="0" applyFill="1" applyAlignment="1" applyProtection="1">
      <alignment vertical="center"/>
      <protection hidden="1"/>
    </xf>
    <xf numFmtId="0" fontId="40" fillId="7" borderId="0" xfId="0" applyFont="1" applyFill="1" applyProtection="1">
      <protection hidden="1"/>
    </xf>
    <xf numFmtId="0" fontId="34" fillId="7" borderId="0" xfId="0" applyFont="1" applyFill="1" applyProtection="1">
      <protection hidden="1"/>
    </xf>
    <xf numFmtId="0" fontId="35" fillId="7" borderId="0" xfId="0" applyFont="1" applyFill="1" applyProtection="1">
      <protection hidden="1"/>
    </xf>
    <xf numFmtId="0" fontId="39" fillId="7" borderId="0" xfId="0" applyFont="1" applyFill="1" applyProtection="1">
      <protection hidden="1"/>
    </xf>
    <xf numFmtId="0" fontId="0" fillId="5" borderId="6" xfId="0" applyFill="1" applyBorder="1" applyAlignment="1" applyProtection="1">
      <alignment vertical="center"/>
      <protection hidden="1"/>
    </xf>
    <xf numFmtId="43" fontId="0" fillId="5" borderId="0" xfId="2" applyFont="1" applyFill="1"/>
    <xf numFmtId="43" fontId="0" fillId="5" borderId="0" xfId="0" applyNumberFormat="1" applyFill="1"/>
    <xf numFmtId="4" fontId="0" fillId="5" borderId="0" xfId="0" applyNumberFormat="1" applyFill="1"/>
    <xf numFmtId="10" fontId="41" fillId="2" borderId="6" xfId="3" applyNumberFormat="1" applyFont="1" applyFill="1" applyBorder="1" applyAlignment="1" applyProtection="1">
      <alignment horizontal="center" wrapText="1"/>
      <protection hidden="1"/>
    </xf>
    <xf numFmtId="43" fontId="15" fillId="5" borderId="0" xfId="2" applyFont="1" applyFill="1" applyAlignment="1">
      <alignment horizontal="center" vertical="center" textRotation="90"/>
    </xf>
    <xf numFmtId="43" fontId="15" fillId="5" borderId="0" xfId="2" applyFont="1" applyFill="1" applyAlignment="1">
      <alignment textRotation="90"/>
    </xf>
    <xf numFmtId="43" fontId="17" fillId="5" borderId="0" xfId="2" applyFont="1" applyFill="1" applyAlignment="1">
      <alignment horizontal="center" vertical="center" textRotation="90"/>
    </xf>
    <xf numFmtId="43" fontId="17" fillId="5" borderId="0" xfId="2" applyFont="1" applyFill="1" applyAlignment="1">
      <alignment textRotation="90"/>
    </xf>
    <xf numFmtId="0" fontId="47" fillId="5" borderId="0" xfId="0" applyFont="1" applyFill="1" applyAlignment="1" applyProtection="1">
      <alignment horizontal="center"/>
      <protection locked="0" hidden="1"/>
    </xf>
    <xf numFmtId="43" fontId="48" fillId="5" borderId="6" xfId="2" applyFont="1" applyFill="1" applyBorder="1" applyAlignment="1">
      <alignment horizontal="left" vertical="center"/>
    </xf>
    <xf numFmtId="43" fontId="49" fillId="5" borderId="4" xfId="2" applyFont="1" applyFill="1" applyBorder="1" applyAlignment="1">
      <alignment horizontal="left" vertical="center"/>
    </xf>
    <xf numFmtId="43" fontId="50" fillId="5" borderId="4" xfId="2" applyFont="1" applyFill="1" applyBorder="1" applyAlignment="1">
      <alignment horizontal="left" vertical="center"/>
    </xf>
    <xf numFmtId="168" fontId="51" fillId="5" borderId="7" xfId="2" applyNumberFormat="1" applyFont="1" applyFill="1" applyBorder="1" applyAlignment="1" applyProtection="1">
      <alignment horizontal="center" vertical="center" textRotation="90"/>
      <protection hidden="1"/>
    </xf>
    <xf numFmtId="168" fontId="51" fillId="5" borderId="8" xfId="2" applyNumberFormat="1" applyFont="1" applyFill="1" applyBorder="1" applyAlignment="1" applyProtection="1">
      <alignment horizontal="center" vertical="center" textRotation="90"/>
      <protection hidden="1"/>
    </xf>
    <xf numFmtId="168" fontId="51" fillId="5" borderId="9" xfId="2" applyNumberFormat="1" applyFont="1" applyFill="1" applyBorder="1" applyAlignment="1" applyProtection="1">
      <alignment horizontal="center" vertical="center" textRotation="90"/>
      <protection hidden="1"/>
    </xf>
    <xf numFmtId="169" fontId="51" fillId="5" borderId="8" xfId="2" applyNumberFormat="1" applyFont="1" applyFill="1" applyBorder="1" applyAlignment="1" applyProtection="1">
      <alignment horizontal="center" vertical="top" textRotation="90"/>
      <protection hidden="1"/>
    </xf>
    <xf numFmtId="169" fontId="51" fillId="5" borderId="9" xfId="2" applyNumberFormat="1" applyFont="1" applyFill="1" applyBorder="1" applyAlignment="1" applyProtection="1">
      <alignment horizontal="center" vertical="top" textRotation="90"/>
      <protection hidden="1"/>
    </xf>
    <xf numFmtId="169" fontId="51" fillId="5" borderId="7" xfId="2" applyNumberFormat="1" applyFont="1" applyFill="1" applyBorder="1" applyAlignment="1" applyProtection="1">
      <alignment horizontal="center" vertical="top" textRotation="90"/>
      <protection hidden="1"/>
    </xf>
    <xf numFmtId="168" fontId="46" fillId="5" borderId="7" xfId="2" applyNumberFormat="1" applyFont="1" applyFill="1" applyBorder="1" applyAlignment="1" applyProtection="1">
      <alignment horizontal="center" vertical="center" textRotation="90"/>
      <protection hidden="1"/>
    </xf>
    <xf numFmtId="168" fontId="46" fillId="5" borderId="8" xfId="2" applyNumberFormat="1" applyFont="1" applyFill="1" applyBorder="1" applyAlignment="1" applyProtection="1">
      <alignment horizontal="center" vertical="center" textRotation="90"/>
      <protection hidden="1"/>
    </xf>
    <xf numFmtId="168" fontId="46" fillId="5" borderId="9" xfId="2" applyNumberFormat="1" applyFont="1" applyFill="1" applyBorder="1" applyAlignment="1" applyProtection="1">
      <alignment horizontal="center" vertical="center" textRotation="90"/>
      <protection hidden="1"/>
    </xf>
    <xf numFmtId="167" fontId="51" fillId="5" borderId="8" xfId="2" applyNumberFormat="1" applyFont="1" applyFill="1" applyBorder="1" applyAlignment="1" applyProtection="1">
      <alignment horizontal="center" vertical="center" textRotation="90"/>
      <protection hidden="1"/>
    </xf>
    <xf numFmtId="167" fontId="51" fillId="5" borderId="9" xfId="2" applyNumberFormat="1" applyFont="1" applyFill="1" applyBorder="1" applyAlignment="1" applyProtection="1">
      <alignment horizontal="center" vertical="center" textRotation="90"/>
      <protection hidden="1"/>
    </xf>
    <xf numFmtId="167" fontId="51" fillId="5" borderId="7" xfId="2" applyNumberFormat="1" applyFont="1" applyFill="1" applyBorder="1" applyAlignment="1" applyProtection="1">
      <alignment horizontal="center" vertical="center" textRotation="90"/>
      <protection hidden="1"/>
    </xf>
    <xf numFmtId="168" fontId="41" fillId="5" borderId="4" xfId="2" applyNumberFormat="1" applyFont="1" applyFill="1" applyBorder="1" applyAlignment="1">
      <alignment horizontal="left" vertical="center" wrapText="1"/>
    </xf>
    <xf numFmtId="43" fontId="6" fillId="7" borderId="6" xfId="2" applyFont="1" applyFill="1" applyBorder="1" applyAlignment="1" applyProtection="1">
      <alignment horizontal="center" vertical="center"/>
      <protection hidden="1"/>
    </xf>
    <xf numFmtId="0" fontId="52" fillId="5" borderId="11" xfId="0" applyFont="1" applyFill="1" applyBorder="1" applyAlignment="1" applyProtection="1">
      <alignment vertical="center"/>
      <protection hidden="1"/>
    </xf>
    <xf numFmtId="14" fontId="1" fillId="7" borderId="0" xfId="0" applyNumberFormat="1" applyFont="1" applyFill="1" applyAlignment="1" applyProtection="1">
      <alignment vertical="center"/>
      <protection hidden="1"/>
    </xf>
    <xf numFmtId="14" fontId="1" fillId="2" borderId="0" xfId="0" applyNumberFormat="1" applyFont="1" applyFill="1" applyAlignment="1" applyProtection="1">
      <alignment vertical="center"/>
      <protection hidden="1"/>
    </xf>
    <xf numFmtId="14" fontId="1" fillId="5" borderId="0" xfId="0" applyNumberFormat="1" applyFont="1" applyFill="1" applyAlignment="1" applyProtection="1">
      <alignment vertical="center"/>
      <protection hidden="1"/>
    </xf>
    <xf numFmtId="164" fontId="10" fillId="2" borderId="0" xfId="0" applyNumberFormat="1" applyFont="1" applyFill="1" applyAlignment="1" applyProtection="1">
      <alignment horizontal="center" vertical="center"/>
      <protection locked="0" hidden="1"/>
    </xf>
    <xf numFmtId="164" fontId="10" fillId="5" borderId="15" xfId="0" applyNumberFormat="1" applyFont="1" applyFill="1" applyBorder="1" applyAlignment="1" applyProtection="1">
      <alignment horizontal="center" vertical="center"/>
      <protection hidden="1"/>
    </xf>
    <xf numFmtId="49" fontId="34" fillId="2" borderId="0" xfId="0" applyNumberFormat="1" applyFont="1" applyFill="1" applyAlignment="1">
      <alignment vertical="center"/>
    </xf>
    <xf numFmtId="0" fontId="34" fillId="2" borderId="0" xfId="0" applyFont="1" applyFill="1" applyAlignment="1">
      <alignment vertical="center"/>
    </xf>
    <xf numFmtId="43" fontId="0" fillId="5" borderId="0" xfId="2" applyFont="1" applyFill="1" applyAlignment="1">
      <alignment vertical="center"/>
    </xf>
    <xf numFmtId="1" fontId="34" fillId="2" borderId="0" xfId="0" applyNumberFormat="1" applyFont="1" applyFill="1" applyAlignment="1" applyProtection="1">
      <alignment vertical="center"/>
      <protection locked="0"/>
    </xf>
    <xf numFmtId="43" fontId="53" fillId="25" borderId="0" xfId="2" applyFont="1" applyFill="1" applyAlignment="1">
      <alignment vertical="center"/>
    </xf>
    <xf numFmtId="43" fontId="1" fillId="26" borderId="6" xfId="2" applyFont="1" applyFill="1" applyBorder="1" applyAlignment="1" applyProtection="1">
      <alignment horizontal="center" vertical="center"/>
      <protection locked="0" hidden="1"/>
    </xf>
    <xf numFmtId="0" fontId="55" fillId="7" borderId="0" xfId="0" applyFont="1" applyFill="1" applyAlignment="1" applyProtection="1">
      <alignment horizontal="center" vertical="center"/>
      <protection hidden="1"/>
    </xf>
    <xf numFmtId="0" fontId="6" fillId="27" borderId="6" xfId="0" quotePrefix="1" applyFont="1" applyFill="1" applyBorder="1" applyAlignment="1" applyProtection="1">
      <alignment vertical="center"/>
      <protection locked="0" hidden="1"/>
    </xf>
    <xf numFmtId="0" fontId="56" fillId="5" borderId="15" xfId="0" applyFont="1" applyFill="1" applyBorder="1" applyAlignment="1" applyProtection="1">
      <alignment vertical="center"/>
      <protection hidden="1"/>
    </xf>
    <xf numFmtId="0" fontId="57" fillId="0" borderId="15" xfId="0" applyFont="1" applyBorder="1" applyAlignment="1">
      <alignment vertical="center"/>
    </xf>
    <xf numFmtId="0" fontId="1" fillId="5" borderId="13" xfId="0" applyFont="1" applyFill="1" applyBorder="1" applyAlignment="1" applyProtection="1">
      <alignment horizontal="center" vertical="center"/>
      <protection hidden="1"/>
    </xf>
    <xf numFmtId="0" fontId="9" fillId="5" borderId="10" xfId="0" applyFont="1" applyFill="1" applyBorder="1" applyAlignment="1" applyProtection="1">
      <alignment horizontal="center" vertical="center" wrapText="1"/>
      <protection hidden="1"/>
    </xf>
    <xf numFmtId="0" fontId="31" fillId="5" borderId="11" xfId="0" applyFont="1" applyFill="1" applyBorder="1" applyAlignment="1" applyProtection="1">
      <alignment horizontal="center" vertical="center"/>
      <protection hidden="1"/>
    </xf>
    <xf numFmtId="0" fontId="31" fillId="5" borderId="12" xfId="0" applyFont="1" applyFill="1" applyBorder="1" applyAlignment="1" applyProtection="1">
      <alignment horizontal="center" vertical="center"/>
      <protection hidden="1"/>
    </xf>
    <xf numFmtId="0" fontId="31" fillId="5" borderId="3" xfId="0" applyFont="1" applyFill="1" applyBorder="1" applyAlignment="1" applyProtection="1">
      <alignment horizontal="center" vertical="center"/>
      <protection hidden="1"/>
    </xf>
    <xf numFmtId="0" fontId="31" fillId="5" borderId="0" xfId="0" applyFont="1" applyFill="1" applyAlignment="1" applyProtection="1">
      <alignment horizontal="center" vertical="center"/>
      <protection hidden="1"/>
    </xf>
    <xf numFmtId="0" fontId="31" fillId="5" borderId="13" xfId="0" applyFont="1" applyFill="1" applyBorder="1" applyAlignment="1" applyProtection="1">
      <alignment horizontal="center" vertical="center"/>
      <protection hidden="1"/>
    </xf>
    <xf numFmtId="0" fontId="31" fillId="5" borderId="14" xfId="0" applyFont="1" applyFill="1" applyBorder="1" applyAlignment="1" applyProtection="1">
      <alignment horizontal="center" vertical="center"/>
      <protection hidden="1"/>
    </xf>
    <xf numFmtId="0" fontId="31" fillId="5" borderId="15" xfId="0" applyFont="1" applyFill="1" applyBorder="1" applyAlignment="1" applyProtection="1">
      <alignment horizontal="center" vertical="center"/>
      <protection hidden="1"/>
    </xf>
    <xf numFmtId="0" fontId="31" fillId="5" borderId="16" xfId="0" applyFont="1" applyFill="1" applyBorder="1" applyAlignment="1" applyProtection="1">
      <alignment horizontal="center" vertical="center"/>
      <protection hidden="1"/>
    </xf>
    <xf numFmtId="0" fontId="3" fillId="2" borderId="6" xfId="0" applyFont="1" applyFill="1" applyBorder="1" applyAlignment="1" applyProtection="1">
      <alignment horizontal="center" vertical="center"/>
      <protection locked="0" hidden="1"/>
    </xf>
    <xf numFmtId="165" fontId="27" fillId="5" borderId="0" xfId="0" applyNumberFormat="1" applyFont="1" applyFill="1" applyAlignment="1" applyProtection="1">
      <alignment horizontal="center" vertical="center"/>
      <protection hidden="1"/>
    </xf>
    <xf numFmtId="0" fontId="2" fillId="5" borderId="6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0" fontId="38" fillId="5" borderId="6" xfId="1" applyFont="1" applyFill="1" applyBorder="1" applyAlignment="1" applyProtection="1">
      <alignment horizontal="center" vertical="center"/>
      <protection hidden="1"/>
    </xf>
    <xf numFmtId="0" fontId="38" fillId="12" borderId="6" xfId="1" applyFont="1" applyFill="1" applyBorder="1" applyAlignment="1" applyProtection="1">
      <alignment horizontal="center" vertical="center"/>
      <protection hidden="1"/>
    </xf>
    <xf numFmtId="0" fontId="38" fillId="23" borderId="6" xfId="1" applyFont="1" applyFill="1" applyBorder="1" applyAlignment="1" applyProtection="1">
      <alignment horizontal="center" vertical="center"/>
      <protection hidden="1"/>
    </xf>
    <xf numFmtId="0" fontId="32" fillId="5" borderId="11" xfId="0" applyFont="1" applyFill="1" applyBorder="1" applyAlignment="1" applyProtection="1">
      <alignment horizontal="center" vertical="center" wrapText="1"/>
      <protection hidden="1"/>
    </xf>
    <xf numFmtId="0" fontId="32" fillId="5" borderId="0" xfId="0" applyFont="1" applyFill="1" applyAlignment="1" applyProtection="1">
      <alignment horizontal="center" vertical="center" wrapText="1"/>
      <protection hidden="1"/>
    </xf>
    <xf numFmtId="0" fontId="11" fillId="5" borderId="17" xfId="0" applyFont="1" applyFill="1" applyBorder="1" applyAlignment="1" applyProtection="1">
      <alignment horizontal="center" vertical="center"/>
      <protection hidden="1"/>
    </xf>
    <xf numFmtId="0" fontId="12" fillId="5" borderId="4" xfId="0" applyFont="1" applyFill="1" applyBorder="1" applyAlignment="1" applyProtection="1">
      <alignment horizontal="center" vertical="center"/>
      <protection hidden="1"/>
    </xf>
    <xf numFmtId="0" fontId="13" fillId="5" borderId="17" xfId="0" applyFont="1" applyFill="1" applyBorder="1" applyAlignment="1" applyProtection="1">
      <alignment horizontal="center" vertical="center" wrapText="1"/>
      <protection hidden="1"/>
    </xf>
    <xf numFmtId="0" fontId="13" fillId="5" borderId="47" xfId="0" applyFont="1" applyFill="1" applyBorder="1" applyAlignment="1" applyProtection="1">
      <alignment horizontal="center" vertical="center" wrapText="1"/>
      <protection hidden="1"/>
    </xf>
    <xf numFmtId="0" fontId="13" fillId="5" borderId="4" xfId="0" applyFont="1" applyFill="1" applyBorder="1" applyAlignment="1" applyProtection="1">
      <alignment horizontal="center" vertical="center" wrapText="1"/>
      <protection hidden="1"/>
    </xf>
    <xf numFmtId="0" fontId="4" fillId="5" borderId="6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6" fillId="7" borderId="6" xfId="0" applyFont="1" applyFill="1" applyBorder="1" applyAlignment="1" applyProtection="1">
      <alignment horizontal="center" vertical="center"/>
      <protection hidden="1"/>
    </xf>
    <xf numFmtId="0" fontId="25" fillId="5" borderId="1" xfId="0" applyFont="1" applyFill="1" applyBorder="1" applyAlignment="1" applyProtection="1">
      <alignment horizontal="center" vertical="center" wrapText="1"/>
      <protection hidden="1"/>
    </xf>
    <xf numFmtId="0" fontId="25" fillId="5" borderId="5" xfId="0" applyFont="1" applyFill="1" applyBorder="1" applyAlignment="1" applyProtection="1">
      <alignment horizontal="center" vertical="center" wrapText="1"/>
      <protection hidden="1"/>
    </xf>
    <xf numFmtId="0" fontId="25" fillId="5" borderId="2" xfId="0" applyFont="1" applyFill="1" applyBorder="1" applyAlignment="1" applyProtection="1">
      <alignment horizontal="center" vertical="center" wrapText="1"/>
      <protection hidden="1"/>
    </xf>
    <xf numFmtId="168" fontId="46" fillId="5" borderId="17" xfId="2" applyNumberFormat="1" applyFont="1" applyFill="1" applyBorder="1" applyAlignment="1">
      <alignment horizontal="center" vertical="center" textRotation="90"/>
    </xf>
    <xf numFmtId="168" fontId="46" fillId="5" borderId="4" xfId="2" applyNumberFormat="1" applyFont="1" applyFill="1" applyBorder="1" applyAlignment="1">
      <alignment horizontal="center" vertical="center" textRotation="90"/>
    </xf>
    <xf numFmtId="43" fontId="46" fillId="5" borderId="17" xfId="2" applyFont="1" applyFill="1" applyBorder="1" applyAlignment="1">
      <alignment horizontal="center" vertical="center" textRotation="90"/>
    </xf>
    <xf numFmtId="43" fontId="17" fillId="5" borderId="4" xfId="2" applyFont="1" applyFill="1" applyBorder="1" applyAlignment="1">
      <alignment horizontal="center" vertical="center" textRotation="90"/>
    </xf>
  </cellXfs>
  <cellStyles count="4">
    <cellStyle name="Collegamento ipertestuale" xfId="1" builtinId="8"/>
    <cellStyle name="Migliaia" xfId="2" builtinId="3"/>
    <cellStyle name="Normale" xfId="0" builtinId="0"/>
    <cellStyle name="Percentuale" xfId="3" builtinId="5"/>
  </cellStyles>
  <dxfs count="2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dotted">
          <color indexed="64"/>
        </left>
        <right style="thin">
          <color indexed="64"/>
        </right>
        <top style="thin">
          <color indexed="64"/>
        </top>
      </border>
    </dxf>
    <dxf>
      <border>
        <left style="dotted">
          <color indexed="64"/>
        </left>
        <right style="dotted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3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9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923269325335875E-2"/>
          <c:y val="5.4711189356858834E-2"/>
          <c:w val="0.71329434184177154"/>
          <c:h val="0.83890577507598785"/>
        </c:manualLayout>
      </c:layout>
      <c:areaChart>
        <c:grouping val="standard"/>
        <c:varyColors val="0"/>
        <c:ser>
          <c:idx val="9"/>
          <c:order val="10"/>
          <c:tx>
            <c:strRef>
              <c:f>GRA!$B$8</c:f>
              <c:strCache>
                <c:ptCount val="1"/>
                <c:pt idx="0">
                  <c:v>% RN</c:v>
                </c:pt>
              </c:strCache>
            </c:strRef>
          </c:tx>
          <c:spPr>
            <a:solidFill>
              <a:srgbClr val="99CC00"/>
            </a:solidFill>
            <a:ln w="25400">
              <a:noFill/>
            </a:ln>
          </c:spPr>
          <c:val>
            <c:numRef>
              <c:f>GRA!$C$8:$I$8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61-4DB0-B208-D87CA856D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86944"/>
        <c:axId val="93588480"/>
      </c:areaChart>
      <c:lineChart>
        <c:grouping val="standard"/>
        <c:varyColors val="0"/>
        <c:ser>
          <c:idx val="10"/>
          <c:order val="0"/>
          <c:tx>
            <c:v>Totale PRESENZE</c:v>
          </c:tx>
          <c:spPr>
            <a:ln w="57150">
              <a:solidFill>
                <a:srgbClr val="C00000"/>
              </a:solidFill>
            </a:ln>
          </c:spPr>
          <c:marker>
            <c:symbol val="none"/>
          </c:marker>
          <c:cat>
            <c:strRef>
              <c:f>TABELLA!$AG$9:$AM$9</c:f>
              <c:strCache>
                <c:ptCount val="7"/>
                <c:pt idx="0">
                  <c:v>DOM</c:v>
                </c:pt>
                <c:pt idx="1">
                  <c:v>LUN</c:v>
                </c:pt>
                <c:pt idx="2">
                  <c:v>MAR</c:v>
                </c:pt>
                <c:pt idx="3">
                  <c:v>MER</c:v>
                </c:pt>
                <c:pt idx="4">
                  <c:v>GIO</c:v>
                </c:pt>
                <c:pt idx="5">
                  <c:v>VEN</c:v>
                </c:pt>
                <c:pt idx="6">
                  <c:v>SAB</c:v>
                </c:pt>
              </c:strCache>
            </c:strRef>
          </c:cat>
          <c:val>
            <c:numRef>
              <c:f>TABELLA!$AG$78:$AM$78</c:f>
            </c:numRef>
          </c:val>
          <c:smooth val="1"/>
          <c:extLst>
            <c:ext xmlns:c16="http://schemas.microsoft.com/office/drawing/2014/chart" uri="{C3380CC4-5D6E-409C-BE32-E72D297353CC}">
              <c16:uniqueId val="{00000001-CC61-4DB0-B208-D87CA856D890}"/>
            </c:ext>
          </c:extLst>
        </c:ser>
        <c:ser>
          <c:idx val="0"/>
          <c:order val="1"/>
          <c:tx>
            <c:strRef>
              <c:f>TABELLA!$C$51</c:f>
              <c:strCache>
                <c:ptCount val="1"/>
                <c:pt idx="0">
                  <c:v>GROCERY SURG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ysDash"/>
            </a:ln>
          </c:spPr>
          <c:marker>
            <c:symbol val="none"/>
          </c:marker>
          <c:val>
            <c:numRef>
              <c:f>TABELLA!$AG$69:$AM$69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C61-4DB0-B208-D87CA856D890}"/>
            </c:ext>
          </c:extLst>
        </c:ser>
        <c:ser>
          <c:idx val="1"/>
          <c:order val="2"/>
          <c:tx>
            <c:strRef>
              <c:f>TABELLA!$C$52</c:f>
              <c:strCache>
                <c:ptCount val="1"/>
                <c:pt idx="0">
                  <c:v>CARNE</c:v>
                </c:pt>
              </c:strCache>
            </c:strRef>
          </c:tx>
          <c:spPr>
            <a:ln w="25400">
              <a:solidFill>
                <a:srgbClr val="FF9900"/>
              </a:solidFill>
              <a:prstDash val="sysDash"/>
            </a:ln>
          </c:spPr>
          <c:marker>
            <c:symbol val="none"/>
          </c:marker>
          <c:val>
            <c:numRef>
              <c:f>TABELLA!$AG$70:$AM$70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C61-4DB0-B208-D87CA856D890}"/>
            </c:ext>
          </c:extLst>
        </c:ser>
        <c:ser>
          <c:idx val="2"/>
          <c:order val="3"/>
          <c:tx>
            <c:strRef>
              <c:f>TABELLA!$C$53</c:f>
              <c:strCache>
                <c:ptCount val="1"/>
                <c:pt idx="0">
                  <c:v>ORTOFRUTTA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ys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Verdana"/>
                    <a:ea typeface="Verdana"/>
                    <a:cs typeface="Verdana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TABELLA!$AG$71:$AM$71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CC61-4DB0-B208-D87CA856D890}"/>
            </c:ext>
          </c:extLst>
        </c:ser>
        <c:ser>
          <c:idx val="3"/>
          <c:order val="4"/>
          <c:tx>
            <c:strRef>
              <c:f>TABELLA!$C$54</c:f>
              <c:strCache>
                <c:ptCount val="1"/>
                <c:pt idx="0">
                  <c:v>LATTICINI CREMERIA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ysDash"/>
            </a:ln>
          </c:spPr>
          <c:marker>
            <c:symbol val="none"/>
          </c:marker>
          <c:val>
            <c:numRef>
              <c:f>TABELLA!$AG$72:$AM$72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C61-4DB0-B208-D87CA856D890}"/>
            </c:ext>
          </c:extLst>
        </c:ser>
        <c:ser>
          <c:idx val="4"/>
          <c:order val="5"/>
          <c:tx>
            <c:strRef>
              <c:f>TABELLA!$C$55</c:f>
              <c:strCache>
                <c:ptCount val="1"/>
                <c:pt idx="0">
                  <c:v>PESCE</c:v>
                </c:pt>
              </c:strCache>
            </c:strRef>
          </c:tx>
          <c:spPr>
            <a:ln w="25400">
              <a:solidFill>
                <a:srgbClr val="99CCFF"/>
              </a:solidFill>
              <a:prstDash val="sysDash"/>
            </a:ln>
          </c:spPr>
          <c:marker>
            <c:symbol val="none"/>
          </c:marker>
          <c:val>
            <c:numRef>
              <c:f>TABELLA!$AG$73:$AM$73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C61-4DB0-B208-D87CA856D890}"/>
            </c:ext>
          </c:extLst>
        </c:ser>
        <c:ser>
          <c:idx val="5"/>
          <c:order val="6"/>
          <c:tx>
            <c:strRef>
              <c:f>TABELLA!$C$56</c:f>
              <c:strCache>
                <c:ptCount val="1"/>
                <c:pt idx="0">
                  <c:v>FORNO</c:v>
                </c:pt>
              </c:strCache>
            </c:strRef>
          </c:tx>
          <c:spPr>
            <a:ln w="25400">
              <a:solidFill>
                <a:srgbClr val="FF8080"/>
              </a:solidFill>
              <a:prstDash val="sysDash"/>
            </a:ln>
          </c:spPr>
          <c:marker>
            <c:symbol val="none"/>
          </c:marker>
          <c:val>
            <c:numRef>
              <c:f>TABELLA!$AG$74:$AM$74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CC61-4DB0-B208-D87CA856D890}"/>
            </c:ext>
          </c:extLst>
        </c:ser>
        <c:ser>
          <c:idx val="6"/>
          <c:order val="7"/>
          <c:tx>
            <c:strRef>
              <c:f>TABELLA!$C$57</c:f>
              <c:strCache>
                <c:ptCount val="1"/>
                <c:pt idx="0">
                  <c:v>CASSE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ysDash"/>
            </a:ln>
          </c:spPr>
          <c:marker>
            <c:symbol val="none"/>
          </c:marker>
          <c:val>
            <c:numRef>
              <c:f>TABELLA!$AG$75:$AM$75</c:f>
              <c:numCache>
                <c:formatCode>_(* #,##0.00_);_(* \(#,##0.00\);_(* "-"??_);_(@_)</c:formatCode>
                <c:ptCount val="7"/>
                <c:pt idx="0">
                  <c:v>10.452961672473867</c:v>
                </c:pt>
                <c:pt idx="1">
                  <c:v>13.704994192799072</c:v>
                </c:pt>
                <c:pt idx="2">
                  <c:v>14.518002322880369</c:v>
                </c:pt>
                <c:pt idx="3">
                  <c:v>14.053426248548201</c:v>
                </c:pt>
                <c:pt idx="4">
                  <c:v>16.144018583042975</c:v>
                </c:pt>
                <c:pt idx="5">
                  <c:v>16.608594657375146</c:v>
                </c:pt>
                <c:pt idx="6">
                  <c:v>14.518002322880367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CC61-4DB0-B208-D87CA856D890}"/>
            </c:ext>
          </c:extLst>
        </c:ser>
        <c:ser>
          <c:idx val="7"/>
          <c:order val="8"/>
          <c:tx>
            <c:strRef>
              <c:f>TABELLA!$C$58</c:f>
              <c:strCache>
                <c:ptCount val="1"/>
                <c:pt idx="0">
                  <c:v>SERVIZI GENERALI</c:v>
                </c:pt>
              </c:strCache>
            </c:strRef>
          </c:tx>
          <c:val>
            <c:numRef>
              <c:f>TABELLA!$AG$76:$AM$76</c:f>
            </c:numRef>
          </c:val>
          <c:smooth val="1"/>
          <c:extLst>
            <c:ext xmlns:c16="http://schemas.microsoft.com/office/drawing/2014/chart" uri="{C3380CC4-5D6E-409C-BE32-E72D297353CC}">
              <c16:uniqueId val="{00000009-CC61-4DB0-B208-D87CA856D890}"/>
            </c:ext>
          </c:extLst>
        </c:ser>
        <c:ser>
          <c:idx val="8"/>
          <c:order val="9"/>
          <c:tx>
            <c:strRef>
              <c:f>TABELLA!$C$59</c:f>
              <c:strCache>
                <c:ptCount val="1"/>
                <c:pt idx="0">
                  <c:v>NOFOOD</c:v>
                </c:pt>
              </c:strCache>
            </c:strRef>
          </c:tx>
          <c:val>
            <c:numRef>
              <c:f>TABELLA!$AG$77:$AM$77</c:f>
            </c:numRef>
          </c:val>
          <c:smooth val="1"/>
          <c:extLst>
            <c:ext xmlns:c16="http://schemas.microsoft.com/office/drawing/2014/chart" uri="{C3380CC4-5D6E-409C-BE32-E72D297353CC}">
              <c16:uniqueId val="{0000000A-CC61-4DB0-B208-D87CA856D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86944"/>
        <c:axId val="93588480"/>
      </c:lineChart>
      <c:lineChart>
        <c:grouping val="standard"/>
        <c:varyColors val="0"/>
        <c:ser>
          <c:idx val="11"/>
          <c:order val="11"/>
          <c:tx>
            <c:strRef>
              <c:f>TABELLA!$AQ$7</c:f>
              <c:strCache>
                <c:ptCount val="1"/>
                <c:pt idx="0">
                  <c:v>P.O.L.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40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GRA!$C$11:$I$11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C61-4DB0-B208-D87CA856D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602560"/>
        <c:axId val="93604096"/>
      </c:lineChart>
      <c:catAx>
        <c:axId val="935869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ge\ne\r\a\a\l" sourceLinked="1"/>
        <c:majorTickMark val="out"/>
        <c:minorTickMark val="none"/>
        <c:tickLblPos val="nextTo"/>
        <c:crossAx val="93588480"/>
        <c:crosses val="autoZero"/>
        <c:auto val="1"/>
        <c:lblAlgn val="ctr"/>
        <c:lblOffset val="100"/>
        <c:noMultiLvlLbl val="0"/>
      </c:catAx>
      <c:valAx>
        <c:axId val="93588480"/>
        <c:scaling>
          <c:orientation val="minMax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93586944"/>
        <c:crosses val="autoZero"/>
        <c:crossBetween val="between"/>
      </c:valAx>
      <c:catAx>
        <c:axId val="93602560"/>
        <c:scaling>
          <c:orientation val="minMax"/>
        </c:scaling>
        <c:delete val="0"/>
        <c:axPos val="b"/>
        <c:majorTickMark val="none"/>
        <c:minorTickMark val="none"/>
        <c:tickLblPos val="none"/>
        <c:crossAx val="93604096"/>
        <c:crosses val="autoZero"/>
        <c:auto val="1"/>
        <c:lblAlgn val="ctr"/>
        <c:lblOffset val="100"/>
        <c:noMultiLvlLbl val="0"/>
      </c:catAx>
      <c:valAx>
        <c:axId val="93604096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crossAx val="93602560"/>
        <c:crosses val="max"/>
        <c:crossBetween val="between"/>
      </c:valAx>
      <c:spPr>
        <a:gradFill rotWithShape="0">
          <a:gsLst>
            <a:gs pos="0">
              <a:srgbClr val="CCCCFF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84194304644075879"/>
          <c:y val="4.6683046683046688E-2"/>
          <c:w val="0.14880493446414694"/>
          <c:h val="0.85503846724320065"/>
        </c:manualLayout>
      </c:layout>
      <c:overlay val="0"/>
      <c:spPr>
        <a:solidFill>
          <a:srgbClr val="FFFFFF"/>
        </a:solidFill>
        <a:ln w="3175">
          <a:solidFill>
            <a:srgbClr val="80808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04259976558878"/>
          <c:y val="7.3394714600996933E-2"/>
          <c:w val="0.88649008812861707"/>
          <c:h val="0.76147016398534251"/>
        </c:manualLayout>
      </c:layout>
      <c:areaChart>
        <c:grouping val="standard"/>
        <c:varyColors val="0"/>
        <c:ser>
          <c:idx val="9"/>
          <c:order val="9"/>
          <c:tx>
            <c:strRef>
              <c:f>DOM!$G$68</c:f>
              <c:strCache>
                <c:ptCount val="1"/>
                <c:pt idx="0">
                  <c:v> % Vendite 15'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DOM!$H$68:$CE$68</c:f>
            </c:numRef>
          </c:val>
          <c:extLst>
            <c:ext xmlns:c16="http://schemas.microsoft.com/office/drawing/2014/chart" uri="{C3380CC4-5D6E-409C-BE32-E72D297353CC}">
              <c16:uniqueId val="{00000000-FA46-4148-9E3B-72E0FA8E1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47648"/>
        <c:axId val="98353536"/>
      </c:areaChart>
      <c:barChart>
        <c:barDir val="col"/>
        <c:grouping val="stacked"/>
        <c:varyColors val="0"/>
        <c:ser>
          <c:idx val="0"/>
          <c:order val="0"/>
          <c:tx>
            <c:strRef>
              <c:f>DOM!$G$46</c:f>
              <c:strCache>
                <c:ptCount val="1"/>
                <c:pt idx="0">
                  <c:v>GROCERY SURG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DOM!$H$46:$CE$46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6-4148-9E3B-72E0FA8E1CB4}"/>
            </c:ext>
          </c:extLst>
        </c:ser>
        <c:ser>
          <c:idx val="1"/>
          <c:order val="1"/>
          <c:tx>
            <c:strRef>
              <c:f>DOM!$G$47</c:f>
              <c:strCache>
                <c:ptCount val="1"/>
                <c:pt idx="0">
                  <c:v>CARNE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DOM!$H$47:$CE$47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6-4148-9E3B-72E0FA8E1CB4}"/>
            </c:ext>
          </c:extLst>
        </c:ser>
        <c:ser>
          <c:idx val="2"/>
          <c:order val="2"/>
          <c:tx>
            <c:strRef>
              <c:f>DOM!$G$48</c:f>
              <c:strCache>
                <c:ptCount val="1"/>
                <c:pt idx="0">
                  <c:v>ORTOFRUTTA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DOM!$H$48:$CE$48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6-4148-9E3B-72E0FA8E1CB4}"/>
            </c:ext>
          </c:extLst>
        </c:ser>
        <c:ser>
          <c:idx val="3"/>
          <c:order val="3"/>
          <c:tx>
            <c:strRef>
              <c:f>DOM!$G$49</c:f>
              <c:strCache>
                <c:ptCount val="1"/>
                <c:pt idx="0">
                  <c:v>LATTICINI CREMERIA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DOM!$H$49:$CE$49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6-4148-9E3B-72E0FA8E1CB4}"/>
            </c:ext>
          </c:extLst>
        </c:ser>
        <c:ser>
          <c:idx val="4"/>
          <c:order val="4"/>
          <c:tx>
            <c:strRef>
              <c:f>DOM!$G$50</c:f>
              <c:strCache>
                <c:ptCount val="1"/>
                <c:pt idx="0">
                  <c:v>PESCE</c:v>
                </c:pt>
              </c:strCache>
            </c:strRef>
          </c:tx>
          <c:spPr>
            <a:solidFill>
              <a:srgbClr val="00FFFF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DOM!$H$50:$CE$50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46-4148-9E3B-72E0FA8E1CB4}"/>
            </c:ext>
          </c:extLst>
        </c:ser>
        <c:ser>
          <c:idx val="5"/>
          <c:order val="5"/>
          <c:tx>
            <c:strRef>
              <c:f>DOM!$G$51</c:f>
              <c:strCache>
                <c:ptCount val="1"/>
                <c:pt idx="0">
                  <c:v>FORNO</c:v>
                </c:pt>
              </c:strCache>
            </c:strRef>
          </c:tx>
          <c:spPr>
            <a:solidFill>
              <a:srgbClr val="FFCC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DOM!$H$51:$CE$51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46-4148-9E3B-72E0FA8E1CB4}"/>
            </c:ext>
          </c:extLst>
        </c:ser>
        <c:ser>
          <c:idx val="6"/>
          <c:order val="6"/>
          <c:tx>
            <c:strRef>
              <c:f>DOM!$G$52</c:f>
              <c:strCache>
                <c:ptCount val="1"/>
                <c:pt idx="0">
                  <c:v>CASSE</c:v>
                </c:pt>
              </c:strCache>
            </c:strRef>
          </c:tx>
          <c:spPr>
            <a:solidFill>
              <a:srgbClr val="FF66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DOM!$H$52:$CE$52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46-4148-9E3B-72E0FA8E1CB4}"/>
            </c:ext>
          </c:extLst>
        </c:ser>
        <c:ser>
          <c:idx val="7"/>
          <c:order val="7"/>
          <c:tx>
            <c:strRef>
              <c:f>DOM!$G$53</c:f>
              <c:strCache>
                <c:ptCount val="1"/>
                <c:pt idx="0">
                  <c:v>SERVIZI GENERALI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DOM!$H$53:$CE$53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46-4148-9E3B-72E0FA8E1CB4}"/>
            </c:ext>
          </c:extLst>
        </c:ser>
        <c:ser>
          <c:idx val="8"/>
          <c:order val="8"/>
          <c:tx>
            <c:strRef>
              <c:f>DOM!$G$54</c:f>
              <c:strCache>
                <c:ptCount val="1"/>
                <c:pt idx="0">
                  <c:v>NOFOOD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DOM!$H$54:$CE$54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46-4148-9E3B-72E0FA8E1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347648"/>
        <c:axId val="98353536"/>
      </c:barChart>
      <c:lineChart>
        <c:grouping val="standard"/>
        <c:varyColors val="0"/>
        <c:ser>
          <c:idx val="10"/>
          <c:order val="10"/>
          <c:tx>
            <c:v>Totale PRESENZE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DOM!$H$67:$CE$67</c:f>
            </c:numRef>
          </c:val>
          <c:smooth val="1"/>
          <c:extLst>
            <c:ext xmlns:c16="http://schemas.microsoft.com/office/drawing/2014/chart" uri="{C3380CC4-5D6E-409C-BE32-E72D297353CC}">
              <c16:uniqueId val="{0000000A-FA46-4148-9E3B-72E0FA8E1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47648"/>
        <c:axId val="98353536"/>
      </c:lineChart>
      <c:lineChart>
        <c:grouping val="standard"/>
        <c:varyColors val="0"/>
        <c:ser>
          <c:idx val="11"/>
          <c:order val="11"/>
          <c:tx>
            <c:v>POL</c:v>
          </c:tx>
          <c:spPr>
            <a:ln w="38100">
              <a:solidFill>
                <a:srgbClr val="00FF00"/>
              </a:solidFill>
              <a:prstDash val="sysDash"/>
            </a:ln>
          </c:spPr>
          <c:marker>
            <c:symbol val="none"/>
          </c:marker>
          <c:val>
            <c:numRef>
              <c:f>DOM!$H$70:$CE$70</c:f>
            </c:numRef>
          </c:val>
          <c:smooth val="1"/>
          <c:extLst>
            <c:ext xmlns:c16="http://schemas.microsoft.com/office/drawing/2014/chart" uri="{C3380CC4-5D6E-409C-BE32-E72D297353CC}">
              <c16:uniqueId val="{0000000B-FA46-4148-9E3B-72E0FA8E1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55072"/>
        <c:axId val="98356608"/>
      </c:lineChart>
      <c:catAx>
        <c:axId val="983476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98353536"/>
        <c:crosses val="autoZero"/>
        <c:auto val="1"/>
        <c:lblAlgn val="ctr"/>
        <c:lblOffset val="100"/>
        <c:noMultiLvlLbl val="0"/>
      </c:catAx>
      <c:valAx>
        <c:axId val="98353536"/>
        <c:scaling>
          <c:orientation val="minMax"/>
          <c:min val="0"/>
        </c:scaling>
        <c:delete val="0"/>
        <c:axPos val="l"/>
        <c:majorGridlines/>
        <c:minorGridlines>
          <c:spPr>
            <a:ln w="3175">
              <a:solidFill>
                <a:srgbClr val="808080"/>
              </a:solidFill>
              <a:prstDash val="sysDash"/>
            </a:ln>
          </c:spPr>
        </c:minorGridlines>
        <c:numFmt formatCode="_(* #,##0_);_(* \(#,##0\);_(* &quot;-&quot;_);_(@_)" sourceLinked="0"/>
        <c:majorTickMark val="out"/>
        <c:minorTickMark val="none"/>
        <c:tickLblPos val="nextTo"/>
        <c:crossAx val="98347648"/>
        <c:crosses val="autoZero"/>
        <c:crossBetween val="between"/>
        <c:minorUnit val="1"/>
      </c:valAx>
      <c:catAx>
        <c:axId val="98355072"/>
        <c:scaling>
          <c:orientation val="minMax"/>
        </c:scaling>
        <c:delete val="1"/>
        <c:axPos val="b"/>
        <c:majorTickMark val="out"/>
        <c:minorTickMark val="none"/>
        <c:tickLblPos val="none"/>
        <c:crossAx val="98356608"/>
        <c:crosses val="autoZero"/>
        <c:auto val="1"/>
        <c:lblAlgn val="ctr"/>
        <c:lblOffset val="100"/>
        <c:noMultiLvlLbl val="0"/>
      </c:catAx>
      <c:valAx>
        <c:axId val="98356608"/>
        <c:scaling>
          <c:orientation val="minMax"/>
          <c:min val="0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one"/>
        <c:crossAx val="98355072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3.9005363237445212E-3"/>
          <c:y val="3.8740920096852288E-2"/>
          <c:w val="8.3861594945684764E-2"/>
          <c:h val="0.89346310524741512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14288935705912"/>
          <c:y val="7.6452827709371812E-2"/>
          <c:w val="0.89224164757690005"/>
          <c:h val="0.76147016398534251"/>
        </c:manualLayout>
      </c:layout>
      <c:areaChart>
        <c:grouping val="standard"/>
        <c:varyColors val="0"/>
        <c:ser>
          <c:idx val="9"/>
          <c:order val="9"/>
          <c:tx>
            <c:strRef>
              <c:f>LUN!$G$68</c:f>
              <c:strCache>
                <c:ptCount val="1"/>
                <c:pt idx="0">
                  <c:v> % Vendite 15'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LUN!$H$68:$CE$68</c:f>
            </c:numRef>
          </c:val>
          <c:extLst>
            <c:ext xmlns:c16="http://schemas.microsoft.com/office/drawing/2014/chart" uri="{C3380CC4-5D6E-409C-BE32-E72D297353CC}">
              <c16:uniqueId val="{00000000-2A93-4128-9C04-2B5B91D89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07104"/>
        <c:axId val="98608640"/>
      </c:areaChart>
      <c:barChart>
        <c:barDir val="col"/>
        <c:grouping val="stacked"/>
        <c:varyColors val="0"/>
        <c:ser>
          <c:idx val="0"/>
          <c:order val="0"/>
          <c:tx>
            <c:strRef>
              <c:f>LUN!$G$46</c:f>
              <c:strCache>
                <c:ptCount val="1"/>
                <c:pt idx="0">
                  <c:v>GROCERY SURG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LUN!$H$46:$CE$46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93-4128-9C04-2B5B91D89F40}"/>
            </c:ext>
          </c:extLst>
        </c:ser>
        <c:ser>
          <c:idx val="1"/>
          <c:order val="1"/>
          <c:tx>
            <c:strRef>
              <c:f>LUN!$G$47</c:f>
              <c:strCache>
                <c:ptCount val="1"/>
                <c:pt idx="0">
                  <c:v>CARNE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LUN!$H$47:$CE$47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93-4128-9C04-2B5B91D89F40}"/>
            </c:ext>
          </c:extLst>
        </c:ser>
        <c:ser>
          <c:idx val="2"/>
          <c:order val="2"/>
          <c:tx>
            <c:strRef>
              <c:f>LUN!$G$48</c:f>
              <c:strCache>
                <c:ptCount val="1"/>
                <c:pt idx="0">
                  <c:v>ORTOFRUTTA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LUN!$H$48:$CE$48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93-4128-9C04-2B5B91D89F40}"/>
            </c:ext>
          </c:extLst>
        </c:ser>
        <c:ser>
          <c:idx val="3"/>
          <c:order val="3"/>
          <c:tx>
            <c:strRef>
              <c:f>LUN!$G$49</c:f>
              <c:strCache>
                <c:ptCount val="1"/>
                <c:pt idx="0">
                  <c:v>LATTICINI CREMERIA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LUN!$H$49:$CE$49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93-4128-9C04-2B5B91D89F40}"/>
            </c:ext>
          </c:extLst>
        </c:ser>
        <c:ser>
          <c:idx val="4"/>
          <c:order val="4"/>
          <c:tx>
            <c:strRef>
              <c:f>LUN!$G$50</c:f>
              <c:strCache>
                <c:ptCount val="1"/>
                <c:pt idx="0">
                  <c:v>PESCE</c:v>
                </c:pt>
              </c:strCache>
            </c:strRef>
          </c:tx>
          <c:spPr>
            <a:solidFill>
              <a:srgbClr val="00FFFF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LUN!$H$50:$CE$50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93-4128-9C04-2B5B91D89F40}"/>
            </c:ext>
          </c:extLst>
        </c:ser>
        <c:ser>
          <c:idx val="5"/>
          <c:order val="5"/>
          <c:tx>
            <c:strRef>
              <c:f>LUN!$G$51</c:f>
              <c:strCache>
                <c:ptCount val="1"/>
                <c:pt idx="0">
                  <c:v>FORNO</c:v>
                </c:pt>
              </c:strCache>
            </c:strRef>
          </c:tx>
          <c:spPr>
            <a:solidFill>
              <a:srgbClr val="FFCC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LUN!$H$51:$CE$51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93-4128-9C04-2B5B91D89F40}"/>
            </c:ext>
          </c:extLst>
        </c:ser>
        <c:ser>
          <c:idx val="6"/>
          <c:order val="6"/>
          <c:tx>
            <c:strRef>
              <c:f>LUN!$G$52</c:f>
              <c:strCache>
                <c:ptCount val="1"/>
                <c:pt idx="0">
                  <c:v>CASSE</c:v>
                </c:pt>
              </c:strCache>
            </c:strRef>
          </c:tx>
          <c:spPr>
            <a:solidFill>
              <a:srgbClr val="FF66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LUN!$H$52:$CE$52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93-4128-9C04-2B5B91D89F40}"/>
            </c:ext>
          </c:extLst>
        </c:ser>
        <c:ser>
          <c:idx val="7"/>
          <c:order val="7"/>
          <c:tx>
            <c:strRef>
              <c:f>LUN!$G$53</c:f>
              <c:strCache>
                <c:ptCount val="1"/>
                <c:pt idx="0">
                  <c:v>SERVIZI GENERALI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LUN!$H$53:$CE$53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93-4128-9C04-2B5B91D89F40}"/>
            </c:ext>
          </c:extLst>
        </c:ser>
        <c:ser>
          <c:idx val="8"/>
          <c:order val="8"/>
          <c:tx>
            <c:strRef>
              <c:f>LUN!$G$54</c:f>
              <c:strCache>
                <c:ptCount val="1"/>
                <c:pt idx="0">
                  <c:v>NOFOOD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LUN!$H$54:$CE$54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93-4128-9C04-2B5B91D89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607104"/>
        <c:axId val="98608640"/>
      </c:barChart>
      <c:lineChart>
        <c:grouping val="standard"/>
        <c:varyColors val="0"/>
        <c:ser>
          <c:idx val="10"/>
          <c:order val="10"/>
          <c:tx>
            <c:v>Totale PRESENZE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LUN!$H$67:$CE$67</c:f>
            </c:numRef>
          </c:val>
          <c:smooth val="1"/>
          <c:extLst>
            <c:ext xmlns:c16="http://schemas.microsoft.com/office/drawing/2014/chart" uri="{C3380CC4-5D6E-409C-BE32-E72D297353CC}">
              <c16:uniqueId val="{0000000A-2A93-4128-9C04-2B5B91D89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607104"/>
        <c:axId val="98608640"/>
      </c:lineChart>
      <c:lineChart>
        <c:grouping val="standard"/>
        <c:varyColors val="0"/>
        <c:ser>
          <c:idx val="11"/>
          <c:order val="11"/>
          <c:tx>
            <c:v>POL</c:v>
          </c:tx>
          <c:spPr>
            <a:ln w="38100">
              <a:solidFill>
                <a:srgbClr val="00FF00"/>
              </a:solidFill>
              <a:prstDash val="sysDash"/>
            </a:ln>
          </c:spPr>
          <c:marker>
            <c:symbol val="none"/>
          </c:marker>
          <c:val>
            <c:numRef>
              <c:f>LUN!$H$70:$CE$70</c:f>
            </c:numRef>
          </c:val>
          <c:smooth val="1"/>
          <c:extLst>
            <c:ext xmlns:c16="http://schemas.microsoft.com/office/drawing/2014/chart" uri="{C3380CC4-5D6E-409C-BE32-E72D297353CC}">
              <c16:uniqueId val="{0000000B-2A93-4128-9C04-2B5B91D89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610176"/>
        <c:axId val="98611968"/>
      </c:lineChart>
      <c:catAx>
        <c:axId val="9860710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98608640"/>
        <c:crosses val="autoZero"/>
        <c:auto val="1"/>
        <c:lblAlgn val="ctr"/>
        <c:lblOffset val="100"/>
        <c:noMultiLvlLbl val="0"/>
      </c:catAx>
      <c:valAx>
        <c:axId val="98608640"/>
        <c:scaling>
          <c:orientation val="minMax"/>
          <c:min val="0"/>
        </c:scaling>
        <c:delete val="0"/>
        <c:axPos val="l"/>
        <c:majorGridlines/>
        <c:minorGridlines>
          <c:spPr>
            <a:ln w="3175">
              <a:solidFill>
                <a:srgbClr val="808080"/>
              </a:solidFill>
              <a:prstDash val="sysDash"/>
            </a:ln>
          </c:spPr>
        </c:minorGridlines>
        <c:numFmt formatCode="_(* #,##0_);_(* \(#,##0\);_(* &quot;-&quot;_);_(@_)" sourceLinked="0"/>
        <c:majorTickMark val="out"/>
        <c:minorTickMark val="none"/>
        <c:tickLblPos val="nextTo"/>
        <c:crossAx val="98607104"/>
        <c:crosses val="autoZero"/>
        <c:crossBetween val="between"/>
        <c:majorUnit val="1"/>
        <c:minorUnit val="1"/>
      </c:valAx>
      <c:catAx>
        <c:axId val="98610176"/>
        <c:scaling>
          <c:orientation val="minMax"/>
        </c:scaling>
        <c:delete val="1"/>
        <c:axPos val="b"/>
        <c:majorTickMark val="out"/>
        <c:minorTickMark val="none"/>
        <c:tickLblPos val="none"/>
        <c:crossAx val="98611968"/>
        <c:crosses val="autoZero"/>
        <c:auto val="1"/>
        <c:lblAlgn val="ctr"/>
        <c:lblOffset val="100"/>
        <c:noMultiLvlLbl val="0"/>
      </c:catAx>
      <c:valAx>
        <c:axId val="98611968"/>
        <c:scaling>
          <c:orientation val="minMax"/>
          <c:min val="0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one"/>
        <c:crossAx val="9861017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3.8929440389294401E-3"/>
          <c:y val="3.6319612590799216E-2"/>
          <c:w val="8.3698296836983224E-2"/>
          <c:h val="0.89346310524741468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83747174868212"/>
          <c:y val="7.6452827709371812E-2"/>
          <c:w val="0.88916282891719856"/>
          <c:h val="0.76147016398534251"/>
        </c:manualLayout>
      </c:layout>
      <c:areaChart>
        <c:grouping val="standard"/>
        <c:varyColors val="0"/>
        <c:ser>
          <c:idx val="9"/>
          <c:order val="9"/>
          <c:tx>
            <c:strRef>
              <c:f>MAR!$G$68</c:f>
              <c:strCache>
                <c:ptCount val="1"/>
                <c:pt idx="0">
                  <c:v> % Vendite 15'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MAR!$H$68:$CE$68</c:f>
            </c:numRef>
          </c:val>
          <c:extLst>
            <c:ext xmlns:c16="http://schemas.microsoft.com/office/drawing/2014/chart" uri="{C3380CC4-5D6E-409C-BE32-E72D297353CC}">
              <c16:uniqueId val="{00000000-99FE-47F0-881F-66C131695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70048"/>
        <c:axId val="101571584"/>
      </c:areaChart>
      <c:barChart>
        <c:barDir val="col"/>
        <c:grouping val="stacked"/>
        <c:varyColors val="0"/>
        <c:ser>
          <c:idx val="0"/>
          <c:order val="0"/>
          <c:tx>
            <c:strRef>
              <c:f>MAR!$G$46</c:f>
              <c:strCache>
                <c:ptCount val="1"/>
                <c:pt idx="0">
                  <c:v>GROCERY SURG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MAR!$H$46:$CE$46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FE-47F0-881F-66C131695297}"/>
            </c:ext>
          </c:extLst>
        </c:ser>
        <c:ser>
          <c:idx val="1"/>
          <c:order val="1"/>
          <c:tx>
            <c:strRef>
              <c:f>MAR!$G$47</c:f>
              <c:strCache>
                <c:ptCount val="1"/>
                <c:pt idx="0">
                  <c:v>CARNE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MAR!$H$47:$CE$47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FE-47F0-881F-66C131695297}"/>
            </c:ext>
          </c:extLst>
        </c:ser>
        <c:ser>
          <c:idx val="2"/>
          <c:order val="2"/>
          <c:tx>
            <c:strRef>
              <c:f>MAR!$G$48</c:f>
              <c:strCache>
                <c:ptCount val="1"/>
                <c:pt idx="0">
                  <c:v>ORTOFRUTTA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MAR!$H$48:$CE$48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FE-47F0-881F-66C131695297}"/>
            </c:ext>
          </c:extLst>
        </c:ser>
        <c:ser>
          <c:idx val="3"/>
          <c:order val="3"/>
          <c:tx>
            <c:strRef>
              <c:f>MAR!$G$49</c:f>
              <c:strCache>
                <c:ptCount val="1"/>
                <c:pt idx="0">
                  <c:v>LATTICINI CREMERIA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MAR!$H$49:$CE$49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FE-47F0-881F-66C131695297}"/>
            </c:ext>
          </c:extLst>
        </c:ser>
        <c:ser>
          <c:idx val="4"/>
          <c:order val="4"/>
          <c:tx>
            <c:strRef>
              <c:f>MAR!$G$50</c:f>
              <c:strCache>
                <c:ptCount val="1"/>
                <c:pt idx="0">
                  <c:v>PESCE</c:v>
                </c:pt>
              </c:strCache>
            </c:strRef>
          </c:tx>
          <c:spPr>
            <a:solidFill>
              <a:srgbClr val="00FFFF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MAR!$H$50:$CE$50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FE-47F0-881F-66C131695297}"/>
            </c:ext>
          </c:extLst>
        </c:ser>
        <c:ser>
          <c:idx val="5"/>
          <c:order val="5"/>
          <c:tx>
            <c:strRef>
              <c:f>MAR!$G$51</c:f>
              <c:strCache>
                <c:ptCount val="1"/>
                <c:pt idx="0">
                  <c:v>FORNO</c:v>
                </c:pt>
              </c:strCache>
            </c:strRef>
          </c:tx>
          <c:spPr>
            <a:solidFill>
              <a:srgbClr val="FFCC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MAR!$H$51:$CE$51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FE-47F0-881F-66C131695297}"/>
            </c:ext>
          </c:extLst>
        </c:ser>
        <c:ser>
          <c:idx val="6"/>
          <c:order val="6"/>
          <c:tx>
            <c:strRef>
              <c:f>MAR!$G$52</c:f>
              <c:strCache>
                <c:ptCount val="1"/>
                <c:pt idx="0">
                  <c:v>CASSE</c:v>
                </c:pt>
              </c:strCache>
            </c:strRef>
          </c:tx>
          <c:spPr>
            <a:solidFill>
              <a:srgbClr val="FF66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MAR!$H$52:$CE$52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FE-47F0-881F-66C131695297}"/>
            </c:ext>
          </c:extLst>
        </c:ser>
        <c:ser>
          <c:idx val="7"/>
          <c:order val="7"/>
          <c:tx>
            <c:strRef>
              <c:f>MAR!$G$53</c:f>
              <c:strCache>
                <c:ptCount val="1"/>
                <c:pt idx="0">
                  <c:v>SERVIZI GENERALI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MAR!$H$53:$CE$53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FE-47F0-881F-66C131695297}"/>
            </c:ext>
          </c:extLst>
        </c:ser>
        <c:ser>
          <c:idx val="8"/>
          <c:order val="8"/>
          <c:tx>
            <c:strRef>
              <c:f>MAR!$G$54</c:f>
              <c:strCache>
                <c:ptCount val="1"/>
                <c:pt idx="0">
                  <c:v>NOFOOD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MAR!$H$54:$CE$54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9FE-47F0-881F-66C131695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570048"/>
        <c:axId val="101571584"/>
      </c:barChart>
      <c:lineChart>
        <c:grouping val="standard"/>
        <c:varyColors val="0"/>
        <c:ser>
          <c:idx val="10"/>
          <c:order val="10"/>
          <c:tx>
            <c:v>Totale PRESENZE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MAR!$H$67:$CE$67</c:f>
            </c:numRef>
          </c:val>
          <c:smooth val="1"/>
          <c:extLst>
            <c:ext xmlns:c16="http://schemas.microsoft.com/office/drawing/2014/chart" uri="{C3380CC4-5D6E-409C-BE32-E72D297353CC}">
              <c16:uniqueId val="{0000000A-99FE-47F0-881F-66C131695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70048"/>
        <c:axId val="101571584"/>
      </c:lineChart>
      <c:lineChart>
        <c:grouping val="standard"/>
        <c:varyColors val="0"/>
        <c:ser>
          <c:idx val="11"/>
          <c:order val="11"/>
          <c:tx>
            <c:v>POL</c:v>
          </c:tx>
          <c:spPr>
            <a:ln w="38100">
              <a:solidFill>
                <a:srgbClr val="00FF00"/>
              </a:solidFill>
              <a:prstDash val="sysDash"/>
            </a:ln>
          </c:spPr>
          <c:marker>
            <c:symbol val="none"/>
          </c:marker>
          <c:val>
            <c:numRef>
              <c:f>MAR!$H$70:$CE$70</c:f>
            </c:numRef>
          </c:val>
          <c:smooth val="1"/>
          <c:extLst>
            <c:ext xmlns:c16="http://schemas.microsoft.com/office/drawing/2014/chart" uri="{C3380CC4-5D6E-409C-BE32-E72D297353CC}">
              <c16:uniqueId val="{0000000B-99FE-47F0-881F-66C131695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02048"/>
        <c:axId val="101603584"/>
      </c:lineChart>
      <c:catAx>
        <c:axId val="1015700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01571584"/>
        <c:crosses val="autoZero"/>
        <c:auto val="1"/>
        <c:lblAlgn val="ctr"/>
        <c:lblOffset val="100"/>
        <c:noMultiLvlLbl val="0"/>
      </c:catAx>
      <c:valAx>
        <c:axId val="101571584"/>
        <c:scaling>
          <c:orientation val="minMax"/>
          <c:min val="0"/>
        </c:scaling>
        <c:delete val="0"/>
        <c:axPos val="l"/>
        <c:majorGridlines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_(* #,##0_);_(* \(#,##0\);_(* &quot;-&quot;_);_(@_)" sourceLinked="0"/>
        <c:majorTickMark val="out"/>
        <c:minorTickMark val="none"/>
        <c:tickLblPos val="nextTo"/>
        <c:crossAx val="101570048"/>
        <c:crosses val="autoZero"/>
        <c:crossBetween val="between"/>
        <c:majorUnit val="1"/>
        <c:minorUnit val="1"/>
      </c:valAx>
      <c:catAx>
        <c:axId val="101602048"/>
        <c:scaling>
          <c:orientation val="minMax"/>
        </c:scaling>
        <c:delete val="1"/>
        <c:axPos val="b"/>
        <c:majorTickMark val="out"/>
        <c:minorTickMark val="none"/>
        <c:tickLblPos val="none"/>
        <c:crossAx val="101603584"/>
        <c:crosses val="autoZero"/>
        <c:auto val="1"/>
        <c:lblAlgn val="ctr"/>
        <c:lblOffset val="100"/>
        <c:noMultiLvlLbl val="0"/>
      </c:catAx>
      <c:valAx>
        <c:axId val="101603584"/>
        <c:scaling>
          <c:orientation val="minMax"/>
          <c:min val="0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one"/>
        <c:crossAx val="101602048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3.8929440389294401E-3"/>
          <c:y val="4.1162227602905582E-2"/>
          <c:w val="8.3698296836983224E-2"/>
          <c:h val="0.89346310524742101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83747174868212"/>
          <c:y val="7.6452827709371812E-2"/>
          <c:w val="0.88916282891719856"/>
          <c:h val="0.76147016398534251"/>
        </c:manualLayout>
      </c:layout>
      <c:areaChart>
        <c:grouping val="standard"/>
        <c:varyColors val="0"/>
        <c:ser>
          <c:idx val="9"/>
          <c:order val="9"/>
          <c:tx>
            <c:strRef>
              <c:f>MER!$G$68</c:f>
              <c:strCache>
                <c:ptCount val="1"/>
                <c:pt idx="0">
                  <c:v> % Vendite 15'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MER!$H$68:$CE$68</c:f>
            </c:numRef>
          </c:val>
          <c:extLst>
            <c:ext xmlns:c16="http://schemas.microsoft.com/office/drawing/2014/chart" uri="{C3380CC4-5D6E-409C-BE32-E72D297353CC}">
              <c16:uniqueId val="{00000000-D3A2-42E1-9791-945F7D142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64640"/>
        <c:axId val="101666176"/>
      </c:areaChart>
      <c:barChart>
        <c:barDir val="col"/>
        <c:grouping val="stacked"/>
        <c:varyColors val="0"/>
        <c:ser>
          <c:idx val="0"/>
          <c:order val="0"/>
          <c:tx>
            <c:strRef>
              <c:f>MER!$G$46</c:f>
              <c:strCache>
                <c:ptCount val="1"/>
                <c:pt idx="0">
                  <c:v>GROCERY SURG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MER!$H$46:$CE$46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A2-42E1-9791-945F7D1427DB}"/>
            </c:ext>
          </c:extLst>
        </c:ser>
        <c:ser>
          <c:idx val="1"/>
          <c:order val="1"/>
          <c:tx>
            <c:strRef>
              <c:f>MER!$G$47</c:f>
              <c:strCache>
                <c:ptCount val="1"/>
                <c:pt idx="0">
                  <c:v>CARNE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MER!$H$47:$CE$47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A2-42E1-9791-945F7D1427DB}"/>
            </c:ext>
          </c:extLst>
        </c:ser>
        <c:ser>
          <c:idx val="2"/>
          <c:order val="2"/>
          <c:tx>
            <c:strRef>
              <c:f>MER!$G$48</c:f>
              <c:strCache>
                <c:ptCount val="1"/>
                <c:pt idx="0">
                  <c:v>ORTOFRUTTA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MER!$H$48:$CE$48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A2-42E1-9791-945F7D1427DB}"/>
            </c:ext>
          </c:extLst>
        </c:ser>
        <c:ser>
          <c:idx val="3"/>
          <c:order val="3"/>
          <c:tx>
            <c:strRef>
              <c:f>MER!$G$49</c:f>
              <c:strCache>
                <c:ptCount val="1"/>
                <c:pt idx="0">
                  <c:v>LATTICINI CREMERIA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MER!$H$49:$CE$49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A2-42E1-9791-945F7D1427DB}"/>
            </c:ext>
          </c:extLst>
        </c:ser>
        <c:ser>
          <c:idx val="4"/>
          <c:order val="4"/>
          <c:tx>
            <c:strRef>
              <c:f>MER!$G$50</c:f>
              <c:strCache>
                <c:ptCount val="1"/>
                <c:pt idx="0">
                  <c:v>PESCE</c:v>
                </c:pt>
              </c:strCache>
            </c:strRef>
          </c:tx>
          <c:spPr>
            <a:solidFill>
              <a:srgbClr val="00FFFF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MER!$H$50:$CE$50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A2-42E1-9791-945F7D1427DB}"/>
            </c:ext>
          </c:extLst>
        </c:ser>
        <c:ser>
          <c:idx val="5"/>
          <c:order val="5"/>
          <c:tx>
            <c:strRef>
              <c:f>MER!$G$51</c:f>
              <c:strCache>
                <c:ptCount val="1"/>
                <c:pt idx="0">
                  <c:v>FORNO</c:v>
                </c:pt>
              </c:strCache>
            </c:strRef>
          </c:tx>
          <c:spPr>
            <a:solidFill>
              <a:srgbClr val="FFCC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MER!$H$51:$CE$51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A2-42E1-9791-945F7D1427DB}"/>
            </c:ext>
          </c:extLst>
        </c:ser>
        <c:ser>
          <c:idx val="6"/>
          <c:order val="6"/>
          <c:tx>
            <c:strRef>
              <c:f>MER!$G$52</c:f>
              <c:strCache>
                <c:ptCount val="1"/>
                <c:pt idx="0">
                  <c:v>CASSE</c:v>
                </c:pt>
              </c:strCache>
            </c:strRef>
          </c:tx>
          <c:spPr>
            <a:solidFill>
              <a:srgbClr val="FF66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MER!$H$52:$CE$52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A2-42E1-9791-945F7D1427DB}"/>
            </c:ext>
          </c:extLst>
        </c:ser>
        <c:ser>
          <c:idx val="7"/>
          <c:order val="7"/>
          <c:tx>
            <c:strRef>
              <c:f>MER!$G$53</c:f>
              <c:strCache>
                <c:ptCount val="1"/>
                <c:pt idx="0">
                  <c:v>SERVIZI GENERALI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MER!$H$53:$CE$53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A2-42E1-9791-945F7D1427DB}"/>
            </c:ext>
          </c:extLst>
        </c:ser>
        <c:ser>
          <c:idx val="8"/>
          <c:order val="8"/>
          <c:tx>
            <c:strRef>
              <c:f>MER!$G$54</c:f>
              <c:strCache>
                <c:ptCount val="1"/>
                <c:pt idx="0">
                  <c:v>NOFOOD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MER!$H$54:$CE$54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A2-42E1-9791-945F7D142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664640"/>
        <c:axId val="101666176"/>
      </c:barChart>
      <c:lineChart>
        <c:grouping val="standard"/>
        <c:varyColors val="0"/>
        <c:ser>
          <c:idx val="10"/>
          <c:order val="10"/>
          <c:tx>
            <c:v>Totale PRESENZE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MER!$H$67:$CE$67</c:f>
            </c:numRef>
          </c:val>
          <c:smooth val="1"/>
          <c:extLst>
            <c:ext xmlns:c16="http://schemas.microsoft.com/office/drawing/2014/chart" uri="{C3380CC4-5D6E-409C-BE32-E72D297353CC}">
              <c16:uniqueId val="{0000000A-D3A2-42E1-9791-945F7D142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64640"/>
        <c:axId val="101666176"/>
      </c:lineChart>
      <c:lineChart>
        <c:grouping val="standard"/>
        <c:varyColors val="0"/>
        <c:ser>
          <c:idx val="11"/>
          <c:order val="11"/>
          <c:tx>
            <c:v>POL</c:v>
          </c:tx>
          <c:spPr>
            <a:ln w="38100">
              <a:solidFill>
                <a:srgbClr val="00FF00"/>
              </a:solidFill>
              <a:prstDash val="sysDash"/>
            </a:ln>
          </c:spPr>
          <c:marker>
            <c:symbol val="none"/>
          </c:marker>
          <c:val>
            <c:numRef>
              <c:f>MER!$H$70:$CE$70</c:f>
            </c:numRef>
          </c:val>
          <c:smooth val="1"/>
          <c:extLst>
            <c:ext xmlns:c16="http://schemas.microsoft.com/office/drawing/2014/chart" uri="{C3380CC4-5D6E-409C-BE32-E72D297353CC}">
              <c16:uniqueId val="{0000000B-D3A2-42E1-9791-945F7D142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80256"/>
        <c:axId val="101681792"/>
      </c:lineChart>
      <c:catAx>
        <c:axId val="101664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01666176"/>
        <c:crosses val="autoZero"/>
        <c:auto val="1"/>
        <c:lblAlgn val="ctr"/>
        <c:lblOffset val="100"/>
        <c:noMultiLvlLbl val="0"/>
      </c:catAx>
      <c:valAx>
        <c:axId val="101666176"/>
        <c:scaling>
          <c:orientation val="minMax"/>
          <c:max val="6"/>
          <c:min val="0"/>
        </c:scaling>
        <c:delete val="0"/>
        <c:axPos val="l"/>
        <c:majorGridlines/>
        <c:numFmt formatCode="_(* #,##0_);_(* \(#,##0\);_(* &quot;-&quot;_);_(@_)" sourceLinked="0"/>
        <c:majorTickMark val="out"/>
        <c:minorTickMark val="none"/>
        <c:tickLblPos val="nextTo"/>
        <c:crossAx val="101664640"/>
        <c:crosses val="autoZero"/>
        <c:crossBetween val="between"/>
        <c:majorUnit val="1"/>
        <c:minorUnit val="1"/>
      </c:valAx>
      <c:catAx>
        <c:axId val="101680256"/>
        <c:scaling>
          <c:orientation val="minMax"/>
        </c:scaling>
        <c:delete val="1"/>
        <c:axPos val="b"/>
        <c:majorTickMark val="out"/>
        <c:minorTickMark val="none"/>
        <c:tickLblPos val="none"/>
        <c:crossAx val="101681792"/>
        <c:crosses val="autoZero"/>
        <c:auto val="1"/>
        <c:lblAlgn val="ctr"/>
        <c:lblOffset val="100"/>
        <c:noMultiLvlLbl val="0"/>
      </c:catAx>
      <c:valAx>
        <c:axId val="101681792"/>
        <c:scaling>
          <c:orientation val="minMax"/>
          <c:min val="0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one"/>
        <c:crossAx val="10168025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3.8929440389294401E-3"/>
          <c:y val="4.1162227602905582E-2"/>
          <c:w val="8.3698296836983224E-2"/>
          <c:h val="0.89346310524742101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44122359804832"/>
          <c:y val="4.8929809733997666E-2"/>
          <c:w val="0.8890948048408166"/>
          <c:h val="0.7645282770937768"/>
        </c:manualLayout>
      </c:layout>
      <c:areaChart>
        <c:grouping val="standard"/>
        <c:varyColors val="0"/>
        <c:ser>
          <c:idx val="9"/>
          <c:order val="9"/>
          <c:tx>
            <c:strRef>
              <c:f>GIO!$G$68</c:f>
              <c:strCache>
                <c:ptCount val="1"/>
                <c:pt idx="0">
                  <c:v> % Vendite 15'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GIO!$H$68:$CE$68</c:f>
            </c:numRef>
          </c:val>
          <c:extLst>
            <c:ext xmlns:c16="http://schemas.microsoft.com/office/drawing/2014/chart" uri="{C3380CC4-5D6E-409C-BE32-E72D297353CC}">
              <c16:uniqueId val="{00000000-8467-4E47-A079-E3BA249EF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149120"/>
        <c:axId val="102163200"/>
      </c:areaChart>
      <c:barChart>
        <c:barDir val="col"/>
        <c:grouping val="stacked"/>
        <c:varyColors val="0"/>
        <c:ser>
          <c:idx val="0"/>
          <c:order val="0"/>
          <c:tx>
            <c:strRef>
              <c:f>GIO!$G$46</c:f>
              <c:strCache>
                <c:ptCount val="1"/>
                <c:pt idx="0">
                  <c:v>GROCERY SURG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GIO!$H$46:$CE$46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67-4E47-A079-E3BA249EFA34}"/>
            </c:ext>
          </c:extLst>
        </c:ser>
        <c:ser>
          <c:idx val="1"/>
          <c:order val="1"/>
          <c:tx>
            <c:strRef>
              <c:f>GIO!$G$47</c:f>
              <c:strCache>
                <c:ptCount val="1"/>
                <c:pt idx="0">
                  <c:v>CARNE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GIO!$H$47:$CE$47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67-4E47-A079-E3BA249EFA34}"/>
            </c:ext>
          </c:extLst>
        </c:ser>
        <c:ser>
          <c:idx val="2"/>
          <c:order val="2"/>
          <c:tx>
            <c:strRef>
              <c:f>GIO!$G$48</c:f>
              <c:strCache>
                <c:ptCount val="1"/>
                <c:pt idx="0">
                  <c:v>ORTOFRUTTA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GIO!$H$48:$CE$48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67-4E47-A079-E3BA249EFA34}"/>
            </c:ext>
          </c:extLst>
        </c:ser>
        <c:ser>
          <c:idx val="3"/>
          <c:order val="3"/>
          <c:tx>
            <c:strRef>
              <c:f>GIO!$G$49</c:f>
              <c:strCache>
                <c:ptCount val="1"/>
                <c:pt idx="0">
                  <c:v>LATTICINI CREMERIA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GIO!$H$49:$CE$49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67-4E47-A079-E3BA249EFA34}"/>
            </c:ext>
          </c:extLst>
        </c:ser>
        <c:ser>
          <c:idx val="4"/>
          <c:order val="4"/>
          <c:tx>
            <c:strRef>
              <c:f>GIO!$G$50</c:f>
              <c:strCache>
                <c:ptCount val="1"/>
                <c:pt idx="0">
                  <c:v>PESCE</c:v>
                </c:pt>
              </c:strCache>
            </c:strRef>
          </c:tx>
          <c:spPr>
            <a:solidFill>
              <a:srgbClr val="00FFFF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GIO!$H$50:$CE$50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67-4E47-A079-E3BA249EFA34}"/>
            </c:ext>
          </c:extLst>
        </c:ser>
        <c:ser>
          <c:idx val="5"/>
          <c:order val="5"/>
          <c:tx>
            <c:strRef>
              <c:f>GIO!$G$51</c:f>
              <c:strCache>
                <c:ptCount val="1"/>
                <c:pt idx="0">
                  <c:v>FORNO</c:v>
                </c:pt>
              </c:strCache>
            </c:strRef>
          </c:tx>
          <c:spPr>
            <a:solidFill>
              <a:srgbClr val="FFCC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GIO!$H$51:$CE$51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67-4E47-A079-E3BA249EFA34}"/>
            </c:ext>
          </c:extLst>
        </c:ser>
        <c:ser>
          <c:idx val="6"/>
          <c:order val="6"/>
          <c:tx>
            <c:strRef>
              <c:f>GIO!$G$52</c:f>
              <c:strCache>
                <c:ptCount val="1"/>
                <c:pt idx="0">
                  <c:v>CASSE</c:v>
                </c:pt>
              </c:strCache>
            </c:strRef>
          </c:tx>
          <c:spPr>
            <a:solidFill>
              <a:srgbClr val="FF66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GIO!$H$52:$CE$52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67-4E47-A079-E3BA249EFA34}"/>
            </c:ext>
          </c:extLst>
        </c:ser>
        <c:ser>
          <c:idx val="7"/>
          <c:order val="7"/>
          <c:tx>
            <c:strRef>
              <c:f>GIO!$G$53</c:f>
              <c:strCache>
                <c:ptCount val="1"/>
                <c:pt idx="0">
                  <c:v>SERVIZI GENERALI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GIO!$H$53:$CE$53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67-4E47-A079-E3BA249EFA34}"/>
            </c:ext>
          </c:extLst>
        </c:ser>
        <c:ser>
          <c:idx val="8"/>
          <c:order val="8"/>
          <c:tx>
            <c:strRef>
              <c:f>GIO!$G$54</c:f>
              <c:strCache>
                <c:ptCount val="1"/>
                <c:pt idx="0">
                  <c:v>NOFOOD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GIO!$H$54:$CE$54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67-4E47-A079-E3BA249EF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149120"/>
        <c:axId val="102163200"/>
      </c:barChart>
      <c:lineChart>
        <c:grouping val="standard"/>
        <c:varyColors val="0"/>
        <c:ser>
          <c:idx val="10"/>
          <c:order val="10"/>
          <c:tx>
            <c:v>Totale PRESENZE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GIO!$H$67:$CE$67</c:f>
            </c:numRef>
          </c:val>
          <c:smooth val="1"/>
          <c:extLst>
            <c:ext xmlns:c16="http://schemas.microsoft.com/office/drawing/2014/chart" uri="{C3380CC4-5D6E-409C-BE32-E72D297353CC}">
              <c16:uniqueId val="{0000000A-8467-4E47-A079-E3BA249EF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49120"/>
        <c:axId val="102163200"/>
      </c:lineChart>
      <c:lineChart>
        <c:grouping val="standard"/>
        <c:varyColors val="0"/>
        <c:ser>
          <c:idx val="11"/>
          <c:order val="11"/>
          <c:tx>
            <c:v>POL</c:v>
          </c:tx>
          <c:spPr>
            <a:ln w="38100">
              <a:solidFill>
                <a:srgbClr val="00FF00"/>
              </a:solidFill>
              <a:prstDash val="sysDash"/>
            </a:ln>
          </c:spPr>
          <c:marker>
            <c:symbol val="none"/>
          </c:marker>
          <c:val>
            <c:numRef>
              <c:f>GIO!$H$70:$CE$70</c:f>
            </c:numRef>
          </c:val>
          <c:smooth val="1"/>
          <c:extLst>
            <c:ext xmlns:c16="http://schemas.microsoft.com/office/drawing/2014/chart" uri="{C3380CC4-5D6E-409C-BE32-E72D297353CC}">
              <c16:uniqueId val="{0000000B-8467-4E47-A079-E3BA249EF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64736"/>
        <c:axId val="109903872"/>
      </c:lineChart>
      <c:catAx>
        <c:axId val="10214912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02163200"/>
        <c:crosses val="autoZero"/>
        <c:auto val="1"/>
        <c:lblAlgn val="ctr"/>
        <c:lblOffset val="100"/>
        <c:noMultiLvlLbl val="0"/>
      </c:catAx>
      <c:valAx>
        <c:axId val="102163200"/>
        <c:scaling>
          <c:orientation val="minMax"/>
          <c:min val="0"/>
        </c:scaling>
        <c:delete val="0"/>
        <c:axPos val="l"/>
        <c:majorGridlines/>
        <c:numFmt formatCode="_(* #,##0_);_(* \(#,##0\);_(* &quot;-&quot;_);_(@_)" sourceLinked="0"/>
        <c:majorTickMark val="out"/>
        <c:minorTickMark val="none"/>
        <c:tickLblPos val="nextTo"/>
        <c:crossAx val="102149120"/>
        <c:crosses val="autoZero"/>
        <c:crossBetween val="between"/>
        <c:majorUnit val="1"/>
        <c:minorUnit val="1"/>
      </c:valAx>
      <c:catAx>
        <c:axId val="102164736"/>
        <c:scaling>
          <c:orientation val="minMax"/>
        </c:scaling>
        <c:delete val="1"/>
        <c:axPos val="b"/>
        <c:majorTickMark val="out"/>
        <c:minorTickMark val="none"/>
        <c:tickLblPos val="none"/>
        <c:crossAx val="109903872"/>
        <c:crosses val="autoZero"/>
        <c:auto val="1"/>
        <c:lblAlgn val="ctr"/>
        <c:lblOffset val="100"/>
        <c:noMultiLvlLbl val="0"/>
      </c:catAx>
      <c:valAx>
        <c:axId val="109903872"/>
        <c:scaling>
          <c:orientation val="minMax"/>
          <c:min val="0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one"/>
        <c:crossAx val="10216473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3.8948393378775612E-3"/>
          <c:y val="2.4213075060532691E-2"/>
          <c:w val="8.373904576436568E-2"/>
          <c:h val="0.89346310524737915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83747174868212"/>
          <c:y val="7.6452827709371812E-2"/>
          <c:w val="0.88916282891719856"/>
          <c:h val="0.76147016398534251"/>
        </c:manualLayout>
      </c:layout>
      <c:areaChart>
        <c:grouping val="standard"/>
        <c:varyColors val="0"/>
        <c:ser>
          <c:idx val="9"/>
          <c:order val="9"/>
          <c:tx>
            <c:strRef>
              <c:f>VEN!$G$68</c:f>
              <c:strCache>
                <c:ptCount val="1"/>
                <c:pt idx="0">
                  <c:v> % Vendite 15'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VEN!$H$68:$CE$68</c:f>
            </c:numRef>
          </c:val>
          <c:extLst>
            <c:ext xmlns:c16="http://schemas.microsoft.com/office/drawing/2014/chart" uri="{C3380CC4-5D6E-409C-BE32-E72D297353CC}">
              <c16:uniqueId val="{00000000-780E-4AE6-BC86-63FF87C52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05664"/>
        <c:axId val="110307200"/>
      </c:areaChart>
      <c:barChart>
        <c:barDir val="col"/>
        <c:grouping val="stacked"/>
        <c:varyColors val="0"/>
        <c:ser>
          <c:idx val="0"/>
          <c:order val="0"/>
          <c:tx>
            <c:strRef>
              <c:f>VEN!$G$46</c:f>
              <c:strCache>
                <c:ptCount val="1"/>
                <c:pt idx="0">
                  <c:v>GROCERY SURG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VEN!$H$46:$CE$46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0E-4AE6-BC86-63FF87C52DB8}"/>
            </c:ext>
          </c:extLst>
        </c:ser>
        <c:ser>
          <c:idx val="1"/>
          <c:order val="1"/>
          <c:tx>
            <c:strRef>
              <c:f>VEN!$G$47</c:f>
              <c:strCache>
                <c:ptCount val="1"/>
                <c:pt idx="0">
                  <c:v>CARNE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VEN!$H$47:$CE$47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0E-4AE6-BC86-63FF87C52DB8}"/>
            </c:ext>
          </c:extLst>
        </c:ser>
        <c:ser>
          <c:idx val="2"/>
          <c:order val="2"/>
          <c:tx>
            <c:strRef>
              <c:f>VEN!$G$48</c:f>
              <c:strCache>
                <c:ptCount val="1"/>
                <c:pt idx="0">
                  <c:v>ORTOFRUTTA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VEN!$H$48:$CE$48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0E-4AE6-BC86-63FF87C52DB8}"/>
            </c:ext>
          </c:extLst>
        </c:ser>
        <c:ser>
          <c:idx val="3"/>
          <c:order val="3"/>
          <c:tx>
            <c:strRef>
              <c:f>VEN!$G$49</c:f>
              <c:strCache>
                <c:ptCount val="1"/>
                <c:pt idx="0">
                  <c:v>LATTICINI CREMERIA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VEN!$H$49:$CE$49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0E-4AE6-BC86-63FF87C52DB8}"/>
            </c:ext>
          </c:extLst>
        </c:ser>
        <c:ser>
          <c:idx val="4"/>
          <c:order val="4"/>
          <c:tx>
            <c:strRef>
              <c:f>VEN!$G$50</c:f>
              <c:strCache>
                <c:ptCount val="1"/>
                <c:pt idx="0">
                  <c:v>PESCE</c:v>
                </c:pt>
              </c:strCache>
            </c:strRef>
          </c:tx>
          <c:spPr>
            <a:solidFill>
              <a:srgbClr val="00FFFF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VEN!$H$50:$CE$50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0E-4AE6-BC86-63FF87C52DB8}"/>
            </c:ext>
          </c:extLst>
        </c:ser>
        <c:ser>
          <c:idx val="5"/>
          <c:order val="5"/>
          <c:tx>
            <c:strRef>
              <c:f>VEN!$G$51</c:f>
              <c:strCache>
                <c:ptCount val="1"/>
                <c:pt idx="0">
                  <c:v>FORNO</c:v>
                </c:pt>
              </c:strCache>
            </c:strRef>
          </c:tx>
          <c:spPr>
            <a:solidFill>
              <a:srgbClr val="FFCC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VEN!$H$51:$CE$51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0E-4AE6-BC86-63FF87C52DB8}"/>
            </c:ext>
          </c:extLst>
        </c:ser>
        <c:ser>
          <c:idx val="6"/>
          <c:order val="6"/>
          <c:tx>
            <c:strRef>
              <c:f>VEN!$G$52</c:f>
              <c:strCache>
                <c:ptCount val="1"/>
                <c:pt idx="0">
                  <c:v>CASSE</c:v>
                </c:pt>
              </c:strCache>
            </c:strRef>
          </c:tx>
          <c:spPr>
            <a:solidFill>
              <a:srgbClr val="FF66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VEN!$H$52:$CE$52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0E-4AE6-BC86-63FF87C52DB8}"/>
            </c:ext>
          </c:extLst>
        </c:ser>
        <c:ser>
          <c:idx val="7"/>
          <c:order val="7"/>
          <c:tx>
            <c:strRef>
              <c:f>VEN!$G$53</c:f>
              <c:strCache>
                <c:ptCount val="1"/>
                <c:pt idx="0">
                  <c:v>SERVIZI GENERALI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VEN!$H$53:$CE$53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0E-4AE6-BC86-63FF87C52DB8}"/>
            </c:ext>
          </c:extLst>
        </c:ser>
        <c:ser>
          <c:idx val="8"/>
          <c:order val="8"/>
          <c:tx>
            <c:strRef>
              <c:f>VEN!$G$54</c:f>
              <c:strCache>
                <c:ptCount val="1"/>
                <c:pt idx="0">
                  <c:v>NOFOOD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VEN!$H$54:$CE$54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0E-4AE6-BC86-63FF87C52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305664"/>
        <c:axId val="110307200"/>
      </c:barChart>
      <c:lineChart>
        <c:grouping val="standard"/>
        <c:varyColors val="0"/>
        <c:ser>
          <c:idx val="10"/>
          <c:order val="10"/>
          <c:tx>
            <c:v>Totale PRESENZE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VEN!$H$67:$CE$67</c:f>
            </c:numRef>
          </c:val>
          <c:smooth val="1"/>
          <c:extLst>
            <c:ext xmlns:c16="http://schemas.microsoft.com/office/drawing/2014/chart" uri="{C3380CC4-5D6E-409C-BE32-E72D297353CC}">
              <c16:uniqueId val="{0000000A-780E-4AE6-BC86-63FF87C52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05664"/>
        <c:axId val="110307200"/>
      </c:lineChart>
      <c:lineChart>
        <c:grouping val="standard"/>
        <c:varyColors val="0"/>
        <c:ser>
          <c:idx val="11"/>
          <c:order val="11"/>
          <c:tx>
            <c:v>POL</c:v>
          </c:tx>
          <c:spPr>
            <a:ln w="38100">
              <a:solidFill>
                <a:srgbClr val="00FF00"/>
              </a:solidFill>
              <a:prstDash val="sysDash"/>
            </a:ln>
          </c:spPr>
          <c:marker>
            <c:symbol val="none"/>
          </c:marker>
          <c:val>
            <c:numRef>
              <c:f>VEN!$H$70:$CE$70</c:f>
            </c:numRef>
          </c:val>
          <c:smooth val="1"/>
          <c:extLst>
            <c:ext xmlns:c16="http://schemas.microsoft.com/office/drawing/2014/chart" uri="{C3380CC4-5D6E-409C-BE32-E72D297353CC}">
              <c16:uniqueId val="{0000000B-780E-4AE6-BC86-63FF87C52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08736"/>
        <c:axId val="110314624"/>
      </c:lineChart>
      <c:catAx>
        <c:axId val="1103056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10307200"/>
        <c:crosses val="autoZero"/>
        <c:auto val="1"/>
        <c:lblAlgn val="ctr"/>
        <c:lblOffset val="100"/>
        <c:noMultiLvlLbl val="0"/>
      </c:catAx>
      <c:valAx>
        <c:axId val="110307200"/>
        <c:scaling>
          <c:orientation val="minMax"/>
          <c:min val="0"/>
        </c:scaling>
        <c:delete val="0"/>
        <c:axPos val="l"/>
        <c:majorGridlines/>
        <c:numFmt formatCode="_(* #,##0_);_(* \(#,##0\);_(* &quot;-&quot;_);_(@_)" sourceLinked="0"/>
        <c:majorTickMark val="out"/>
        <c:minorTickMark val="none"/>
        <c:tickLblPos val="nextTo"/>
        <c:crossAx val="110305664"/>
        <c:crosses val="autoZero"/>
        <c:crossBetween val="between"/>
        <c:majorUnit val="1"/>
        <c:minorUnit val="1"/>
      </c:valAx>
      <c:catAx>
        <c:axId val="110308736"/>
        <c:scaling>
          <c:orientation val="minMax"/>
        </c:scaling>
        <c:delete val="1"/>
        <c:axPos val="b"/>
        <c:majorTickMark val="out"/>
        <c:minorTickMark val="none"/>
        <c:tickLblPos val="none"/>
        <c:crossAx val="110314624"/>
        <c:crosses val="autoZero"/>
        <c:auto val="1"/>
        <c:lblAlgn val="ctr"/>
        <c:lblOffset val="100"/>
        <c:noMultiLvlLbl val="0"/>
      </c:catAx>
      <c:valAx>
        <c:axId val="110314624"/>
        <c:scaling>
          <c:orientation val="minMax"/>
          <c:min val="0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one"/>
        <c:crossAx val="11030873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3.8929440389294401E-3"/>
          <c:y val="4.1162227602905582E-2"/>
          <c:w val="8.3698296836983224E-2"/>
          <c:h val="0.89346310524742101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83747174868212"/>
          <c:y val="7.6452827709371812E-2"/>
          <c:w val="0.88916282891719856"/>
          <c:h val="0.76147016398534251"/>
        </c:manualLayout>
      </c:layout>
      <c:areaChart>
        <c:grouping val="standard"/>
        <c:varyColors val="0"/>
        <c:ser>
          <c:idx val="9"/>
          <c:order val="9"/>
          <c:tx>
            <c:strRef>
              <c:f>SAB!$G$68</c:f>
              <c:strCache>
                <c:ptCount val="1"/>
                <c:pt idx="0">
                  <c:v> % Vendite 15' 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SAB!$H$68:$CE$68</c:f>
            </c:numRef>
          </c:val>
          <c:extLst>
            <c:ext xmlns:c16="http://schemas.microsoft.com/office/drawing/2014/chart" uri="{C3380CC4-5D6E-409C-BE32-E72D297353CC}">
              <c16:uniqueId val="{00000000-8F27-44B1-BBBC-6F70E7E0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62848"/>
        <c:axId val="110464384"/>
      </c:areaChart>
      <c:barChart>
        <c:barDir val="col"/>
        <c:grouping val="stacked"/>
        <c:varyColors val="0"/>
        <c:ser>
          <c:idx val="0"/>
          <c:order val="0"/>
          <c:tx>
            <c:strRef>
              <c:f>SAB!$G$46</c:f>
              <c:strCache>
                <c:ptCount val="1"/>
                <c:pt idx="0">
                  <c:v>GROCERY SURG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SAB!$H$46:$CE$46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7-44B1-BBBC-6F70E7E09A36}"/>
            </c:ext>
          </c:extLst>
        </c:ser>
        <c:ser>
          <c:idx val="1"/>
          <c:order val="1"/>
          <c:tx>
            <c:strRef>
              <c:f>SAB!$G$47</c:f>
              <c:strCache>
                <c:ptCount val="1"/>
                <c:pt idx="0">
                  <c:v>CARNE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SAB!$H$47:$CE$47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7-44B1-BBBC-6F70E7E09A36}"/>
            </c:ext>
          </c:extLst>
        </c:ser>
        <c:ser>
          <c:idx val="2"/>
          <c:order val="2"/>
          <c:tx>
            <c:strRef>
              <c:f>SAB!$G$48</c:f>
              <c:strCache>
                <c:ptCount val="1"/>
                <c:pt idx="0">
                  <c:v>ORTOFRUTTA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SAB!$H$48:$CE$48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27-44B1-BBBC-6F70E7E09A36}"/>
            </c:ext>
          </c:extLst>
        </c:ser>
        <c:ser>
          <c:idx val="3"/>
          <c:order val="3"/>
          <c:tx>
            <c:strRef>
              <c:f>SAB!$G$49</c:f>
              <c:strCache>
                <c:ptCount val="1"/>
                <c:pt idx="0">
                  <c:v>LATTICINI CREMERIA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SAB!$H$49:$CE$49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27-44B1-BBBC-6F70E7E09A36}"/>
            </c:ext>
          </c:extLst>
        </c:ser>
        <c:ser>
          <c:idx val="4"/>
          <c:order val="4"/>
          <c:tx>
            <c:strRef>
              <c:f>SAB!$G$50</c:f>
              <c:strCache>
                <c:ptCount val="1"/>
                <c:pt idx="0">
                  <c:v>PESCE</c:v>
                </c:pt>
              </c:strCache>
            </c:strRef>
          </c:tx>
          <c:spPr>
            <a:solidFill>
              <a:srgbClr val="00FFFF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SAB!$H$50:$CE$50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27-44B1-BBBC-6F70E7E09A36}"/>
            </c:ext>
          </c:extLst>
        </c:ser>
        <c:ser>
          <c:idx val="5"/>
          <c:order val="5"/>
          <c:tx>
            <c:strRef>
              <c:f>SAB!$G$51</c:f>
              <c:strCache>
                <c:ptCount val="1"/>
                <c:pt idx="0">
                  <c:v>FORNO</c:v>
                </c:pt>
              </c:strCache>
            </c:strRef>
          </c:tx>
          <c:spPr>
            <a:solidFill>
              <a:srgbClr val="FFCC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SAB!$H$51:$CE$51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27-44B1-BBBC-6F70E7E09A36}"/>
            </c:ext>
          </c:extLst>
        </c:ser>
        <c:ser>
          <c:idx val="6"/>
          <c:order val="6"/>
          <c:tx>
            <c:strRef>
              <c:f>SAB!$G$52</c:f>
              <c:strCache>
                <c:ptCount val="1"/>
                <c:pt idx="0">
                  <c:v>CASSE</c:v>
                </c:pt>
              </c:strCache>
            </c:strRef>
          </c:tx>
          <c:spPr>
            <a:solidFill>
              <a:srgbClr val="FF66CC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SAB!$H$52:$CE$52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27-44B1-BBBC-6F70E7E09A36}"/>
            </c:ext>
          </c:extLst>
        </c:ser>
        <c:ser>
          <c:idx val="7"/>
          <c:order val="7"/>
          <c:tx>
            <c:strRef>
              <c:f>SAB!$G$53</c:f>
              <c:strCache>
                <c:ptCount val="1"/>
                <c:pt idx="0">
                  <c:v>SERVIZI GENERALI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SAB!$H$53:$CE$53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27-44B1-BBBC-6F70E7E09A36}"/>
            </c:ext>
          </c:extLst>
        </c:ser>
        <c:ser>
          <c:idx val="8"/>
          <c:order val="8"/>
          <c:tx>
            <c:strRef>
              <c:f>SAB!$G$54</c:f>
              <c:strCache>
                <c:ptCount val="1"/>
                <c:pt idx="0">
                  <c:v>NOFOOD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DOM!$G$3:$CE$3</c:f>
              <c:numCache>
                <c:formatCode>0.00</c:formatCode>
                <c:ptCount val="77"/>
                <c:pt idx="0">
                  <c:v>5</c:v>
                </c:pt>
                <c:pt idx="1">
                  <c:v>5.15</c:v>
                </c:pt>
                <c:pt idx="2">
                  <c:v>5.3000000000000007</c:v>
                </c:pt>
                <c:pt idx="3">
                  <c:v>5.4500000000000011</c:v>
                </c:pt>
                <c:pt idx="4">
                  <c:v>6</c:v>
                </c:pt>
                <c:pt idx="5">
                  <c:v>6.15</c:v>
                </c:pt>
                <c:pt idx="6">
                  <c:v>6.3000000000000007</c:v>
                </c:pt>
                <c:pt idx="7">
                  <c:v>6.4500000000000011</c:v>
                </c:pt>
                <c:pt idx="8">
                  <c:v>7</c:v>
                </c:pt>
                <c:pt idx="9">
                  <c:v>7.15</c:v>
                </c:pt>
                <c:pt idx="10">
                  <c:v>7.3000000000000007</c:v>
                </c:pt>
                <c:pt idx="11">
                  <c:v>7.4500000000000011</c:v>
                </c:pt>
                <c:pt idx="12">
                  <c:v>8</c:v>
                </c:pt>
                <c:pt idx="13">
                  <c:v>8.15</c:v>
                </c:pt>
                <c:pt idx="14">
                  <c:v>8.3000000000000007</c:v>
                </c:pt>
                <c:pt idx="15">
                  <c:v>8.4500000000000011</c:v>
                </c:pt>
                <c:pt idx="16">
                  <c:v>9</c:v>
                </c:pt>
                <c:pt idx="17">
                  <c:v>9.15</c:v>
                </c:pt>
                <c:pt idx="18">
                  <c:v>9.3000000000000007</c:v>
                </c:pt>
                <c:pt idx="19">
                  <c:v>9.4500000000000011</c:v>
                </c:pt>
                <c:pt idx="20">
                  <c:v>10</c:v>
                </c:pt>
                <c:pt idx="21">
                  <c:v>10.15</c:v>
                </c:pt>
                <c:pt idx="22">
                  <c:v>10.3</c:v>
                </c:pt>
                <c:pt idx="23">
                  <c:v>10.450000000000001</c:v>
                </c:pt>
                <c:pt idx="24">
                  <c:v>11</c:v>
                </c:pt>
                <c:pt idx="25">
                  <c:v>11.15</c:v>
                </c:pt>
                <c:pt idx="26">
                  <c:v>11.3</c:v>
                </c:pt>
                <c:pt idx="27">
                  <c:v>11.450000000000001</c:v>
                </c:pt>
                <c:pt idx="28">
                  <c:v>12</c:v>
                </c:pt>
                <c:pt idx="29">
                  <c:v>12.15</c:v>
                </c:pt>
                <c:pt idx="30">
                  <c:v>12.3</c:v>
                </c:pt>
                <c:pt idx="31">
                  <c:v>12.450000000000001</c:v>
                </c:pt>
                <c:pt idx="32">
                  <c:v>13</c:v>
                </c:pt>
                <c:pt idx="33">
                  <c:v>13.15</c:v>
                </c:pt>
                <c:pt idx="34">
                  <c:v>13.3</c:v>
                </c:pt>
                <c:pt idx="35">
                  <c:v>13.450000000000001</c:v>
                </c:pt>
                <c:pt idx="36">
                  <c:v>14</c:v>
                </c:pt>
                <c:pt idx="37">
                  <c:v>14.15</c:v>
                </c:pt>
                <c:pt idx="38">
                  <c:v>14.3</c:v>
                </c:pt>
                <c:pt idx="39">
                  <c:v>14.450000000000001</c:v>
                </c:pt>
                <c:pt idx="40">
                  <c:v>15</c:v>
                </c:pt>
                <c:pt idx="41">
                  <c:v>15.15</c:v>
                </c:pt>
                <c:pt idx="42">
                  <c:v>15.3</c:v>
                </c:pt>
                <c:pt idx="43">
                  <c:v>15.450000000000001</c:v>
                </c:pt>
                <c:pt idx="44">
                  <c:v>16</c:v>
                </c:pt>
                <c:pt idx="45">
                  <c:v>16.149999999999999</c:v>
                </c:pt>
                <c:pt idx="46">
                  <c:v>16.299999999999997</c:v>
                </c:pt>
                <c:pt idx="47">
                  <c:v>16.449999999999996</c:v>
                </c:pt>
                <c:pt idx="48">
                  <c:v>17</c:v>
                </c:pt>
                <c:pt idx="49">
                  <c:v>17.149999999999999</c:v>
                </c:pt>
                <c:pt idx="50">
                  <c:v>17.299999999999997</c:v>
                </c:pt>
                <c:pt idx="51">
                  <c:v>17.449999999999996</c:v>
                </c:pt>
                <c:pt idx="52">
                  <c:v>18</c:v>
                </c:pt>
                <c:pt idx="53">
                  <c:v>18.149999999999999</c:v>
                </c:pt>
                <c:pt idx="54">
                  <c:v>18.299999999999997</c:v>
                </c:pt>
                <c:pt idx="55">
                  <c:v>18.449999999999996</c:v>
                </c:pt>
                <c:pt idx="56">
                  <c:v>19</c:v>
                </c:pt>
                <c:pt idx="57">
                  <c:v>19.149999999999999</c:v>
                </c:pt>
                <c:pt idx="58">
                  <c:v>19.299999999999997</c:v>
                </c:pt>
                <c:pt idx="59">
                  <c:v>19.449999999999996</c:v>
                </c:pt>
                <c:pt idx="60">
                  <c:v>20</c:v>
                </c:pt>
                <c:pt idx="61">
                  <c:v>20.149999999999999</c:v>
                </c:pt>
                <c:pt idx="62">
                  <c:v>20.299999999999997</c:v>
                </c:pt>
                <c:pt idx="63">
                  <c:v>20.449999999999996</c:v>
                </c:pt>
                <c:pt idx="64">
                  <c:v>21</c:v>
                </c:pt>
                <c:pt idx="65">
                  <c:v>21.15</c:v>
                </c:pt>
                <c:pt idx="66">
                  <c:v>21.299999999999997</c:v>
                </c:pt>
                <c:pt idx="67">
                  <c:v>21.449999999999996</c:v>
                </c:pt>
                <c:pt idx="68">
                  <c:v>22</c:v>
                </c:pt>
                <c:pt idx="69">
                  <c:v>22.15</c:v>
                </c:pt>
                <c:pt idx="70">
                  <c:v>22.299999999999997</c:v>
                </c:pt>
                <c:pt idx="71">
                  <c:v>22.449999999999996</c:v>
                </c:pt>
                <c:pt idx="72">
                  <c:v>23</c:v>
                </c:pt>
                <c:pt idx="73">
                  <c:v>23.15</c:v>
                </c:pt>
                <c:pt idx="74">
                  <c:v>23.299999999999997</c:v>
                </c:pt>
                <c:pt idx="75">
                  <c:v>23.449999999999996</c:v>
                </c:pt>
                <c:pt idx="76">
                  <c:v>24</c:v>
                </c:pt>
              </c:numCache>
            </c:numRef>
          </c:cat>
          <c:val>
            <c:numRef>
              <c:f>SAB!$H$54:$CE$54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27-44B1-BBBC-6F70E7E0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462848"/>
        <c:axId val="110464384"/>
      </c:barChart>
      <c:lineChart>
        <c:grouping val="standard"/>
        <c:varyColors val="0"/>
        <c:ser>
          <c:idx val="10"/>
          <c:order val="10"/>
          <c:tx>
            <c:v>Totale PRESENZE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SAB!$H$67:$CE$67</c:f>
            </c:numRef>
          </c:val>
          <c:smooth val="1"/>
          <c:extLst>
            <c:ext xmlns:c16="http://schemas.microsoft.com/office/drawing/2014/chart" uri="{C3380CC4-5D6E-409C-BE32-E72D297353CC}">
              <c16:uniqueId val="{0000000A-8F27-44B1-BBBC-6F70E7E0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62848"/>
        <c:axId val="110464384"/>
      </c:lineChart>
      <c:lineChart>
        <c:grouping val="standard"/>
        <c:varyColors val="0"/>
        <c:ser>
          <c:idx val="11"/>
          <c:order val="11"/>
          <c:tx>
            <c:v>POL</c:v>
          </c:tx>
          <c:spPr>
            <a:ln w="38100">
              <a:solidFill>
                <a:srgbClr val="00FF00"/>
              </a:solidFill>
              <a:prstDash val="sysDash"/>
            </a:ln>
          </c:spPr>
          <c:marker>
            <c:symbol val="none"/>
          </c:marker>
          <c:val>
            <c:numRef>
              <c:f>SAB!$H$70:$CE$70</c:f>
            </c:numRef>
          </c:val>
          <c:smooth val="1"/>
          <c:extLst>
            <c:ext xmlns:c16="http://schemas.microsoft.com/office/drawing/2014/chart" uri="{C3380CC4-5D6E-409C-BE32-E72D297353CC}">
              <c16:uniqueId val="{0000000B-8F27-44B1-BBBC-6F70E7E0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70272"/>
        <c:axId val="110471808"/>
      </c:lineChart>
      <c:catAx>
        <c:axId val="1104628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10464384"/>
        <c:crosses val="autoZero"/>
        <c:auto val="1"/>
        <c:lblAlgn val="ctr"/>
        <c:lblOffset val="100"/>
        <c:noMultiLvlLbl val="0"/>
      </c:catAx>
      <c:valAx>
        <c:axId val="110464384"/>
        <c:scaling>
          <c:orientation val="minMax"/>
          <c:min val="0"/>
        </c:scaling>
        <c:delete val="0"/>
        <c:axPos val="l"/>
        <c:majorGridlines/>
        <c:numFmt formatCode="_(* #,##0_);_(* \(#,##0\);_(* &quot;-&quot;_);_(@_)" sourceLinked="0"/>
        <c:majorTickMark val="out"/>
        <c:minorTickMark val="none"/>
        <c:tickLblPos val="nextTo"/>
        <c:crossAx val="110462848"/>
        <c:crosses val="autoZero"/>
        <c:crossBetween val="between"/>
        <c:majorUnit val="1"/>
        <c:minorUnit val="1"/>
      </c:valAx>
      <c:catAx>
        <c:axId val="110470272"/>
        <c:scaling>
          <c:orientation val="minMax"/>
        </c:scaling>
        <c:delete val="1"/>
        <c:axPos val="b"/>
        <c:majorTickMark val="out"/>
        <c:minorTickMark val="none"/>
        <c:tickLblPos val="none"/>
        <c:crossAx val="110471808"/>
        <c:crosses val="autoZero"/>
        <c:auto val="1"/>
        <c:lblAlgn val="ctr"/>
        <c:lblOffset val="100"/>
        <c:noMultiLvlLbl val="0"/>
      </c:catAx>
      <c:valAx>
        <c:axId val="110471808"/>
        <c:scaling>
          <c:orientation val="minMax"/>
          <c:min val="0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one"/>
        <c:crossAx val="110470272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3.8929440389294401E-3"/>
          <c:y val="4.1162227602905582E-2"/>
          <c:w val="8.3698296836983224E-2"/>
          <c:h val="0.89346310524742101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croll" dx="16" fmlaLink="$K$34" horiz="1" max="200" page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wmf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TABELLA!E10"/><Relationship Id="rId1" Type="http://schemas.openxmlformats.org/officeDocument/2006/relationships/chart" Target="../charts/chart1.xml"/><Relationship Id="rId4" Type="http://schemas.openxmlformats.org/officeDocument/2006/relationships/image" Target="../media/image8.w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TABELLA!E10"/><Relationship Id="rId1" Type="http://schemas.openxmlformats.org/officeDocument/2006/relationships/chart" Target="../charts/chart2.xml"/><Relationship Id="rId4" Type="http://schemas.openxmlformats.org/officeDocument/2006/relationships/image" Target="../media/image8.w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TABELLA!E10"/><Relationship Id="rId1" Type="http://schemas.openxmlformats.org/officeDocument/2006/relationships/chart" Target="../charts/chart3.xml"/><Relationship Id="rId4" Type="http://schemas.openxmlformats.org/officeDocument/2006/relationships/image" Target="../media/image8.w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TABELLA!E10"/><Relationship Id="rId1" Type="http://schemas.openxmlformats.org/officeDocument/2006/relationships/chart" Target="../charts/chart4.xml"/><Relationship Id="rId4" Type="http://schemas.openxmlformats.org/officeDocument/2006/relationships/image" Target="../media/image8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TABELLA!E10"/><Relationship Id="rId1" Type="http://schemas.openxmlformats.org/officeDocument/2006/relationships/chart" Target="../charts/chart5.xml"/><Relationship Id="rId4" Type="http://schemas.openxmlformats.org/officeDocument/2006/relationships/image" Target="../media/image8.w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TABELLA!E10"/><Relationship Id="rId1" Type="http://schemas.openxmlformats.org/officeDocument/2006/relationships/chart" Target="../charts/chart6.xml"/><Relationship Id="rId4" Type="http://schemas.openxmlformats.org/officeDocument/2006/relationships/image" Target="../media/image8.w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TABELLA!E10"/><Relationship Id="rId1" Type="http://schemas.openxmlformats.org/officeDocument/2006/relationships/chart" Target="../charts/chart7.xml"/><Relationship Id="rId4" Type="http://schemas.openxmlformats.org/officeDocument/2006/relationships/image" Target="../media/image8.w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TABELLA!E10"/><Relationship Id="rId1" Type="http://schemas.openxmlformats.org/officeDocument/2006/relationships/chart" Target="../charts/chart8.xml"/><Relationship Id="rId4" Type="http://schemas.openxmlformats.org/officeDocument/2006/relationships/image" Target="../media/image8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30480</xdr:rowOff>
    </xdr:from>
    <xdr:to>
      <xdr:col>2</xdr:col>
      <xdr:colOff>167640</xdr:colOff>
      <xdr:row>5</xdr:row>
      <xdr:rowOff>7620</xdr:rowOff>
    </xdr:to>
    <xdr:pic>
      <xdr:nvPicPr>
        <xdr:cNvPr id="2835" name="Picture 18" descr="PamMarchioBase per carte intestate">
          <a:extLs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40" y="693420"/>
          <a:ext cx="64770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29</xdr:col>
      <xdr:colOff>243840</xdr:colOff>
      <xdr:row>67</xdr:row>
      <xdr:rowOff>45720</xdr:rowOff>
    </xdr:from>
    <xdr:to>
      <xdr:col>42</xdr:col>
      <xdr:colOff>2095500</xdr:colOff>
      <xdr:row>78</xdr:row>
      <xdr:rowOff>15240</xdr:rowOff>
    </xdr:to>
    <xdr:sp macro="" textlink="">
      <xdr:nvSpPr>
        <xdr:cNvPr id="2836" name="Rettangolo 3">
          <a:extLs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>
          <a:spLocks noChangeArrowheads="1"/>
        </xdr:cNvSpPr>
      </xdr:nvSpPr>
      <xdr:spPr bwMode="auto">
        <a:xfrm>
          <a:off x="17419320" y="17335500"/>
          <a:ext cx="9715500" cy="1150620"/>
        </a:xfrm>
        <a:prstGeom prst="rect">
          <a:avLst/>
        </a:prstGeom>
        <a:solidFill>
          <a:srgbClr val="C0C0C0"/>
        </a:solidFill>
        <a:ln w="19050" algn="ctr">
          <a:noFill/>
          <a:miter lim="800000"/>
          <a:headEnd/>
          <a:tailEnd/>
        </a:ln>
      </xdr:spPr>
    </xdr:sp>
    <xdr:clientData/>
  </xdr:twoCellAnchor>
  <xdr:twoCellAnchor editAs="oneCell">
    <xdr:from>
      <xdr:col>31</xdr:col>
      <xdr:colOff>60960</xdr:colOff>
      <xdr:row>3</xdr:row>
      <xdr:rowOff>45720</xdr:rowOff>
    </xdr:from>
    <xdr:to>
      <xdr:col>31</xdr:col>
      <xdr:colOff>449580</xdr:colOff>
      <xdr:row>4</xdr:row>
      <xdr:rowOff>182880</xdr:rowOff>
    </xdr:to>
    <xdr:pic macro="[0]!Cancella">
      <xdr:nvPicPr>
        <xdr:cNvPr id="2837" name="Picture 268">
          <a:extLs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8379440" y="708660"/>
          <a:ext cx="388620" cy="3886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30</xdr:col>
      <xdr:colOff>68580</xdr:colOff>
      <xdr:row>3</xdr:row>
      <xdr:rowOff>38100</xdr:rowOff>
    </xdr:from>
    <xdr:to>
      <xdr:col>30</xdr:col>
      <xdr:colOff>480060</xdr:colOff>
      <xdr:row>5</xdr:row>
      <xdr:rowOff>30480</xdr:rowOff>
    </xdr:to>
    <xdr:pic macro="[0]!stampa">
      <xdr:nvPicPr>
        <xdr:cNvPr id="2838" name="Picture 609">
          <a:extLs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7815560" y="701040"/>
          <a:ext cx="411480" cy="434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9525</xdr:rowOff>
        </xdr:from>
        <xdr:to>
          <xdr:col>3</xdr:col>
          <xdr:colOff>333375</xdr:colOff>
          <xdr:row>3</xdr:row>
          <xdr:rowOff>238125</xdr:rowOff>
        </xdr:to>
        <xdr:sp macro="" textlink="">
          <xdr:nvSpPr>
            <xdr:cNvPr id="2635" name="CMDCHIUDI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00000000-0008-0000-0000-00004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0</xdr:rowOff>
        </xdr:from>
        <xdr:to>
          <xdr:col>3</xdr:col>
          <xdr:colOff>333375</xdr:colOff>
          <xdr:row>5</xdr:row>
          <xdr:rowOff>38100</xdr:rowOff>
        </xdr:to>
        <xdr:sp macro="" textlink="">
          <xdr:nvSpPr>
            <xdr:cNvPr id="2637" name="cmdapri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00000000-0008-0000-0000-00004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3</xdr:row>
          <xdr:rowOff>19050</xdr:rowOff>
        </xdr:from>
        <xdr:to>
          <xdr:col>2</xdr:col>
          <xdr:colOff>1276350</xdr:colOff>
          <xdr:row>5</xdr:row>
          <xdr:rowOff>38100</xdr:rowOff>
        </xdr:to>
        <xdr:sp macro="" textlink="">
          <xdr:nvSpPr>
            <xdr:cNvPr id="2659" name="CommandButton1" hidden="1">
              <a:extLst>
                <a:ext uri="{63B3BB69-23CF-44E3-9099-C40C66FF867C}">
                  <a14:compatExt spid="_x0000_s2659"/>
                </a:ext>
                <a:ext uri="{FF2B5EF4-FFF2-40B4-BE49-F238E27FC236}">
                  <a16:creationId xmlns:a16="http://schemas.microsoft.com/office/drawing/2014/main" id="{00000000-0008-0000-0000-00006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857250</xdr:colOff>
          <xdr:row>3</xdr:row>
          <xdr:rowOff>66675</xdr:rowOff>
        </xdr:from>
        <xdr:to>
          <xdr:col>42</xdr:col>
          <xdr:colOff>1333500</xdr:colOff>
          <xdr:row>5</xdr:row>
          <xdr:rowOff>0</xdr:rowOff>
        </xdr:to>
        <xdr:sp macro="" textlink="">
          <xdr:nvSpPr>
            <xdr:cNvPr id="2662" name="CommandButton2" hidden="1">
              <a:extLst>
                <a:ext uri="{63B3BB69-23CF-44E3-9099-C40C66FF867C}">
                  <a14:compatExt spid="_x0000_s2662"/>
                </a:ext>
                <a:ext uri="{FF2B5EF4-FFF2-40B4-BE49-F238E27FC236}">
                  <a16:creationId xmlns:a16="http://schemas.microsoft.com/office/drawing/2014/main" id="{00000000-0008-0000-0000-00006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</xdr:row>
          <xdr:rowOff>19050</xdr:rowOff>
        </xdr:from>
        <xdr:to>
          <xdr:col>2</xdr:col>
          <xdr:colOff>704850</xdr:colOff>
          <xdr:row>5</xdr:row>
          <xdr:rowOff>38100</xdr:rowOff>
        </xdr:to>
        <xdr:sp macro="" textlink="">
          <xdr:nvSpPr>
            <xdr:cNvPr id="2665" name="Image1" hidden="1">
              <a:extLst>
                <a:ext uri="{63B3BB69-23CF-44E3-9099-C40C66FF867C}">
                  <a14:compatExt spid="_x0000_s2665"/>
                </a:ext>
                <a:ext uri="{FF2B5EF4-FFF2-40B4-BE49-F238E27FC236}">
                  <a16:creationId xmlns:a16="http://schemas.microsoft.com/office/drawing/2014/main" id="{00000000-0008-0000-0000-00006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53340</xdr:rowOff>
    </xdr:from>
    <xdr:to>
      <xdr:col>11</xdr:col>
      <xdr:colOff>0</xdr:colOff>
      <xdr:row>30</xdr:row>
      <xdr:rowOff>114300</xdr:rowOff>
    </xdr:to>
    <xdr:graphicFrame macro="">
      <xdr:nvGraphicFramePr>
        <xdr:cNvPr id="241845" name="Chart 1">
          <a:extLst>
            <a:ext uri="{FF2B5EF4-FFF2-40B4-BE49-F238E27FC236}">
              <a16:creationId xmlns:a16="http://schemas.microsoft.com/office/drawing/2014/main" id="{00000000-0008-0000-0100-0000B5B0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60960</xdr:colOff>
      <xdr:row>1</xdr:row>
      <xdr:rowOff>38100</xdr:rowOff>
    </xdr:from>
    <xdr:to>
      <xdr:col>1</xdr:col>
      <xdr:colOff>411480</xdr:colOff>
      <xdr:row>1</xdr:row>
      <xdr:rowOff>381000</xdr:rowOff>
    </xdr:to>
    <xdr:pic>
      <xdr:nvPicPr>
        <xdr:cNvPr id="241846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B6B0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129540"/>
          <a:ext cx="35052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>
    <xdr:from>
      <xdr:col>0</xdr:col>
      <xdr:colOff>30480</xdr:colOff>
      <xdr:row>0</xdr:row>
      <xdr:rowOff>15240</xdr:rowOff>
    </xdr:from>
    <xdr:to>
      <xdr:col>11</xdr:col>
      <xdr:colOff>45720</xdr:colOff>
      <xdr:row>31</xdr:row>
      <xdr:rowOff>7620</xdr:rowOff>
    </xdr:to>
    <xdr:sp macro="" textlink="">
      <xdr:nvSpPr>
        <xdr:cNvPr id="241847" name="Rectangle 3">
          <a:extLst>
            <a:ext uri="{FF2B5EF4-FFF2-40B4-BE49-F238E27FC236}">
              <a16:creationId xmlns:a16="http://schemas.microsoft.com/office/drawing/2014/main" id="{00000000-0008-0000-0100-0000B7B00300}"/>
            </a:ext>
          </a:extLst>
        </xdr:cNvPr>
        <xdr:cNvSpPr>
          <a:spLocks noChangeArrowheads="1"/>
        </xdr:cNvSpPr>
      </xdr:nvSpPr>
      <xdr:spPr bwMode="auto">
        <a:xfrm>
          <a:off x="30480" y="15240"/>
          <a:ext cx="9974580" cy="501396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586740</xdr:colOff>
      <xdr:row>1</xdr:row>
      <xdr:rowOff>30480</xdr:rowOff>
    </xdr:from>
    <xdr:to>
      <xdr:col>1</xdr:col>
      <xdr:colOff>899160</xdr:colOff>
      <xdr:row>1</xdr:row>
      <xdr:rowOff>373380</xdr:rowOff>
    </xdr:to>
    <xdr:pic macro="[0]!stampa">
      <xdr:nvPicPr>
        <xdr:cNvPr id="241848" name="Picture 19">
          <a:extLst>
            <a:ext uri="{FF2B5EF4-FFF2-40B4-BE49-F238E27FC236}">
              <a16:creationId xmlns:a16="http://schemas.microsoft.com/office/drawing/2014/main" id="{00000000-0008-0000-0100-0000B8B0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62940" y="121920"/>
          <a:ext cx="31242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47625</xdr:rowOff>
        </xdr:from>
        <xdr:to>
          <xdr:col>10</xdr:col>
          <xdr:colOff>1504950</xdr:colOff>
          <xdr:row>1</xdr:row>
          <xdr:rowOff>209550</xdr:rowOff>
        </xdr:to>
        <xdr:sp macro="" textlink="">
          <xdr:nvSpPr>
            <xdr:cNvPr id="241681" name="Scroll Bar 17" hidden="1">
              <a:extLst>
                <a:ext uri="{63B3BB69-23CF-44E3-9099-C40C66FF867C}">
                  <a14:compatExt spid="_x0000_s241681"/>
                </a:ext>
                <a:ext uri="{FF2B5EF4-FFF2-40B4-BE49-F238E27FC236}">
                  <a16:creationId xmlns:a16="http://schemas.microsoft.com/office/drawing/2014/main" id="{00000000-0008-0000-0100-00001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54</xdr:row>
      <xdr:rowOff>99060</xdr:rowOff>
    </xdr:from>
    <xdr:to>
      <xdr:col>82</xdr:col>
      <xdr:colOff>152400</xdr:colOff>
      <xdr:row>65</xdr:row>
      <xdr:rowOff>213360</xdr:rowOff>
    </xdr:to>
    <xdr:graphicFrame macro="">
      <xdr:nvGraphicFramePr>
        <xdr:cNvPr id="3533" name="Grafico 3">
          <a:extLst>
            <a:ext uri="{FF2B5EF4-FFF2-40B4-BE49-F238E27FC236}">
              <a16:creationId xmlns:a16="http://schemas.microsoft.com/office/drawing/2014/main" id="{00000000-0008-0000-0200-0000CD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68580</xdr:colOff>
      <xdr:row>2</xdr:row>
      <xdr:rowOff>38100</xdr:rowOff>
    </xdr:from>
    <xdr:to>
      <xdr:col>6</xdr:col>
      <xdr:colOff>160020</xdr:colOff>
      <xdr:row>3</xdr:row>
      <xdr:rowOff>0</xdr:rowOff>
    </xdr:to>
    <xdr:pic>
      <xdr:nvPicPr>
        <xdr:cNvPr id="3534" name="Picture 3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C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373380"/>
          <a:ext cx="43434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6</xdr:col>
      <xdr:colOff>266700</xdr:colOff>
      <xdr:row>2</xdr:row>
      <xdr:rowOff>45720</xdr:rowOff>
    </xdr:from>
    <xdr:to>
      <xdr:col>6</xdr:col>
      <xdr:colOff>678180</xdr:colOff>
      <xdr:row>3</xdr:row>
      <xdr:rowOff>30480</xdr:rowOff>
    </xdr:to>
    <xdr:pic macro="[0]!stampa">
      <xdr:nvPicPr>
        <xdr:cNvPr id="3535" name="Picture 340">
          <a:extLst>
            <a:ext uri="{FF2B5EF4-FFF2-40B4-BE49-F238E27FC236}">
              <a16:creationId xmlns:a16="http://schemas.microsoft.com/office/drawing/2014/main" id="{00000000-0008-0000-0200-0000C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78180" y="381000"/>
          <a:ext cx="411480" cy="441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54</xdr:row>
      <xdr:rowOff>99060</xdr:rowOff>
    </xdr:from>
    <xdr:to>
      <xdr:col>82</xdr:col>
      <xdr:colOff>243840</xdr:colOff>
      <xdr:row>65</xdr:row>
      <xdr:rowOff>213360</xdr:rowOff>
    </xdr:to>
    <xdr:graphicFrame macro="">
      <xdr:nvGraphicFramePr>
        <xdr:cNvPr id="78052" name="Grafico 3">
          <a:extLst>
            <a:ext uri="{FF2B5EF4-FFF2-40B4-BE49-F238E27FC236}">
              <a16:creationId xmlns:a16="http://schemas.microsoft.com/office/drawing/2014/main" id="{00000000-0008-0000-0300-0000E43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68580</xdr:colOff>
      <xdr:row>2</xdr:row>
      <xdr:rowOff>38100</xdr:rowOff>
    </xdr:from>
    <xdr:to>
      <xdr:col>6</xdr:col>
      <xdr:colOff>160020</xdr:colOff>
      <xdr:row>3</xdr:row>
      <xdr:rowOff>0</xdr:rowOff>
    </xdr:to>
    <xdr:pic>
      <xdr:nvPicPr>
        <xdr:cNvPr id="78053" name="Picture 10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E53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373380"/>
          <a:ext cx="43434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6</xdr:col>
      <xdr:colOff>266700</xdr:colOff>
      <xdr:row>2</xdr:row>
      <xdr:rowOff>45720</xdr:rowOff>
    </xdr:from>
    <xdr:to>
      <xdr:col>6</xdr:col>
      <xdr:colOff>678180</xdr:colOff>
      <xdr:row>3</xdr:row>
      <xdr:rowOff>30480</xdr:rowOff>
    </xdr:to>
    <xdr:pic macro="[0]!stampa">
      <xdr:nvPicPr>
        <xdr:cNvPr id="78054" name="Picture 107">
          <a:extLst>
            <a:ext uri="{FF2B5EF4-FFF2-40B4-BE49-F238E27FC236}">
              <a16:creationId xmlns:a16="http://schemas.microsoft.com/office/drawing/2014/main" id="{00000000-0008-0000-0300-0000E63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78180" y="381000"/>
          <a:ext cx="411480" cy="441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54</xdr:row>
      <xdr:rowOff>99060</xdr:rowOff>
    </xdr:from>
    <xdr:to>
      <xdr:col>82</xdr:col>
      <xdr:colOff>243840</xdr:colOff>
      <xdr:row>65</xdr:row>
      <xdr:rowOff>213360</xdr:rowOff>
    </xdr:to>
    <xdr:graphicFrame macro="">
      <xdr:nvGraphicFramePr>
        <xdr:cNvPr id="81124" name="Grafico 3">
          <a:extLst>
            <a:ext uri="{FF2B5EF4-FFF2-40B4-BE49-F238E27FC236}">
              <a16:creationId xmlns:a16="http://schemas.microsoft.com/office/drawing/2014/main" id="{00000000-0008-0000-0400-0000E43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68580</xdr:colOff>
      <xdr:row>2</xdr:row>
      <xdr:rowOff>38100</xdr:rowOff>
    </xdr:from>
    <xdr:to>
      <xdr:col>6</xdr:col>
      <xdr:colOff>160020</xdr:colOff>
      <xdr:row>3</xdr:row>
      <xdr:rowOff>0</xdr:rowOff>
    </xdr:to>
    <xdr:pic>
      <xdr:nvPicPr>
        <xdr:cNvPr id="81125" name="Picture 10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E53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373380"/>
          <a:ext cx="43434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6</xdr:col>
      <xdr:colOff>266700</xdr:colOff>
      <xdr:row>2</xdr:row>
      <xdr:rowOff>45720</xdr:rowOff>
    </xdr:from>
    <xdr:to>
      <xdr:col>6</xdr:col>
      <xdr:colOff>678180</xdr:colOff>
      <xdr:row>3</xdr:row>
      <xdr:rowOff>30480</xdr:rowOff>
    </xdr:to>
    <xdr:pic macro="[0]!stampa">
      <xdr:nvPicPr>
        <xdr:cNvPr id="81126" name="Picture 107">
          <a:extLst>
            <a:ext uri="{FF2B5EF4-FFF2-40B4-BE49-F238E27FC236}">
              <a16:creationId xmlns:a16="http://schemas.microsoft.com/office/drawing/2014/main" id="{00000000-0008-0000-0400-0000E63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78180" y="381000"/>
          <a:ext cx="411480" cy="441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54</xdr:row>
      <xdr:rowOff>99060</xdr:rowOff>
    </xdr:from>
    <xdr:to>
      <xdr:col>82</xdr:col>
      <xdr:colOff>243840</xdr:colOff>
      <xdr:row>65</xdr:row>
      <xdr:rowOff>213360</xdr:rowOff>
    </xdr:to>
    <xdr:graphicFrame macro="">
      <xdr:nvGraphicFramePr>
        <xdr:cNvPr id="86233" name="Grafico 3">
          <a:extLst>
            <a:ext uri="{FF2B5EF4-FFF2-40B4-BE49-F238E27FC236}">
              <a16:creationId xmlns:a16="http://schemas.microsoft.com/office/drawing/2014/main" id="{00000000-0008-0000-0500-0000D95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68580</xdr:colOff>
      <xdr:row>2</xdr:row>
      <xdr:rowOff>38100</xdr:rowOff>
    </xdr:from>
    <xdr:to>
      <xdr:col>6</xdr:col>
      <xdr:colOff>160020</xdr:colOff>
      <xdr:row>3</xdr:row>
      <xdr:rowOff>0</xdr:rowOff>
    </xdr:to>
    <xdr:pic>
      <xdr:nvPicPr>
        <xdr:cNvPr id="86234" name="Pictur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DA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373380"/>
          <a:ext cx="43434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6</xdr:col>
      <xdr:colOff>266700</xdr:colOff>
      <xdr:row>2</xdr:row>
      <xdr:rowOff>45720</xdr:rowOff>
    </xdr:from>
    <xdr:to>
      <xdr:col>6</xdr:col>
      <xdr:colOff>678180</xdr:colOff>
      <xdr:row>3</xdr:row>
      <xdr:rowOff>30480</xdr:rowOff>
    </xdr:to>
    <xdr:pic macro="[0]!stampa">
      <xdr:nvPicPr>
        <xdr:cNvPr id="86235" name="Picture 96">
          <a:extLst>
            <a:ext uri="{FF2B5EF4-FFF2-40B4-BE49-F238E27FC236}">
              <a16:creationId xmlns:a16="http://schemas.microsoft.com/office/drawing/2014/main" id="{00000000-0008-0000-0500-0000DB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78180" y="381000"/>
          <a:ext cx="411480" cy="441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54</xdr:row>
      <xdr:rowOff>68580</xdr:rowOff>
    </xdr:from>
    <xdr:to>
      <xdr:col>83</xdr:col>
      <xdr:colOff>7620</xdr:colOff>
      <xdr:row>65</xdr:row>
      <xdr:rowOff>182880</xdr:rowOff>
    </xdr:to>
    <xdr:graphicFrame macro="">
      <xdr:nvGraphicFramePr>
        <xdr:cNvPr id="96468" name="Grafico 3">
          <a:extLst>
            <a:ext uri="{FF2B5EF4-FFF2-40B4-BE49-F238E27FC236}">
              <a16:creationId xmlns:a16="http://schemas.microsoft.com/office/drawing/2014/main" id="{00000000-0008-0000-0600-0000D47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68580</xdr:colOff>
      <xdr:row>2</xdr:row>
      <xdr:rowOff>38100</xdr:rowOff>
    </xdr:from>
    <xdr:to>
      <xdr:col>6</xdr:col>
      <xdr:colOff>160020</xdr:colOff>
      <xdr:row>3</xdr:row>
      <xdr:rowOff>0</xdr:rowOff>
    </xdr:to>
    <xdr:pic>
      <xdr:nvPicPr>
        <xdr:cNvPr id="96469" name="Picture 9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D57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373380"/>
          <a:ext cx="43434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6</xdr:col>
      <xdr:colOff>266700</xdr:colOff>
      <xdr:row>2</xdr:row>
      <xdr:rowOff>45720</xdr:rowOff>
    </xdr:from>
    <xdr:to>
      <xdr:col>6</xdr:col>
      <xdr:colOff>678180</xdr:colOff>
      <xdr:row>3</xdr:row>
      <xdr:rowOff>30480</xdr:rowOff>
    </xdr:to>
    <xdr:pic macro="[0]!stampa">
      <xdr:nvPicPr>
        <xdr:cNvPr id="96470" name="Picture 91">
          <a:extLst>
            <a:ext uri="{FF2B5EF4-FFF2-40B4-BE49-F238E27FC236}">
              <a16:creationId xmlns:a16="http://schemas.microsoft.com/office/drawing/2014/main" id="{00000000-0008-0000-0600-0000D67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78180" y="381000"/>
          <a:ext cx="411480" cy="441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54</xdr:row>
      <xdr:rowOff>99060</xdr:rowOff>
    </xdr:from>
    <xdr:to>
      <xdr:col>82</xdr:col>
      <xdr:colOff>243840</xdr:colOff>
      <xdr:row>65</xdr:row>
      <xdr:rowOff>213360</xdr:rowOff>
    </xdr:to>
    <xdr:graphicFrame macro="">
      <xdr:nvGraphicFramePr>
        <xdr:cNvPr id="91348" name="Grafico 3">
          <a:extLst>
            <a:ext uri="{FF2B5EF4-FFF2-40B4-BE49-F238E27FC236}">
              <a16:creationId xmlns:a16="http://schemas.microsoft.com/office/drawing/2014/main" id="{00000000-0008-0000-0700-0000D46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68580</xdr:colOff>
      <xdr:row>2</xdr:row>
      <xdr:rowOff>38100</xdr:rowOff>
    </xdr:from>
    <xdr:to>
      <xdr:col>6</xdr:col>
      <xdr:colOff>160020</xdr:colOff>
      <xdr:row>3</xdr:row>
      <xdr:rowOff>0</xdr:rowOff>
    </xdr:to>
    <xdr:pic>
      <xdr:nvPicPr>
        <xdr:cNvPr id="91349" name="Picture 9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D564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373380"/>
          <a:ext cx="43434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6</xdr:col>
      <xdr:colOff>266700</xdr:colOff>
      <xdr:row>2</xdr:row>
      <xdr:rowOff>45720</xdr:rowOff>
    </xdr:from>
    <xdr:to>
      <xdr:col>6</xdr:col>
      <xdr:colOff>678180</xdr:colOff>
      <xdr:row>3</xdr:row>
      <xdr:rowOff>30480</xdr:rowOff>
    </xdr:to>
    <xdr:pic macro="[0]!stampa">
      <xdr:nvPicPr>
        <xdr:cNvPr id="91350" name="Picture 91">
          <a:extLst>
            <a:ext uri="{FF2B5EF4-FFF2-40B4-BE49-F238E27FC236}">
              <a16:creationId xmlns:a16="http://schemas.microsoft.com/office/drawing/2014/main" id="{00000000-0008-0000-0700-0000D664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78180" y="381000"/>
          <a:ext cx="411480" cy="441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54</xdr:row>
      <xdr:rowOff>99060</xdr:rowOff>
    </xdr:from>
    <xdr:to>
      <xdr:col>82</xdr:col>
      <xdr:colOff>243840</xdr:colOff>
      <xdr:row>65</xdr:row>
      <xdr:rowOff>213360</xdr:rowOff>
    </xdr:to>
    <xdr:graphicFrame macro="">
      <xdr:nvGraphicFramePr>
        <xdr:cNvPr id="99540" name="Grafico 3">
          <a:extLst>
            <a:ext uri="{FF2B5EF4-FFF2-40B4-BE49-F238E27FC236}">
              <a16:creationId xmlns:a16="http://schemas.microsoft.com/office/drawing/2014/main" id="{00000000-0008-0000-0800-0000D48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68580</xdr:colOff>
      <xdr:row>2</xdr:row>
      <xdr:rowOff>38100</xdr:rowOff>
    </xdr:from>
    <xdr:to>
      <xdr:col>6</xdr:col>
      <xdr:colOff>160020</xdr:colOff>
      <xdr:row>3</xdr:row>
      <xdr:rowOff>0</xdr:rowOff>
    </xdr:to>
    <xdr:pic>
      <xdr:nvPicPr>
        <xdr:cNvPr id="99541" name="Picture 9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D584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7160" y="373380"/>
          <a:ext cx="43434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 editAs="oneCell">
    <xdr:from>
      <xdr:col>6</xdr:col>
      <xdr:colOff>266700</xdr:colOff>
      <xdr:row>2</xdr:row>
      <xdr:rowOff>45720</xdr:rowOff>
    </xdr:from>
    <xdr:to>
      <xdr:col>6</xdr:col>
      <xdr:colOff>678180</xdr:colOff>
      <xdr:row>3</xdr:row>
      <xdr:rowOff>30480</xdr:rowOff>
    </xdr:to>
    <xdr:pic macro="[0]!stampa">
      <xdr:nvPicPr>
        <xdr:cNvPr id="99542" name="Picture 91">
          <a:extLst>
            <a:ext uri="{FF2B5EF4-FFF2-40B4-BE49-F238E27FC236}">
              <a16:creationId xmlns:a16="http://schemas.microsoft.com/office/drawing/2014/main" id="{00000000-0008-0000-0800-0000D684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78180" y="381000"/>
          <a:ext cx="411480" cy="441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autoPageBreaks="0" fitToPage="1"/>
  </sheetPr>
  <dimension ref="A1:AW112"/>
  <sheetViews>
    <sheetView tabSelected="1" zoomScale="90" zoomScaleNormal="90" workbookViewId="0">
      <pane xSplit="4" ySplit="9" topLeftCell="N10" activePane="bottomRight" state="frozen"/>
      <selection pane="topRight" activeCell="E1" sqref="E1"/>
      <selection pane="bottomLeft" activeCell="A11" sqref="A11"/>
      <selection pane="bottomRight" activeCell="AA10" sqref="AA10"/>
    </sheetView>
  </sheetViews>
  <sheetFormatPr defaultColWidth="9.140625" defaultRowHeight="12.75" outlineLevelRow="1"/>
  <cols>
    <col min="1" max="1" width="3.5703125" style="49" bestFit="1" customWidth="1"/>
    <col min="2" max="2" width="7.5703125" style="49" customWidth="1"/>
    <col min="3" max="3" width="21.5703125" style="49" customWidth="1"/>
    <col min="4" max="4" width="13.7109375" style="49" customWidth="1"/>
    <col min="5" max="32" width="8.28515625" style="49" customWidth="1"/>
    <col min="33" max="39" width="9.7109375" style="130" customWidth="1"/>
    <col min="40" max="41" width="10.7109375" style="49" customWidth="1"/>
    <col min="42" max="42" width="0.7109375" style="49" customWidth="1"/>
    <col min="43" max="43" width="31.42578125" style="131" bestFit="1" customWidth="1"/>
    <col min="44" max="44" width="0.7109375" style="49" customWidth="1"/>
    <col min="45" max="45" width="2.28515625" style="49" customWidth="1"/>
    <col min="46" max="16384" width="9.140625" style="49"/>
  </cols>
  <sheetData>
    <row r="1" spans="1:49">
      <c r="A1" s="45"/>
      <c r="B1" s="45"/>
      <c r="C1" s="45"/>
      <c r="D1" s="45"/>
      <c r="E1" s="45"/>
      <c r="F1" s="45"/>
      <c r="G1" s="45"/>
      <c r="H1" s="46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7"/>
      <c r="AH1" s="47"/>
      <c r="AI1" s="47"/>
      <c r="AJ1" s="47"/>
      <c r="AK1" s="47"/>
      <c r="AL1" s="47"/>
      <c r="AM1" s="47"/>
      <c r="AN1" s="45"/>
      <c r="AO1" s="45"/>
      <c r="AP1" s="45"/>
      <c r="AQ1" s="48"/>
      <c r="AR1" s="45"/>
      <c r="AS1" s="45"/>
    </row>
    <row r="2" spans="1:49" ht="20.100000000000001" customHeight="1">
      <c r="A2" s="50"/>
      <c r="B2" s="51"/>
      <c r="C2" s="311">
        <v>45977</v>
      </c>
      <c r="D2" s="50"/>
      <c r="E2" s="52" t="str">
        <f>IF(E8="DOMENICA","","***ATTENZIONE: LA SETTIMANA LAVORATIVA INIZIA CON LA DOMENICA!")</f>
        <v/>
      </c>
      <c r="F2" s="50"/>
      <c r="G2" s="50"/>
      <c r="H2" s="53"/>
      <c r="I2" s="50"/>
      <c r="J2" s="50"/>
      <c r="K2" s="50"/>
      <c r="L2" s="53"/>
      <c r="M2" s="50"/>
      <c r="N2" s="50"/>
      <c r="O2" s="50"/>
      <c r="P2" s="53"/>
      <c r="Q2" s="50"/>
      <c r="R2" s="50"/>
      <c r="S2" s="50"/>
      <c r="T2" s="53"/>
      <c r="U2" s="50"/>
      <c r="V2" s="50"/>
      <c r="W2" s="50"/>
      <c r="X2" s="53"/>
      <c r="Y2" s="50"/>
      <c r="Z2" s="50"/>
      <c r="AA2" s="50"/>
      <c r="AB2" s="53"/>
      <c r="AC2" s="50"/>
      <c r="AD2" s="50"/>
      <c r="AE2" s="50"/>
      <c r="AF2" s="50"/>
      <c r="AG2" s="54"/>
      <c r="AH2" s="54"/>
      <c r="AI2" s="54"/>
      <c r="AJ2" s="54"/>
      <c r="AK2" s="54"/>
      <c r="AL2" s="54"/>
      <c r="AM2" s="54"/>
      <c r="AN2" s="50"/>
      <c r="AO2" s="50"/>
      <c r="AP2" s="50"/>
      <c r="AQ2" s="55"/>
      <c r="AR2" s="50"/>
      <c r="AS2" s="45"/>
    </row>
    <row r="3" spans="1:49" ht="20.100000000000001" customHeight="1">
      <c r="A3" s="50"/>
      <c r="B3" s="51" t="s">
        <v>6</v>
      </c>
      <c r="C3" s="312">
        <f>+C2+6</f>
        <v>45983</v>
      </c>
      <c r="D3" s="50" t="str">
        <f>TEXT(C3,"GGG")</f>
        <v>sab</v>
      </c>
      <c r="E3" s="321" t="s">
        <v>210</v>
      </c>
      <c r="F3" s="322"/>
      <c r="G3" s="320" t="s">
        <v>92</v>
      </c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0"/>
      <c r="AO3" s="50"/>
      <c r="AP3" s="50"/>
      <c r="AQ3" s="55"/>
      <c r="AR3" s="50"/>
      <c r="AS3" s="45"/>
    </row>
    <row r="4" spans="1:49" s="62" customFormat="1" ht="20.25" customHeight="1">
      <c r="A4" s="56"/>
      <c r="B4" s="57"/>
      <c r="C4" s="340"/>
      <c r="D4" s="58"/>
      <c r="E4" s="307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60"/>
      <c r="AG4" s="324" t="s">
        <v>79</v>
      </c>
      <c r="AH4" s="325"/>
      <c r="AI4" s="325"/>
      <c r="AJ4" s="325"/>
      <c r="AK4" s="325"/>
      <c r="AL4" s="325"/>
      <c r="AM4" s="325"/>
      <c r="AN4" s="325"/>
      <c r="AO4" s="326"/>
      <c r="AP4" s="56"/>
      <c r="AQ4" s="344"/>
      <c r="AR4" s="56"/>
      <c r="AS4" s="61"/>
    </row>
    <row r="5" spans="1:49" s="62" customFormat="1" ht="15" customHeight="1">
      <c r="A5" s="56"/>
      <c r="B5" s="63"/>
      <c r="C5" s="341"/>
      <c r="D5" s="56"/>
      <c r="E5" s="64" t="s">
        <v>9</v>
      </c>
      <c r="F5" s="56"/>
      <c r="G5" s="333"/>
      <c r="H5" s="333"/>
      <c r="I5" s="333"/>
      <c r="J5" s="333"/>
      <c r="K5" s="333"/>
      <c r="L5" s="56"/>
      <c r="M5" s="56"/>
      <c r="N5" s="56"/>
      <c r="O5" s="56"/>
      <c r="P5" s="56"/>
      <c r="Q5" s="56"/>
      <c r="R5" s="56"/>
      <c r="S5" s="56"/>
      <c r="T5" s="56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6"/>
      <c r="AG5" s="327"/>
      <c r="AH5" s="328"/>
      <c r="AI5" s="328"/>
      <c r="AJ5" s="328"/>
      <c r="AK5" s="328"/>
      <c r="AL5" s="328"/>
      <c r="AM5" s="328"/>
      <c r="AN5" s="328"/>
      <c r="AO5" s="329"/>
      <c r="AP5" s="56"/>
      <c r="AQ5" s="345"/>
      <c r="AR5" s="56"/>
      <c r="AS5" s="61"/>
    </row>
    <row r="6" spans="1:49" s="62" customFormat="1" ht="3.75" customHeight="1">
      <c r="A6" s="56"/>
      <c r="B6" s="67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9"/>
      <c r="AG6" s="330"/>
      <c r="AH6" s="331"/>
      <c r="AI6" s="331"/>
      <c r="AJ6" s="331"/>
      <c r="AK6" s="331"/>
      <c r="AL6" s="331"/>
      <c r="AM6" s="331"/>
      <c r="AN6" s="331"/>
      <c r="AO6" s="332"/>
      <c r="AP6" s="56"/>
      <c r="AQ6" s="346"/>
      <c r="AR6" s="56"/>
      <c r="AS6" s="61"/>
    </row>
    <row r="7" spans="1:49" s="72" customFormat="1" ht="28.5" customHeight="1">
      <c r="A7" s="70"/>
      <c r="B7" s="64" t="str">
        <f>"Settimana n°"&amp;" "&amp;WEEKNUM(C2,1)</f>
        <v>Settimana n° 47</v>
      </c>
      <c r="C7" s="70"/>
      <c r="D7" s="70"/>
      <c r="E7" s="334">
        <f>C2</f>
        <v>45977</v>
      </c>
      <c r="F7" s="334"/>
      <c r="G7" s="334"/>
      <c r="H7" s="334"/>
      <c r="I7" s="334">
        <f>E7+1</f>
        <v>45978</v>
      </c>
      <c r="J7" s="334"/>
      <c r="K7" s="334"/>
      <c r="L7" s="334"/>
      <c r="M7" s="334">
        <f>I7+1</f>
        <v>45979</v>
      </c>
      <c r="N7" s="334"/>
      <c r="O7" s="334"/>
      <c r="P7" s="334"/>
      <c r="Q7" s="334">
        <f>M7+1</f>
        <v>45980</v>
      </c>
      <c r="R7" s="334"/>
      <c r="S7" s="334"/>
      <c r="T7" s="334"/>
      <c r="U7" s="334">
        <f>Q7+1</f>
        <v>45981</v>
      </c>
      <c r="V7" s="334"/>
      <c r="W7" s="334"/>
      <c r="X7" s="334"/>
      <c r="Y7" s="334">
        <f>U7+1</f>
        <v>45982</v>
      </c>
      <c r="Z7" s="334"/>
      <c r="AA7" s="334"/>
      <c r="AB7" s="334"/>
      <c r="AC7" s="334">
        <f>Y7+1</f>
        <v>45983</v>
      </c>
      <c r="AD7" s="334"/>
      <c r="AE7" s="334"/>
      <c r="AF7" s="334"/>
      <c r="AG7" s="270">
        <f>+GRA!C11</f>
        <v>0</v>
      </c>
      <c r="AH7" s="270">
        <f>+GRA!D11</f>
        <v>0</v>
      </c>
      <c r="AI7" s="270">
        <f>+GRA!E11</f>
        <v>0</v>
      </c>
      <c r="AJ7" s="270">
        <f>+GRA!F11</f>
        <v>0</v>
      </c>
      <c r="AK7" s="270">
        <f>+GRA!G11</f>
        <v>0</v>
      </c>
      <c r="AL7" s="270">
        <f>+GRA!H11</f>
        <v>0</v>
      </c>
      <c r="AM7" s="270">
        <f>+GRA!I11</f>
        <v>0</v>
      </c>
      <c r="AN7" s="271">
        <f>+GRA!K11</f>
        <v>0</v>
      </c>
      <c r="AO7" s="269" t="s">
        <v>37</v>
      </c>
      <c r="AP7" s="267"/>
      <c r="AQ7" s="268" t="s">
        <v>36</v>
      </c>
      <c r="AR7" s="70"/>
      <c r="AS7" s="71"/>
    </row>
    <row r="8" spans="1:49">
      <c r="A8" s="323">
        <f>COUNTIF(B10:B25,"&gt;0")</f>
        <v>15</v>
      </c>
      <c r="B8" s="150" t="s">
        <v>4</v>
      </c>
      <c r="C8" s="150" t="s">
        <v>3</v>
      </c>
      <c r="D8" s="150" t="s">
        <v>2</v>
      </c>
      <c r="E8" s="338" t="str">
        <f>UPPER(TEXT(WEEKDAY(E7),"GGGG"))</f>
        <v>DOMENICA</v>
      </c>
      <c r="F8" s="338"/>
      <c r="G8" s="338"/>
      <c r="H8" s="338"/>
      <c r="I8" s="339" t="str">
        <f>UPPER(TEXT(WEEKDAY(I7),"GGGG"))</f>
        <v>LUNEDÌ</v>
      </c>
      <c r="J8" s="339"/>
      <c r="K8" s="339"/>
      <c r="L8" s="339"/>
      <c r="M8" s="337" t="str">
        <f>UPPER(TEXT(WEEKDAY(M7),"GGGG"))</f>
        <v>MARTEDÌ</v>
      </c>
      <c r="N8" s="337"/>
      <c r="O8" s="337"/>
      <c r="P8" s="337"/>
      <c r="Q8" s="339" t="str">
        <f>UPPER(TEXT(WEEKDAY(Q7),"GGGG"))</f>
        <v>MERCOLEDÌ</v>
      </c>
      <c r="R8" s="339"/>
      <c r="S8" s="339"/>
      <c r="T8" s="339"/>
      <c r="U8" s="337" t="str">
        <f>UPPER(TEXT(WEEKDAY(U7),"GGGG"))</f>
        <v>GIOVEDÌ</v>
      </c>
      <c r="V8" s="337"/>
      <c r="W8" s="337"/>
      <c r="X8" s="337"/>
      <c r="Y8" s="339" t="str">
        <f>UPPER(TEXT(WEEKDAY(Y7),"GGGG"))</f>
        <v>VENERDÌ</v>
      </c>
      <c r="Z8" s="339"/>
      <c r="AA8" s="339"/>
      <c r="AB8" s="339"/>
      <c r="AC8" s="337" t="str">
        <f>UPPER(TEXT(WEEKDAY(AC7),"GGGG"))</f>
        <v>SABATO</v>
      </c>
      <c r="AD8" s="337"/>
      <c r="AE8" s="337"/>
      <c r="AF8" s="337"/>
      <c r="AG8" s="349" t="s">
        <v>5</v>
      </c>
      <c r="AH8" s="349"/>
      <c r="AI8" s="349"/>
      <c r="AJ8" s="349"/>
      <c r="AK8" s="349"/>
      <c r="AL8" s="349"/>
      <c r="AM8" s="349"/>
      <c r="AN8" s="335" t="s">
        <v>7</v>
      </c>
      <c r="AO8" s="347" t="s">
        <v>8</v>
      </c>
      <c r="AP8" s="50"/>
      <c r="AQ8" s="342" t="s">
        <v>23</v>
      </c>
      <c r="AR8" s="50"/>
      <c r="AS8" s="45"/>
    </row>
    <row r="9" spans="1:49">
      <c r="A9" s="323"/>
      <c r="B9" s="149"/>
      <c r="C9" s="149"/>
      <c r="D9" s="149"/>
      <c r="E9" s="73" t="s">
        <v>0</v>
      </c>
      <c r="F9" s="73" t="s">
        <v>1</v>
      </c>
      <c r="G9" s="73" t="s">
        <v>0</v>
      </c>
      <c r="H9" s="73" t="s">
        <v>1</v>
      </c>
      <c r="I9" s="272" t="s">
        <v>0</v>
      </c>
      <c r="J9" s="272" t="s">
        <v>1</v>
      </c>
      <c r="K9" s="272" t="s">
        <v>0</v>
      </c>
      <c r="L9" s="272" t="s">
        <v>1</v>
      </c>
      <c r="M9" s="73" t="s">
        <v>0</v>
      </c>
      <c r="N9" s="73" t="s">
        <v>1</v>
      </c>
      <c r="O9" s="73" t="s">
        <v>0</v>
      </c>
      <c r="P9" s="73" t="s">
        <v>1</v>
      </c>
      <c r="Q9" s="272" t="s">
        <v>0</v>
      </c>
      <c r="R9" s="272" t="s">
        <v>1</v>
      </c>
      <c r="S9" s="272" t="s">
        <v>0</v>
      </c>
      <c r="T9" s="272" t="s">
        <v>1</v>
      </c>
      <c r="U9" s="73" t="s">
        <v>0</v>
      </c>
      <c r="V9" s="73" t="s">
        <v>1</v>
      </c>
      <c r="W9" s="73" t="s">
        <v>0</v>
      </c>
      <c r="X9" s="73" t="s">
        <v>1</v>
      </c>
      <c r="Y9" s="272" t="s">
        <v>0</v>
      </c>
      <c r="Z9" s="272" t="s">
        <v>1</v>
      </c>
      <c r="AA9" s="272" t="s">
        <v>0</v>
      </c>
      <c r="AB9" s="272" t="s">
        <v>1</v>
      </c>
      <c r="AC9" s="73" t="s">
        <v>0</v>
      </c>
      <c r="AD9" s="73" t="s">
        <v>1</v>
      </c>
      <c r="AE9" s="73" t="s">
        <v>0</v>
      </c>
      <c r="AF9" s="73" t="s">
        <v>1</v>
      </c>
      <c r="AG9" s="74" t="str">
        <f>LEFT(E8,3)</f>
        <v>DOM</v>
      </c>
      <c r="AH9" s="74" t="str">
        <f>LEFT(I8,3)</f>
        <v>LUN</v>
      </c>
      <c r="AI9" s="74" t="str">
        <f>LEFT(M8,3)</f>
        <v>MAR</v>
      </c>
      <c r="AJ9" s="74" t="str">
        <f>LEFT(Q8,3)</f>
        <v>MER</v>
      </c>
      <c r="AK9" s="74" t="str">
        <f>LEFT(U8,3)</f>
        <v>GIO</v>
      </c>
      <c r="AL9" s="74" t="str">
        <f>LEFT(Y8,3)</f>
        <v>VEN</v>
      </c>
      <c r="AM9" s="74" t="str">
        <f>LEFT(AC8,3)</f>
        <v>SAB</v>
      </c>
      <c r="AN9" s="336"/>
      <c r="AO9" s="348"/>
      <c r="AP9" s="50"/>
      <c r="AQ9" s="343"/>
      <c r="AR9" s="50"/>
      <c r="AS9" s="45"/>
    </row>
    <row r="10" spans="1:49" s="79" customFormat="1" ht="24.95" customHeight="1">
      <c r="A10" s="75">
        <v>1</v>
      </c>
      <c r="B10" s="132">
        <v>12</v>
      </c>
      <c r="C10" s="133" t="s">
        <v>211</v>
      </c>
      <c r="D10" s="134"/>
      <c r="E10" s="318"/>
      <c r="F10" s="318"/>
      <c r="G10" s="318"/>
      <c r="H10" s="318"/>
      <c r="I10" s="273"/>
      <c r="J10" s="273"/>
      <c r="K10" s="273"/>
      <c r="L10" s="273"/>
      <c r="M10" s="318"/>
      <c r="N10" s="318"/>
      <c r="O10" s="318"/>
      <c r="P10" s="318"/>
      <c r="Q10" s="273"/>
      <c r="R10" s="273"/>
      <c r="S10" s="273"/>
      <c r="T10" s="273"/>
      <c r="U10" s="318"/>
      <c r="V10" s="318"/>
      <c r="W10" s="318"/>
      <c r="X10" s="318"/>
      <c r="Y10" s="273">
        <v>8</v>
      </c>
      <c r="Z10" s="273">
        <v>14</v>
      </c>
      <c r="AA10" s="273"/>
      <c r="AB10" s="273"/>
      <c r="AC10" s="318">
        <v>8</v>
      </c>
      <c r="AD10" s="318">
        <v>14</v>
      </c>
      <c r="AE10" s="318"/>
      <c r="AF10" s="318"/>
      <c r="AG10" s="306">
        <f t="shared" ref="AG10:AG49" si="0">IF(ISERROR(ORE(E10,F10,G10,H10)),"",ORE(E10,F10,G10,H10))</f>
        <v>0</v>
      </c>
      <c r="AH10" s="306">
        <f t="shared" ref="AH10:AH49" si="1">IF(ISERROR(ORE(I10,J10,K10,L10)),"",ORE(I10,J10,K10,L10))</f>
        <v>0</v>
      </c>
      <c r="AI10" s="306">
        <f t="shared" ref="AI10:AI49" si="2">IF(ISERROR(ORE(M10,N10,O10,P10)),"",ORE(M10,N10,O10,P10))</f>
        <v>0</v>
      </c>
      <c r="AJ10" s="306">
        <f t="shared" ref="AJ10:AJ49" si="3">IF(ISERROR(ORE(Q10,R10,S10,T10)),"",ORE(Q10,R10,S10,T10))</f>
        <v>0</v>
      </c>
      <c r="AK10" s="306">
        <f t="shared" ref="AK10:AK49" si="4">IF(ISERROR(ORE(U10,V10,W10,X10)),"",ORE(U10,V10,W10,X10))</f>
        <v>0</v>
      </c>
      <c r="AL10" s="306">
        <f t="shared" ref="AL10:AL49" si="5">IF(ISERROR(ORE(Y10,Z10,AA10,AB10)),"",ORE(Y10,Z10,AA10,AB10))</f>
        <v>6</v>
      </c>
      <c r="AM10" s="306">
        <f t="shared" ref="AM10:AM49" si="6">IF(ISERROR(ORE(AC10,AD10,AE10,AF10)),"",ORE(AC10,AD10,AE10,AF10))</f>
        <v>6</v>
      </c>
      <c r="AN10" s="76">
        <f t="shared" ref="AN10:AN49" si="7">SUM(AG10:AM10)</f>
        <v>12</v>
      </c>
      <c r="AO10" s="76">
        <f t="shared" ref="AO10:AO49" si="8">AN10-D10</f>
        <v>12</v>
      </c>
      <c r="AP10" s="75"/>
      <c r="AQ10" s="77" t="str">
        <f>IF(AO10&gt;0,"Attenzione: STRAORDINARI",IF(AO10&lt;0,"GIUSTIFICARE ASSENZA!",""))</f>
        <v>Attenzione: STRAORDINARI</v>
      </c>
      <c r="AR10" s="75"/>
      <c r="AS10" s="78"/>
    </row>
    <row r="11" spans="1:49" s="79" customFormat="1" ht="24.95" customHeight="1">
      <c r="A11" s="75">
        <v>2</v>
      </c>
      <c r="B11" s="132"/>
      <c r="C11" s="133"/>
      <c r="D11" s="134"/>
      <c r="E11" s="318"/>
      <c r="F11" s="318"/>
      <c r="G11" s="318"/>
      <c r="H11" s="318"/>
      <c r="I11" s="273"/>
      <c r="J11" s="273"/>
      <c r="K11" s="273"/>
      <c r="L11" s="273"/>
      <c r="M11" s="318"/>
      <c r="N11" s="318"/>
      <c r="O11" s="318"/>
      <c r="P11" s="318"/>
      <c r="Q11" s="273"/>
      <c r="R11" s="273"/>
      <c r="S11" s="273"/>
      <c r="T11" s="273"/>
      <c r="U11" s="318"/>
      <c r="V11" s="318"/>
      <c r="W11" s="318"/>
      <c r="X11" s="318"/>
      <c r="Y11" s="273"/>
      <c r="Z11" s="273"/>
      <c r="AA11" s="273"/>
      <c r="AB11" s="273"/>
      <c r="AC11" s="318"/>
      <c r="AD11" s="318"/>
      <c r="AE11" s="318"/>
      <c r="AF11" s="318"/>
      <c r="AG11" s="306">
        <f t="shared" si="0"/>
        <v>0</v>
      </c>
      <c r="AH11" s="306">
        <f t="shared" si="1"/>
        <v>0</v>
      </c>
      <c r="AI11" s="306">
        <f t="shared" si="2"/>
        <v>0</v>
      </c>
      <c r="AJ11" s="306">
        <f t="shared" si="3"/>
        <v>0</v>
      </c>
      <c r="AK11" s="306">
        <f t="shared" si="4"/>
        <v>0</v>
      </c>
      <c r="AL11" s="306">
        <f t="shared" si="5"/>
        <v>0</v>
      </c>
      <c r="AM11" s="306">
        <f t="shared" si="6"/>
        <v>0</v>
      </c>
      <c r="AN11" s="76">
        <f t="shared" si="7"/>
        <v>0</v>
      </c>
      <c r="AO11" s="76">
        <f t="shared" si="8"/>
        <v>0</v>
      </c>
      <c r="AP11" s="75"/>
      <c r="AQ11" s="77" t="str">
        <f t="shared" ref="AQ11:AQ60" si="9">IF(AO11&gt;0,"Attenzione: STRAORDINARI",IF(AO11&lt;0,"GIUSTIFICARE ASSENZA!",""))</f>
        <v/>
      </c>
      <c r="AR11" s="75"/>
      <c r="AS11" s="78"/>
      <c r="AW11" s="319" t="s">
        <v>16</v>
      </c>
    </row>
    <row r="12" spans="1:49" s="79" customFormat="1" ht="24.95" customHeight="1">
      <c r="A12" s="75">
        <v>3</v>
      </c>
      <c r="B12" s="132">
        <v>10</v>
      </c>
      <c r="C12" s="133"/>
      <c r="D12" s="134"/>
      <c r="E12" s="318"/>
      <c r="F12" s="318"/>
      <c r="G12" s="318"/>
      <c r="H12" s="318"/>
      <c r="I12" s="273"/>
      <c r="J12" s="273"/>
      <c r="K12" s="273"/>
      <c r="L12" s="273"/>
      <c r="M12" s="318"/>
      <c r="N12" s="318"/>
      <c r="O12" s="318"/>
      <c r="P12" s="318"/>
      <c r="Q12" s="273"/>
      <c r="R12" s="273"/>
      <c r="S12" s="273"/>
      <c r="T12" s="273"/>
      <c r="U12" s="318"/>
      <c r="V12" s="318"/>
      <c r="W12" s="318"/>
      <c r="X12" s="318"/>
      <c r="Y12" s="273"/>
      <c r="Z12" s="273"/>
      <c r="AA12" s="273"/>
      <c r="AB12" s="273"/>
      <c r="AC12" s="318"/>
      <c r="AD12" s="318"/>
      <c r="AE12" s="318"/>
      <c r="AF12" s="318"/>
      <c r="AG12" s="306">
        <f t="shared" si="0"/>
        <v>0</v>
      </c>
      <c r="AH12" s="306">
        <f t="shared" si="1"/>
        <v>0</v>
      </c>
      <c r="AI12" s="306">
        <f t="shared" si="2"/>
        <v>0</v>
      </c>
      <c r="AJ12" s="306">
        <f t="shared" si="3"/>
        <v>0</v>
      </c>
      <c r="AK12" s="306">
        <f t="shared" si="4"/>
        <v>0</v>
      </c>
      <c r="AL12" s="306">
        <f t="shared" si="5"/>
        <v>0</v>
      </c>
      <c r="AM12" s="306">
        <f t="shared" si="6"/>
        <v>0</v>
      </c>
      <c r="AN12" s="76">
        <f t="shared" si="7"/>
        <v>0</v>
      </c>
      <c r="AO12" s="76">
        <f t="shared" si="8"/>
        <v>0</v>
      </c>
      <c r="AP12" s="75"/>
      <c r="AQ12" s="77" t="str">
        <f t="shared" si="9"/>
        <v/>
      </c>
      <c r="AR12" s="75"/>
      <c r="AS12" s="78"/>
      <c r="AW12" s="319" t="s">
        <v>80</v>
      </c>
    </row>
    <row r="13" spans="1:49" s="79" customFormat="1" ht="24.95" customHeight="1">
      <c r="A13" s="75">
        <v>4</v>
      </c>
      <c r="B13" s="132">
        <v>10</v>
      </c>
      <c r="C13" s="133" t="s">
        <v>212</v>
      </c>
      <c r="D13" s="134">
        <v>38</v>
      </c>
      <c r="E13" s="318"/>
      <c r="F13" s="318"/>
      <c r="G13" s="318"/>
      <c r="H13" s="318"/>
      <c r="I13" s="273">
        <v>9.3000000000000007</v>
      </c>
      <c r="J13" s="273">
        <v>13.3</v>
      </c>
      <c r="K13" s="273">
        <v>17.149999999999999</v>
      </c>
      <c r="L13" s="273">
        <v>20.45</v>
      </c>
      <c r="M13" s="318">
        <v>9.3000000000000007</v>
      </c>
      <c r="N13" s="318">
        <v>13</v>
      </c>
      <c r="O13" s="318">
        <v>16</v>
      </c>
      <c r="P13" s="318">
        <v>20</v>
      </c>
      <c r="Q13" s="273">
        <v>9.3000000000000007</v>
      </c>
      <c r="R13" s="273">
        <v>13</v>
      </c>
      <c r="S13" s="273">
        <v>17.149999999999999</v>
      </c>
      <c r="T13" s="273">
        <v>20.45</v>
      </c>
      <c r="U13" s="318">
        <v>9</v>
      </c>
      <c r="V13" s="318">
        <v>13.3</v>
      </c>
      <c r="W13" s="318"/>
      <c r="X13" s="318"/>
      <c r="Y13" s="273">
        <v>9.3000000000000007</v>
      </c>
      <c r="Z13" s="273">
        <v>13</v>
      </c>
      <c r="AA13" s="273">
        <v>16.3</v>
      </c>
      <c r="AB13" s="273">
        <v>20</v>
      </c>
      <c r="AC13" s="318">
        <v>10.15</v>
      </c>
      <c r="AD13" s="318">
        <v>14.45</v>
      </c>
      <c r="AE13" s="318"/>
      <c r="AF13" s="318"/>
      <c r="AG13" s="306">
        <f t="shared" si="0"/>
        <v>0</v>
      </c>
      <c r="AH13" s="306">
        <f t="shared" si="1"/>
        <v>7.5000000000000009</v>
      </c>
      <c r="AI13" s="306">
        <f t="shared" si="2"/>
        <v>7.4999999999999991</v>
      </c>
      <c r="AJ13" s="306">
        <f t="shared" si="3"/>
        <v>7</v>
      </c>
      <c r="AK13" s="306">
        <f t="shared" si="4"/>
        <v>4.5000000000000009</v>
      </c>
      <c r="AL13" s="306">
        <f t="shared" si="5"/>
        <v>6.9999999999999973</v>
      </c>
      <c r="AM13" s="306">
        <f t="shared" si="6"/>
        <v>4.4999999999999982</v>
      </c>
      <c r="AN13" s="76">
        <f t="shared" si="7"/>
        <v>38</v>
      </c>
      <c r="AO13" s="76">
        <f t="shared" si="8"/>
        <v>0</v>
      </c>
      <c r="AP13" s="75"/>
      <c r="AQ13" s="77" t="str">
        <f t="shared" si="9"/>
        <v/>
      </c>
      <c r="AR13" s="75"/>
      <c r="AS13" s="78"/>
      <c r="AW13" s="319" t="s">
        <v>81</v>
      </c>
    </row>
    <row r="14" spans="1:49" s="79" customFormat="1" ht="24.95" customHeight="1">
      <c r="A14" s="75">
        <v>5</v>
      </c>
      <c r="B14" s="132">
        <v>10</v>
      </c>
      <c r="C14" s="133" t="s">
        <v>227</v>
      </c>
      <c r="D14" s="134">
        <v>24</v>
      </c>
      <c r="E14" s="318"/>
      <c r="F14" s="318"/>
      <c r="G14" s="318"/>
      <c r="H14" s="318"/>
      <c r="I14" s="273"/>
      <c r="J14" s="273"/>
      <c r="K14" s="273">
        <v>14.3</v>
      </c>
      <c r="L14" s="273">
        <v>20</v>
      </c>
      <c r="M14" s="318">
        <v>9</v>
      </c>
      <c r="N14" s="318">
        <v>12</v>
      </c>
      <c r="O14" s="318">
        <v>13</v>
      </c>
      <c r="P14" s="318">
        <v>17</v>
      </c>
      <c r="Q14" s="273">
        <v>9</v>
      </c>
      <c r="R14" s="273">
        <v>13.3</v>
      </c>
      <c r="S14" s="273"/>
      <c r="T14" s="273"/>
      <c r="U14" s="318"/>
      <c r="V14" s="318"/>
      <c r="W14" s="318">
        <v>14.3</v>
      </c>
      <c r="X14" s="318">
        <v>19.3</v>
      </c>
      <c r="Y14" s="273">
        <v>9</v>
      </c>
      <c r="Z14" s="273">
        <v>14</v>
      </c>
      <c r="AA14" s="273"/>
      <c r="AB14" s="273"/>
      <c r="AC14" s="318"/>
      <c r="AD14" s="318"/>
      <c r="AE14" s="318">
        <v>16</v>
      </c>
      <c r="AF14" s="318">
        <v>20.45</v>
      </c>
      <c r="AG14" s="306">
        <f t="shared" si="0"/>
        <v>0</v>
      </c>
      <c r="AH14" s="306">
        <f t="shared" si="1"/>
        <v>5.4999999999999991</v>
      </c>
      <c r="AI14" s="306">
        <f t="shared" si="2"/>
        <v>7</v>
      </c>
      <c r="AJ14" s="306">
        <f t="shared" si="3"/>
        <v>4.5000000000000009</v>
      </c>
      <c r="AK14" s="306">
        <f t="shared" si="4"/>
        <v>5</v>
      </c>
      <c r="AL14" s="306">
        <f t="shared" si="5"/>
        <v>5</v>
      </c>
      <c r="AM14" s="306">
        <f t="shared" si="6"/>
        <v>4.7499999999999991</v>
      </c>
      <c r="AN14" s="76">
        <f t="shared" si="7"/>
        <v>31.75</v>
      </c>
      <c r="AO14" s="76">
        <f t="shared" si="8"/>
        <v>7.75</v>
      </c>
      <c r="AP14" s="75"/>
      <c r="AQ14" s="77" t="str">
        <f t="shared" si="9"/>
        <v>Attenzione: STRAORDINARI</v>
      </c>
      <c r="AR14" s="75"/>
      <c r="AS14" s="78"/>
      <c r="AW14" s="319" t="s">
        <v>11</v>
      </c>
    </row>
    <row r="15" spans="1:49" s="79" customFormat="1" ht="24.95" customHeight="1">
      <c r="A15" s="75">
        <v>6</v>
      </c>
      <c r="B15" s="132">
        <v>10</v>
      </c>
      <c r="C15" s="133"/>
      <c r="D15" s="134"/>
      <c r="E15" s="318"/>
      <c r="F15" s="318"/>
      <c r="G15" s="318"/>
      <c r="H15" s="318"/>
      <c r="I15" s="273"/>
      <c r="J15" s="273"/>
      <c r="K15" s="273"/>
      <c r="L15" s="273"/>
      <c r="M15" s="318"/>
      <c r="N15" s="318"/>
      <c r="O15" s="318"/>
      <c r="P15" s="318"/>
      <c r="Q15" s="273"/>
      <c r="R15" s="273"/>
      <c r="S15" s="273"/>
      <c r="T15" s="273"/>
      <c r="U15" s="318"/>
      <c r="V15" s="318"/>
      <c r="W15" s="318"/>
      <c r="X15" s="318"/>
      <c r="Y15" s="273"/>
      <c r="Z15" s="273"/>
      <c r="AA15" s="273"/>
      <c r="AB15" s="273"/>
      <c r="AC15" s="318"/>
      <c r="AD15" s="318"/>
      <c r="AE15" s="318"/>
      <c r="AF15" s="318"/>
      <c r="AG15" s="306">
        <f t="shared" si="0"/>
        <v>0</v>
      </c>
      <c r="AH15" s="306">
        <f t="shared" si="1"/>
        <v>0</v>
      </c>
      <c r="AI15" s="306">
        <f t="shared" si="2"/>
        <v>0</v>
      </c>
      <c r="AJ15" s="306">
        <f t="shared" si="3"/>
        <v>0</v>
      </c>
      <c r="AK15" s="306">
        <f t="shared" si="4"/>
        <v>0</v>
      </c>
      <c r="AL15" s="306">
        <f t="shared" si="5"/>
        <v>0</v>
      </c>
      <c r="AM15" s="306">
        <f t="shared" si="6"/>
        <v>0</v>
      </c>
      <c r="AN15" s="76">
        <f t="shared" si="7"/>
        <v>0</v>
      </c>
      <c r="AO15" s="76">
        <f t="shared" si="8"/>
        <v>0</v>
      </c>
      <c r="AP15" s="75"/>
      <c r="AQ15" s="77" t="str">
        <f t="shared" si="9"/>
        <v/>
      </c>
      <c r="AR15" s="75"/>
      <c r="AS15" s="78"/>
      <c r="AW15" s="319" t="s">
        <v>12</v>
      </c>
    </row>
    <row r="16" spans="1:49" s="79" customFormat="1" ht="24.95" customHeight="1">
      <c r="A16" s="75">
        <v>7</v>
      </c>
      <c r="B16" s="132">
        <v>10</v>
      </c>
      <c r="C16" s="133" t="s">
        <v>213</v>
      </c>
      <c r="D16" s="134">
        <v>24</v>
      </c>
      <c r="E16" s="318">
        <v>9.3000000000000007</v>
      </c>
      <c r="F16" s="318">
        <v>13.3</v>
      </c>
      <c r="G16" s="318">
        <v>16</v>
      </c>
      <c r="H16" s="318">
        <v>20.149999999999999</v>
      </c>
      <c r="I16" s="273">
        <v>8</v>
      </c>
      <c r="J16" s="273">
        <v>10</v>
      </c>
      <c r="K16" s="273">
        <v>10.45</v>
      </c>
      <c r="L16" s="273">
        <v>14.45</v>
      </c>
      <c r="M16" s="318"/>
      <c r="N16" s="318"/>
      <c r="O16" s="318"/>
      <c r="P16" s="318"/>
      <c r="Q16" s="273"/>
      <c r="R16" s="273"/>
      <c r="S16" s="273">
        <v>14</v>
      </c>
      <c r="T16" s="273">
        <v>19.3</v>
      </c>
      <c r="U16" s="318">
        <v>9.3000000000000007</v>
      </c>
      <c r="V16" s="318">
        <v>11</v>
      </c>
      <c r="W16" s="318">
        <v>12</v>
      </c>
      <c r="X16" s="318">
        <v>16.45</v>
      </c>
      <c r="Y16" s="273"/>
      <c r="Z16" s="273"/>
      <c r="AA16" s="273">
        <v>16.149999999999999</v>
      </c>
      <c r="AB16" s="273">
        <v>22</v>
      </c>
      <c r="AC16" s="318"/>
      <c r="AD16" s="318"/>
      <c r="AE16" s="318">
        <v>14.3</v>
      </c>
      <c r="AF16" s="318">
        <v>19.3</v>
      </c>
      <c r="AG16" s="306">
        <f t="shared" si="0"/>
        <v>8.2499999999999982</v>
      </c>
      <c r="AH16" s="306">
        <f t="shared" si="1"/>
        <v>6</v>
      </c>
      <c r="AI16" s="306">
        <f t="shared" si="2"/>
        <v>0</v>
      </c>
      <c r="AJ16" s="306">
        <f t="shared" si="3"/>
        <v>5.5000000000000009</v>
      </c>
      <c r="AK16" s="306">
        <f t="shared" si="4"/>
        <v>6.2499999999999973</v>
      </c>
      <c r="AL16" s="306">
        <f t="shared" si="5"/>
        <v>5.7500000000000027</v>
      </c>
      <c r="AM16" s="306">
        <f t="shared" si="6"/>
        <v>5</v>
      </c>
      <c r="AN16" s="76">
        <f t="shared" si="7"/>
        <v>36.75</v>
      </c>
      <c r="AO16" s="76">
        <f t="shared" si="8"/>
        <v>12.75</v>
      </c>
      <c r="AP16" s="75"/>
      <c r="AQ16" s="77" t="str">
        <f t="shared" si="9"/>
        <v>Attenzione: STRAORDINARI</v>
      </c>
      <c r="AR16" s="75"/>
      <c r="AS16" s="78"/>
      <c r="AW16" s="319" t="s">
        <v>14</v>
      </c>
    </row>
    <row r="17" spans="1:49" s="79" customFormat="1" ht="24.95" customHeight="1">
      <c r="A17" s="75">
        <v>8</v>
      </c>
      <c r="B17" s="132">
        <v>10</v>
      </c>
      <c r="C17" s="133" t="s">
        <v>214</v>
      </c>
      <c r="D17" s="134">
        <v>23</v>
      </c>
      <c r="E17" s="318"/>
      <c r="F17" s="318"/>
      <c r="G17" s="318"/>
      <c r="H17" s="318"/>
      <c r="I17" s="273"/>
      <c r="J17" s="273"/>
      <c r="K17" s="273">
        <v>16.149999999999999</v>
      </c>
      <c r="L17" s="273">
        <v>20.45</v>
      </c>
      <c r="M17" s="318"/>
      <c r="N17" s="318"/>
      <c r="O17" s="318">
        <v>16.3</v>
      </c>
      <c r="P17" s="318">
        <v>20.45</v>
      </c>
      <c r="Q17" s="273"/>
      <c r="R17" s="273"/>
      <c r="S17" s="273">
        <v>16.149999999999999</v>
      </c>
      <c r="T17" s="273">
        <v>20.45</v>
      </c>
      <c r="U17" s="318">
        <v>16.149999999999999</v>
      </c>
      <c r="V17" s="318">
        <v>18.45</v>
      </c>
      <c r="W17" s="318">
        <v>19.149999999999999</v>
      </c>
      <c r="X17" s="318">
        <v>23</v>
      </c>
      <c r="Y17" s="273"/>
      <c r="Z17" s="273"/>
      <c r="AA17" s="273">
        <v>17</v>
      </c>
      <c r="AB17" s="273">
        <v>22</v>
      </c>
      <c r="AC17" s="318"/>
      <c r="AD17" s="318"/>
      <c r="AE17" s="318">
        <v>16.3</v>
      </c>
      <c r="AF17" s="318">
        <v>20.45</v>
      </c>
      <c r="AG17" s="306">
        <f t="shared" si="0"/>
        <v>0</v>
      </c>
      <c r="AH17" s="306">
        <f t="shared" si="1"/>
        <v>4.5000000000000009</v>
      </c>
      <c r="AI17" s="306">
        <f t="shared" si="2"/>
        <v>4.2499999999999973</v>
      </c>
      <c r="AJ17" s="306">
        <f t="shared" si="3"/>
        <v>4.5000000000000009</v>
      </c>
      <c r="AK17" s="306">
        <f t="shared" si="4"/>
        <v>6.2500000000000036</v>
      </c>
      <c r="AL17" s="306">
        <f t="shared" si="5"/>
        <v>5</v>
      </c>
      <c r="AM17" s="306">
        <f t="shared" si="6"/>
        <v>4.2499999999999973</v>
      </c>
      <c r="AN17" s="76">
        <f t="shared" si="7"/>
        <v>28.75</v>
      </c>
      <c r="AO17" s="76">
        <f t="shared" si="8"/>
        <v>5.75</v>
      </c>
      <c r="AP17" s="75"/>
      <c r="AQ17" s="77" t="str">
        <f t="shared" si="9"/>
        <v>Attenzione: STRAORDINARI</v>
      </c>
      <c r="AR17" s="75"/>
      <c r="AS17" s="78"/>
      <c r="AW17" s="319" t="s">
        <v>82</v>
      </c>
    </row>
    <row r="18" spans="1:49" s="79" customFormat="1" ht="24.95" customHeight="1">
      <c r="A18" s="75">
        <v>9</v>
      </c>
      <c r="B18" s="132">
        <v>10</v>
      </c>
      <c r="C18" s="133" t="s">
        <v>215</v>
      </c>
      <c r="D18" s="134">
        <v>24</v>
      </c>
      <c r="E18" s="318">
        <v>9</v>
      </c>
      <c r="F18" s="318">
        <v>13</v>
      </c>
      <c r="G18" s="318">
        <v>15.3</v>
      </c>
      <c r="H18" s="318">
        <v>19.3</v>
      </c>
      <c r="I18" s="273"/>
      <c r="J18" s="273"/>
      <c r="K18" s="273"/>
      <c r="L18" s="273"/>
      <c r="M18" s="318">
        <v>8</v>
      </c>
      <c r="N18" s="318">
        <v>13</v>
      </c>
      <c r="O18" s="318"/>
      <c r="P18" s="318"/>
      <c r="Q18" s="273">
        <v>8</v>
      </c>
      <c r="R18" s="273">
        <v>13</v>
      </c>
      <c r="S18" s="273"/>
      <c r="T18" s="273"/>
      <c r="U18" s="318">
        <v>8</v>
      </c>
      <c r="V18" s="318">
        <v>14</v>
      </c>
      <c r="W18" s="318"/>
      <c r="X18" s="318"/>
      <c r="Y18" s="273">
        <v>8</v>
      </c>
      <c r="Z18" s="273">
        <v>13.3</v>
      </c>
      <c r="AA18" s="273"/>
      <c r="AB18" s="273"/>
      <c r="AC18" s="318">
        <v>8</v>
      </c>
      <c r="AD18" s="318">
        <v>13.15</v>
      </c>
      <c r="AE18" s="318"/>
      <c r="AF18" s="318"/>
      <c r="AG18" s="306">
        <f t="shared" si="0"/>
        <v>8</v>
      </c>
      <c r="AH18" s="306">
        <f t="shared" si="1"/>
        <v>0</v>
      </c>
      <c r="AI18" s="306">
        <f t="shared" si="2"/>
        <v>5</v>
      </c>
      <c r="AJ18" s="306">
        <f t="shared" si="3"/>
        <v>5</v>
      </c>
      <c r="AK18" s="306">
        <f t="shared" si="4"/>
        <v>6</v>
      </c>
      <c r="AL18" s="306">
        <f t="shared" si="5"/>
        <v>5.5000000000000009</v>
      </c>
      <c r="AM18" s="306">
        <f t="shared" si="6"/>
        <v>5.2500000000000009</v>
      </c>
      <c r="AN18" s="76">
        <f t="shared" si="7"/>
        <v>34.75</v>
      </c>
      <c r="AO18" s="76">
        <f t="shared" si="8"/>
        <v>10.75</v>
      </c>
      <c r="AP18" s="75"/>
      <c r="AQ18" s="77" t="str">
        <f t="shared" si="9"/>
        <v>Attenzione: STRAORDINARI</v>
      </c>
      <c r="AR18" s="75"/>
      <c r="AS18" s="78"/>
      <c r="AW18" s="319" t="s">
        <v>83</v>
      </c>
    </row>
    <row r="19" spans="1:49" s="79" customFormat="1" ht="24.95" customHeight="1">
      <c r="A19" s="75">
        <v>10</v>
      </c>
      <c r="B19" s="132">
        <v>10</v>
      </c>
      <c r="C19" s="133" t="s">
        <v>216</v>
      </c>
      <c r="D19" s="134">
        <v>5</v>
      </c>
      <c r="E19" s="318"/>
      <c r="F19" s="318"/>
      <c r="G19" s="318"/>
      <c r="H19" s="318"/>
      <c r="I19" s="273">
        <v>9.3000000000000007</v>
      </c>
      <c r="J19" s="273">
        <v>10.3</v>
      </c>
      <c r="K19" s="273"/>
      <c r="L19" s="273"/>
      <c r="M19" s="318">
        <v>12.15</v>
      </c>
      <c r="N19" s="318">
        <v>16.149999999999999</v>
      </c>
      <c r="O19" s="318"/>
      <c r="P19" s="318"/>
      <c r="Q19" s="273">
        <v>12.45</v>
      </c>
      <c r="R19" s="273">
        <v>16.3</v>
      </c>
      <c r="S19" s="273"/>
      <c r="T19" s="273"/>
      <c r="U19" s="318">
        <v>10</v>
      </c>
      <c r="V19" s="318">
        <v>12</v>
      </c>
      <c r="W19" s="318"/>
      <c r="X19" s="318"/>
      <c r="Y19" s="273">
        <v>13</v>
      </c>
      <c r="Z19" s="273">
        <v>16.3</v>
      </c>
      <c r="AA19" s="273"/>
      <c r="AB19" s="273"/>
      <c r="AC19" s="318">
        <v>12</v>
      </c>
      <c r="AD19" s="318">
        <v>16.149999999999999</v>
      </c>
      <c r="AE19" s="318"/>
      <c r="AF19" s="318"/>
      <c r="AG19" s="306">
        <f t="shared" si="0"/>
        <v>0</v>
      </c>
      <c r="AH19" s="306">
        <f t="shared" si="1"/>
        <v>1</v>
      </c>
      <c r="AI19" s="306">
        <f t="shared" si="2"/>
        <v>3.9999999999999969</v>
      </c>
      <c r="AJ19" s="306">
        <f t="shared" si="3"/>
        <v>3.7500000000000022</v>
      </c>
      <c r="AK19" s="306">
        <f t="shared" si="4"/>
        <v>2</v>
      </c>
      <c r="AL19" s="306">
        <f t="shared" si="5"/>
        <v>3.5000000000000013</v>
      </c>
      <c r="AM19" s="306">
        <f t="shared" si="6"/>
        <v>4.2499999999999973</v>
      </c>
      <c r="AN19" s="76">
        <f t="shared" si="7"/>
        <v>18.499999999999996</v>
      </c>
      <c r="AO19" s="76">
        <f t="shared" si="8"/>
        <v>13.499999999999996</v>
      </c>
      <c r="AP19" s="75"/>
      <c r="AQ19" s="77" t="str">
        <f t="shared" si="9"/>
        <v>Attenzione: STRAORDINARI</v>
      </c>
      <c r="AR19" s="75"/>
      <c r="AS19" s="78"/>
      <c r="AW19" s="319" t="s">
        <v>17</v>
      </c>
    </row>
    <row r="20" spans="1:49" s="79" customFormat="1" ht="24.95" customHeight="1">
      <c r="A20" s="75">
        <v>11</v>
      </c>
      <c r="B20" s="132">
        <v>10</v>
      </c>
      <c r="C20" s="133" t="s">
        <v>230</v>
      </c>
      <c r="D20" s="134">
        <v>24</v>
      </c>
      <c r="E20" s="318">
        <v>10</v>
      </c>
      <c r="F20" s="318">
        <v>13.3</v>
      </c>
      <c r="G20" s="318">
        <v>17.3</v>
      </c>
      <c r="H20" s="318">
        <v>20.149999999999999</v>
      </c>
      <c r="I20" s="273">
        <v>9</v>
      </c>
      <c r="J20" s="273">
        <v>14</v>
      </c>
      <c r="K20" s="273"/>
      <c r="L20" s="273"/>
      <c r="M20" s="318"/>
      <c r="N20" s="318"/>
      <c r="O20" s="318">
        <v>17.149999999999999</v>
      </c>
      <c r="P20" s="318">
        <v>20.45</v>
      </c>
      <c r="Q20" s="273"/>
      <c r="R20" s="273"/>
      <c r="S20" s="273"/>
      <c r="T20" s="273"/>
      <c r="U20" s="318"/>
      <c r="V20" s="318"/>
      <c r="W20" s="318">
        <v>17.149999999999999</v>
      </c>
      <c r="X20" s="318">
        <v>22</v>
      </c>
      <c r="Y20" s="273">
        <v>12.15</v>
      </c>
      <c r="Z20" s="273">
        <v>16.149999999999999</v>
      </c>
      <c r="AA20" s="273"/>
      <c r="AB20" s="273"/>
      <c r="AC20" s="318">
        <v>9.4499999999999993</v>
      </c>
      <c r="AD20" s="318">
        <v>13</v>
      </c>
      <c r="AE20" s="318"/>
      <c r="AF20" s="318"/>
      <c r="AG20" s="306">
        <f t="shared" si="0"/>
        <v>6.2499999999999973</v>
      </c>
      <c r="AH20" s="306">
        <f t="shared" si="1"/>
        <v>5</v>
      </c>
      <c r="AI20" s="306">
        <f t="shared" si="2"/>
        <v>3.5000000000000013</v>
      </c>
      <c r="AJ20" s="306">
        <f t="shared" si="3"/>
        <v>0</v>
      </c>
      <c r="AK20" s="306">
        <f t="shared" si="4"/>
        <v>4.7500000000000027</v>
      </c>
      <c r="AL20" s="306">
        <f t="shared" si="5"/>
        <v>3.9999999999999969</v>
      </c>
      <c r="AM20" s="306">
        <f t="shared" si="6"/>
        <v>3.2500000000000013</v>
      </c>
      <c r="AN20" s="76">
        <f t="shared" si="7"/>
        <v>26.749999999999996</v>
      </c>
      <c r="AO20" s="76">
        <f t="shared" si="8"/>
        <v>2.7499999999999964</v>
      </c>
      <c r="AP20" s="75"/>
      <c r="AQ20" s="77" t="str">
        <f t="shared" si="9"/>
        <v>Attenzione: STRAORDINARI</v>
      </c>
      <c r="AR20" s="75"/>
      <c r="AS20" s="78"/>
      <c r="AW20" s="319" t="s">
        <v>84</v>
      </c>
    </row>
    <row r="21" spans="1:49" s="79" customFormat="1" ht="24.95" customHeight="1">
      <c r="A21" s="75">
        <v>12</v>
      </c>
      <c r="B21" s="132">
        <v>1</v>
      </c>
      <c r="C21" s="133"/>
      <c r="D21" s="134"/>
      <c r="E21" s="318"/>
      <c r="F21" s="318"/>
      <c r="G21" s="318"/>
      <c r="H21" s="318"/>
      <c r="I21" s="273"/>
      <c r="J21" s="273"/>
      <c r="K21" s="273"/>
      <c r="L21" s="273"/>
      <c r="M21" s="318"/>
      <c r="N21" s="318"/>
      <c r="O21" s="318"/>
      <c r="P21" s="318"/>
      <c r="Q21" s="273"/>
      <c r="R21" s="273"/>
      <c r="S21" s="273"/>
      <c r="T21" s="273"/>
      <c r="U21" s="318"/>
      <c r="V21" s="318"/>
      <c r="W21" s="318"/>
      <c r="X21" s="318"/>
      <c r="Y21" s="273"/>
      <c r="Z21" s="273"/>
      <c r="AA21" s="273"/>
      <c r="AB21" s="273"/>
      <c r="AC21" s="318"/>
      <c r="AD21" s="318"/>
      <c r="AE21" s="318"/>
      <c r="AF21" s="318"/>
      <c r="AG21" s="306">
        <f t="shared" si="0"/>
        <v>0</v>
      </c>
      <c r="AH21" s="306">
        <f t="shared" si="1"/>
        <v>0</v>
      </c>
      <c r="AI21" s="306">
        <f t="shared" si="2"/>
        <v>0</v>
      </c>
      <c r="AJ21" s="306">
        <f t="shared" si="3"/>
        <v>0</v>
      </c>
      <c r="AK21" s="306">
        <f t="shared" si="4"/>
        <v>0</v>
      </c>
      <c r="AL21" s="306">
        <f t="shared" si="5"/>
        <v>0</v>
      </c>
      <c r="AM21" s="306">
        <f t="shared" si="6"/>
        <v>0</v>
      </c>
      <c r="AN21" s="76">
        <f t="shared" si="7"/>
        <v>0</v>
      </c>
      <c r="AO21" s="76">
        <f t="shared" si="8"/>
        <v>0</v>
      </c>
      <c r="AP21" s="75"/>
      <c r="AQ21" s="77" t="str">
        <f t="shared" si="9"/>
        <v/>
      </c>
      <c r="AR21" s="75"/>
      <c r="AS21" s="78"/>
    </row>
    <row r="22" spans="1:49" s="79" customFormat="1" ht="24.95" customHeight="1">
      <c r="A22" s="75">
        <v>13</v>
      </c>
      <c r="B22" s="132">
        <v>1</v>
      </c>
      <c r="C22" s="133"/>
      <c r="D22" s="134"/>
      <c r="E22" s="318"/>
      <c r="F22" s="318"/>
      <c r="G22" s="318"/>
      <c r="H22" s="318"/>
      <c r="I22" s="273"/>
      <c r="J22" s="273"/>
      <c r="K22" s="273"/>
      <c r="L22" s="273"/>
      <c r="M22" s="318"/>
      <c r="N22" s="318"/>
      <c r="O22" s="318"/>
      <c r="P22" s="318"/>
      <c r="Q22" s="273"/>
      <c r="R22" s="273"/>
      <c r="S22" s="273"/>
      <c r="T22" s="273"/>
      <c r="U22" s="318"/>
      <c r="V22" s="318"/>
      <c r="W22" s="318"/>
      <c r="X22" s="318"/>
      <c r="Y22" s="273"/>
      <c r="Z22" s="273"/>
      <c r="AA22" s="273"/>
      <c r="AB22" s="273"/>
      <c r="AC22" s="318"/>
      <c r="AD22" s="318"/>
      <c r="AE22" s="318"/>
      <c r="AF22" s="318"/>
      <c r="AG22" s="306">
        <f t="shared" si="0"/>
        <v>0</v>
      </c>
      <c r="AH22" s="306">
        <f t="shared" si="1"/>
        <v>0</v>
      </c>
      <c r="AI22" s="306">
        <f t="shared" si="2"/>
        <v>0</v>
      </c>
      <c r="AJ22" s="306">
        <f t="shared" si="3"/>
        <v>0</v>
      </c>
      <c r="AK22" s="306">
        <f t="shared" si="4"/>
        <v>0</v>
      </c>
      <c r="AL22" s="306">
        <f t="shared" si="5"/>
        <v>0</v>
      </c>
      <c r="AM22" s="306">
        <f t="shared" si="6"/>
        <v>0</v>
      </c>
      <c r="AN22" s="76">
        <f t="shared" si="7"/>
        <v>0</v>
      </c>
      <c r="AO22" s="76">
        <f t="shared" si="8"/>
        <v>0</v>
      </c>
      <c r="AP22" s="75"/>
      <c r="AQ22" s="77" t="str">
        <f t="shared" si="9"/>
        <v/>
      </c>
      <c r="AR22" s="75"/>
      <c r="AS22" s="78"/>
    </row>
    <row r="23" spans="1:49" s="79" customFormat="1" ht="24.95" customHeight="1">
      <c r="A23" s="75">
        <v>14</v>
      </c>
      <c r="B23" s="132">
        <v>1</v>
      </c>
      <c r="C23" s="133" t="s">
        <v>217</v>
      </c>
      <c r="D23" s="134"/>
      <c r="E23" s="318"/>
      <c r="F23" s="318"/>
      <c r="G23" s="318"/>
      <c r="H23" s="318"/>
      <c r="I23" s="273"/>
      <c r="J23" s="273"/>
      <c r="K23" s="273"/>
      <c r="L23" s="273"/>
      <c r="M23" s="318"/>
      <c r="N23" s="318"/>
      <c r="O23" s="318"/>
      <c r="P23" s="318"/>
      <c r="Q23" s="273"/>
      <c r="R23" s="273"/>
      <c r="S23" s="273"/>
      <c r="T23" s="273"/>
      <c r="U23" s="318"/>
      <c r="V23" s="318"/>
      <c r="W23" s="318"/>
      <c r="X23" s="318"/>
      <c r="Y23" s="273"/>
      <c r="Z23" s="273"/>
      <c r="AA23" s="273"/>
      <c r="AB23" s="273"/>
      <c r="AC23" s="318"/>
      <c r="AD23" s="318"/>
      <c r="AE23" s="318"/>
      <c r="AF23" s="318"/>
      <c r="AG23" s="306">
        <f t="shared" si="0"/>
        <v>0</v>
      </c>
      <c r="AH23" s="306">
        <f t="shared" si="1"/>
        <v>0</v>
      </c>
      <c r="AI23" s="306">
        <f t="shared" si="2"/>
        <v>0</v>
      </c>
      <c r="AJ23" s="306">
        <f t="shared" si="3"/>
        <v>0</v>
      </c>
      <c r="AK23" s="306">
        <f t="shared" si="4"/>
        <v>0</v>
      </c>
      <c r="AL23" s="306">
        <f t="shared" si="5"/>
        <v>0</v>
      </c>
      <c r="AM23" s="306">
        <f t="shared" si="6"/>
        <v>0</v>
      </c>
      <c r="AN23" s="76">
        <f t="shared" si="7"/>
        <v>0</v>
      </c>
      <c r="AO23" s="76">
        <f t="shared" si="8"/>
        <v>0</v>
      </c>
      <c r="AP23" s="75"/>
      <c r="AQ23" s="77" t="str">
        <f t="shared" si="9"/>
        <v/>
      </c>
      <c r="AR23" s="75"/>
      <c r="AS23" s="78"/>
    </row>
    <row r="24" spans="1:49" s="79" customFormat="1" ht="24.95" customHeight="1">
      <c r="A24" s="75">
        <v>15</v>
      </c>
      <c r="B24" s="132">
        <v>12</v>
      </c>
      <c r="C24" s="133" t="s">
        <v>229</v>
      </c>
      <c r="D24" s="134"/>
      <c r="E24" s="318"/>
      <c r="F24" s="318"/>
      <c r="G24" s="318"/>
      <c r="H24" s="318"/>
      <c r="I24" s="273"/>
      <c r="J24" s="273"/>
      <c r="K24" s="273"/>
      <c r="L24" s="273"/>
      <c r="M24" s="318"/>
      <c r="N24" s="318"/>
      <c r="O24" s="318"/>
      <c r="P24" s="318"/>
      <c r="Q24" s="273"/>
      <c r="R24" s="273"/>
      <c r="S24" s="273"/>
      <c r="T24" s="273"/>
      <c r="U24" s="318"/>
      <c r="V24" s="318"/>
      <c r="W24" s="318"/>
      <c r="X24" s="318"/>
      <c r="Y24" s="273"/>
      <c r="Z24" s="273"/>
      <c r="AA24" s="273"/>
      <c r="AB24" s="273"/>
      <c r="AC24" s="318"/>
      <c r="AD24" s="318"/>
      <c r="AE24" s="318"/>
      <c r="AF24" s="318"/>
      <c r="AG24" s="306">
        <f t="shared" si="0"/>
        <v>0</v>
      </c>
      <c r="AH24" s="306">
        <f t="shared" si="1"/>
        <v>0</v>
      </c>
      <c r="AI24" s="306">
        <f t="shared" si="2"/>
        <v>0</v>
      </c>
      <c r="AJ24" s="306">
        <f t="shared" si="3"/>
        <v>0</v>
      </c>
      <c r="AK24" s="306">
        <f t="shared" si="4"/>
        <v>0</v>
      </c>
      <c r="AL24" s="306">
        <f t="shared" si="5"/>
        <v>0</v>
      </c>
      <c r="AM24" s="306">
        <f t="shared" si="6"/>
        <v>0</v>
      </c>
      <c r="AN24" s="76">
        <f t="shared" si="7"/>
        <v>0</v>
      </c>
      <c r="AO24" s="76">
        <f t="shared" si="8"/>
        <v>0</v>
      </c>
      <c r="AP24" s="75"/>
      <c r="AQ24" s="77" t="str">
        <f t="shared" si="9"/>
        <v/>
      </c>
      <c r="AR24" s="75"/>
      <c r="AS24" s="78"/>
    </row>
    <row r="25" spans="1:49" s="79" customFormat="1" ht="24.95" customHeight="1">
      <c r="A25" s="75">
        <v>16</v>
      </c>
      <c r="B25" s="132">
        <v>1</v>
      </c>
      <c r="C25" s="133"/>
      <c r="D25" s="134"/>
      <c r="E25" s="318"/>
      <c r="F25" s="318"/>
      <c r="G25" s="318"/>
      <c r="H25" s="318"/>
      <c r="I25" s="273"/>
      <c r="J25" s="273"/>
      <c r="K25" s="273"/>
      <c r="L25" s="273"/>
      <c r="M25" s="318"/>
      <c r="N25" s="318"/>
      <c r="O25" s="318"/>
      <c r="P25" s="318"/>
      <c r="Q25" s="273"/>
      <c r="R25" s="273"/>
      <c r="S25" s="273"/>
      <c r="T25" s="273"/>
      <c r="U25" s="318"/>
      <c r="V25" s="318"/>
      <c r="W25" s="318"/>
      <c r="X25" s="318"/>
      <c r="Y25" s="273"/>
      <c r="Z25" s="273"/>
      <c r="AA25" s="273"/>
      <c r="AB25" s="273"/>
      <c r="AC25" s="318"/>
      <c r="AD25" s="318"/>
      <c r="AE25" s="318"/>
      <c r="AF25" s="318"/>
      <c r="AG25" s="306">
        <f t="shared" si="0"/>
        <v>0</v>
      </c>
      <c r="AH25" s="306">
        <f t="shared" si="1"/>
        <v>0</v>
      </c>
      <c r="AI25" s="306">
        <f t="shared" si="2"/>
        <v>0</v>
      </c>
      <c r="AJ25" s="306">
        <f t="shared" si="3"/>
        <v>0</v>
      </c>
      <c r="AK25" s="306">
        <f t="shared" si="4"/>
        <v>0</v>
      </c>
      <c r="AL25" s="306">
        <f t="shared" si="5"/>
        <v>0</v>
      </c>
      <c r="AM25" s="306">
        <f t="shared" si="6"/>
        <v>0</v>
      </c>
      <c r="AN25" s="76">
        <f t="shared" si="7"/>
        <v>0</v>
      </c>
      <c r="AO25" s="76">
        <f t="shared" si="8"/>
        <v>0</v>
      </c>
      <c r="AP25" s="75"/>
      <c r="AQ25" s="77" t="str">
        <f t="shared" si="9"/>
        <v/>
      </c>
      <c r="AR25" s="75"/>
      <c r="AS25" s="78"/>
    </row>
    <row r="26" spans="1:49" s="79" customFormat="1" ht="24.95" customHeight="1">
      <c r="A26" s="75">
        <v>17</v>
      </c>
      <c r="B26" s="132">
        <v>1</v>
      </c>
      <c r="C26" s="133"/>
      <c r="D26" s="134"/>
      <c r="E26" s="318"/>
      <c r="F26" s="318"/>
      <c r="G26" s="318"/>
      <c r="H26" s="318"/>
      <c r="I26" s="273"/>
      <c r="J26" s="273"/>
      <c r="K26" s="273"/>
      <c r="L26" s="273"/>
      <c r="M26" s="318"/>
      <c r="N26" s="318"/>
      <c r="O26" s="318"/>
      <c r="P26" s="318"/>
      <c r="Q26" s="273"/>
      <c r="R26" s="273"/>
      <c r="S26" s="273"/>
      <c r="T26" s="273"/>
      <c r="U26" s="318"/>
      <c r="V26" s="318"/>
      <c r="W26" s="318"/>
      <c r="X26" s="318"/>
      <c r="Y26" s="273"/>
      <c r="Z26" s="273"/>
      <c r="AA26" s="273"/>
      <c r="AB26" s="273"/>
      <c r="AC26" s="318"/>
      <c r="AD26" s="318"/>
      <c r="AE26" s="318"/>
      <c r="AF26" s="318"/>
      <c r="AG26" s="306">
        <f t="shared" si="0"/>
        <v>0</v>
      </c>
      <c r="AH26" s="306">
        <f t="shared" si="1"/>
        <v>0</v>
      </c>
      <c r="AI26" s="306">
        <f t="shared" si="2"/>
        <v>0</v>
      </c>
      <c r="AJ26" s="306">
        <f t="shared" si="3"/>
        <v>0</v>
      </c>
      <c r="AK26" s="306">
        <f t="shared" si="4"/>
        <v>0</v>
      </c>
      <c r="AL26" s="306">
        <f t="shared" si="5"/>
        <v>0</v>
      </c>
      <c r="AM26" s="306">
        <f t="shared" si="6"/>
        <v>0</v>
      </c>
      <c r="AN26" s="76">
        <f t="shared" si="7"/>
        <v>0</v>
      </c>
      <c r="AO26" s="76">
        <f t="shared" si="8"/>
        <v>0</v>
      </c>
      <c r="AP26" s="75"/>
      <c r="AQ26" s="77" t="str">
        <f t="shared" si="9"/>
        <v/>
      </c>
      <c r="AR26" s="75"/>
      <c r="AS26" s="78"/>
    </row>
    <row r="27" spans="1:49" s="79" customFormat="1" ht="24.95" customHeight="1">
      <c r="A27" s="75">
        <v>18</v>
      </c>
      <c r="B27" s="132"/>
      <c r="C27" s="133"/>
      <c r="D27" s="134"/>
      <c r="E27" s="318"/>
      <c r="F27" s="318"/>
      <c r="G27" s="318"/>
      <c r="H27" s="318"/>
      <c r="I27" s="273"/>
      <c r="J27" s="273"/>
      <c r="K27" s="273"/>
      <c r="L27" s="273"/>
      <c r="M27" s="318"/>
      <c r="N27" s="318"/>
      <c r="O27" s="318"/>
      <c r="P27" s="318"/>
      <c r="Q27" s="273"/>
      <c r="R27" s="273"/>
      <c r="S27" s="273"/>
      <c r="T27" s="273"/>
      <c r="U27" s="318"/>
      <c r="V27" s="318"/>
      <c r="W27" s="318"/>
      <c r="X27" s="318"/>
      <c r="Y27" s="273"/>
      <c r="Z27" s="273"/>
      <c r="AA27" s="273"/>
      <c r="AB27" s="273"/>
      <c r="AC27" s="318"/>
      <c r="AD27" s="318"/>
      <c r="AE27" s="318"/>
      <c r="AF27" s="318"/>
      <c r="AG27" s="306">
        <f t="shared" si="0"/>
        <v>0</v>
      </c>
      <c r="AH27" s="306">
        <f t="shared" si="1"/>
        <v>0</v>
      </c>
      <c r="AI27" s="306">
        <f t="shared" si="2"/>
        <v>0</v>
      </c>
      <c r="AJ27" s="306">
        <f t="shared" si="3"/>
        <v>0</v>
      </c>
      <c r="AK27" s="306">
        <f t="shared" si="4"/>
        <v>0</v>
      </c>
      <c r="AL27" s="306">
        <f t="shared" si="5"/>
        <v>0</v>
      </c>
      <c r="AM27" s="306">
        <f t="shared" si="6"/>
        <v>0</v>
      </c>
      <c r="AN27" s="76">
        <f t="shared" si="7"/>
        <v>0</v>
      </c>
      <c r="AO27" s="76">
        <f t="shared" si="8"/>
        <v>0</v>
      </c>
      <c r="AP27" s="75"/>
      <c r="AQ27" s="77" t="str">
        <f t="shared" si="9"/>
        <v/>
      </c>
      <c r="AR27" s="75"/>
      <c r="AS27" s="78"/>
    </row>
    <row r="28" spans="1:49" s="79" customFormat="1" ht="24.95" customHeight="1">
      <c r="A28" s="75">
        <v>19</v>
      </c>
      <c r="B28" s="132">
        <v>3</v>
      </c>
      <c r="C28" s="133" t="s">
        <v>218</v>
      </c>
      <c r="D28" s="134"/>
      <c r="E28" s="318"/>
      <c r="F28" s="318"/>
      <c r="G28" s="318"/>
      <c r="H28" s="318"/>
      <c r="I28" s="273"/>
      <c r="J28" s="273"/>
      <c r="K28" s="273"/>
      <c r="L28" s="273"/>
      <c r="M28" s="318"/>
      <c r="N28" s="318"/>
      <c r="O28" s="318"/>
      <c r="P28" s="318"/>
      <c r="Q28" s="273"/>
      <c r="R28" s="273"/>
      <c r="S28" s="273"/>
      <c r="T28" s="273"/>
      <c r="U28" s="318"/>
      <c r="V28" s="318"/>
      <c r="W28" s="318"/>
      <c r="X28" s="318"/>
      <c r="Y28" s="273"/>
      <c r="Z28" s="273"/>
      <c r="AA28" s="273"/>
      <c r="AB28" s="273"/>
      <c r="AC28" s="318"/>
      <c r="AD28" s="318"/>
      <c r="AE28" s="318"/>
      <c r="AF28" s="318"/>
      <c r="AG28" s="306">
        <f t="shared" si="0"/>
        <v>0</v>
      </c>
      <c r="AH28" s="306">
        <f t="shared" si="1"/>
        <v>0</v>
      </c>
      <c r="AI28" s="306">
        <f t="shared" si="2"/>
        <v>0</v>
      </c>
      <c r="AJ28" s="306">
        <f t="shared" si="3"/>
        <v>0</v>
      </c>
      <c r="AK28" s="306">
        <f t="shared" si="4"/>
        <v>0</v>
      </c>
      <c r="AL28" s="306">
        <f t="shared" si="5"/>
        <v>0</v>
      </c>
      <c r="AM28" s="306">
        <f t="shared" si="6"/>
        <v>0</v>
      </c>
      <c r="AN28" s="76">
        <f t="shared" si="7"/>
        <v>0</v>
      </c>
      <c r="AO28" s="76">
        <f t="shared" si="8"/>
        <v>0</v>
      </c>
      <c r="AP28" s="75"/>
      <c r="AQ28" s="77" t="str">
        <f t="shared" si="9"/>
        <v/>
      </c>
      <c r="AR28" s="75"/>
      <c r="AS28" s="78"/>
    </row>
    <row r="29" spans="1:49" s="79" customFormat="1" ht="24.95" customHeight="1">
      <c r="A29" s="75">
        <v>20</v>
      </c>
      <c r="B29" s="132">
        <v>3</v>
      </c>
      <c r="C29" s="133" t="s">
        <v>226</v>
      </c>
      <c r="D29" s="134"/>
      <c r="E29" s="318"/>
      <c r="F29" s="318"/>
      <c r="G29" s="318"/>
      <c r="H29" s="318"/>
      <c r="I29" s="273"/>
      <c r="J29" s="273"/>
      <c r="K29" s="273" t="s">
        <v>228</v>
      </c>
      <c r="L29" s="273"/>
      <c r="M29" s="318"/>
      <c r="N29" s="318"/>
      <c r="O29" s="318" t="s">
        <v>228</v>
      </c>
      <c r="P29" s="318"/>
      <c r="Q29" s="273"/>
      <c r="R29" s="273"/>
      <c r="S29" s="273"/>
      <c r="T29" s="273"/>
      <c r="U29" s="318"/>
      <c r="V29" s="318"/>
      <c r="W29" s="318"/>
      <c r="X29" s="318"/>
      <c r="Y29" s="273"/>
      <c r="Z29" s="273"/>
      <c r="AA29" s="273"/>
      <c r="AB29" s="273"/>
      <c r="AC29" s="318"/>
      <c r="AD29" s="318"/>
      <c r="AE29" s="318"/>
      <c r="AF29" s="318"/>
      <c r="AG29" s="306">
        <f t="shared" si="0"/>
        <v>0</v>
      </c>
      <c r="AH29" s="306" t="str">
        <f t="shared" si="1"/>
        <v/>
      </c>
      <c r="AI29" s="306" t="str">
        <f t="shared" si="2"/>
        <v/>
      </c>
      <c r="AJ29" s="306">
        <f t="shared" si="3"/>
        <v>0</v>
      </c>
      <c r="AK29" s="306">
        <f t="shared" si="4"/>
        <v>0</v>
      </c>
      <c r="AL29" s="306">
        <f t="shared" si="5"/>
        <v>0</v>
      </c>
      <c r="AM29" s="306">
        <f t="shared" si="6"/>
        <v>0</v>
      </c>
      <c r="AN29" s="76">
        <f t="shared" si="7"/>
        <v>0</v>
      </c>
      <c r="AO29" s="76">
        <f t="shared" si="8"/>
        <v>0</v>
      </c>
      <c r="AP29" s="75"/>
      <c r="AQ29" s="77" t="str">
        <f t="shared" si="9"/>
        <v/>
      </c>
      <c r="AR29" s="75"/>
      <c r="AS29" s="78"/>
    </row>
    <row r="30" spans="1:49" s="79" customFormat="1" ht="24.95" customHeight="1">
      <c r="A30" s="75">
        <v>21</v>
      </c>
      <c r="B30" s="132">
        <v>3</v>
      </c>
      <c r="C30" s="133" t="s">
        <v>225</v>
      </c>
      <c r="D30" s="134"/>
      <c r="E30" s="318"/>
      <c r="F30" s="318"/>
      <c r="G30" s="318"/>
      <c r="H30" s="318"/>
      <c r="I30" s="273"/>
      <c r="J30" s="273"/>
      <c r="K30" s="273"/>
      <c r="L30" s="273"/>
      <c r="M30" s="318"/>
      <c r="N30" s="318"/>
      <c r="O30" s="318"/>
      <c r="P30" s="318"/>
      <c r="Q30" s="273"/>
      <c r="R30" s="273"/>
      <c r="S30" s="273"/>
      <c r="T30" s="273"/>
      <c r="U30" s="318"/>
      <c r="V30" s="318"/>
      <c r="W30" s="318"/>
      <c r="X30" s="318"/>
      <c r="Y30" s="273"/>
      <c r="Z30" s="273"/>
      <c r="AA30" s="273"/>
      <c r="AB30" s="273"/>
      <c r="AC30" s="318"/>
      <c r="AD30" s="318"/>
      <c r="AE30" s="318"/>
      <c r="AF30" s="318"/>
      <c r="AG30" s="306">
        <f t="shared" si="0"/>
        <v>0</v>
      </c>
      <c r="AH30" s="306">
        <f t="shared" si="1"/>
        <v>0</v>
      </c>
      <c r="AI30" s="306">
        <f t="shared" si="2"/>
        <v>0</v>
      </c>
      <c r="AJ30" s="306">
        <f t="shared" si="3"/>
        <v>0</v>
      </c>
      <c r="AK30" s="306">
        <f t="shared" si="4"/>
        <v>0</v>
      </c>
      <c r="AL30" s="306">
        <f t="shared" si="5"/>
        <v>0</v>
      </c>
      <c r="AM30" s="306">
        <f t="shared" si="6"/>
        <v>0</v>
      </c>
      <c r="AN30" s="76">
        <f t="shared" si="7"/>
        <v>0</v>
      </c>
      <c r="AO30" s="76">
        <f t="shared" si="8"/>
        <v>0</v>
      </c>
      <c r="AP30" s="75"/>
      <c r="AQ30" s="77" t="str">
        <f t="shared" si="9"/>
        <v/>
      </c>
      <c r="AR30" s="75"/>
      <c r="AS30" s="78"/>
    </row>
    <row r="31" spans="1:49" s="79" customFormat="1" ht="24.95" customHeight="1">
      <c r="A31" s="75">
        <v>22</v>
      </c>
      <c r="B31" s="132"/>
      <c r="C31" s="133"/>
      <c r="D31" s="134"/>
      <c r="E31" s="318">
        <v>7</v>
      </c>
      <c r="F31" s="318">
        <v>11</v>
      </c>
      <c r="G31" s="318">
        <v>13</v>
      </c>
      <c r="H31" s="318">
        <v>15</v>
      </c>
      <c r="I31" s="273"/>
      <c r="J31" s="273"/>
      <c r="K31" s="273"/>
      <c r="L31" s="273"/>
      <c r="M31" s="318"/>
      <c r="N31" s="318"/>
      <c r="O31" s="318"/>
      <c r="P31" s="318"/>
      <c r="Q31" s="273">
        <v>10</v>
      </c>
      <c r="R31" s="273">
        <v>15</v>
      </c>
      <c r="S31" s="273"/>
      <c r="T31" s="273"/>
      <c r="U31" s="318"/>
      <c r="V31" s="318"/>
      <c r="W31" s="318"/>
      <c r="X31" s="318"/>
      <c r="Y31" s="273"/>
      <c r="Z31" s="273"/>
      <c r="AA31" s="273"/>
      <c r="AB31" s="273"/>
      <c r="AC31" s="318"/>
      <c r="AD31" s="318"/>
      <c r="AE31" s="318"/>
      <c r="AF31" s="318"/>
      <c r="AG31" s="306">
        <f t="shared" si="0"/>
        <v>6</v>
      </c>
      <c r="AH31" s="306">
        <f t="shared" si="1"/>
        <v>0</v>
      </c>
      <c r="AI31" s="306">
        <f t="shared" si="2"/>
        <v>0</v>
      </c>
      <c r="AJ31" s="306">
        <f t="shared" si="3"/>
        <v>5</v>
      </c>
      <c r="AK31" s="306">
        <f t="shared" si="4"/>
        <v>0</v>
      </c>
      <c r="AL31" s="306">
        <f t="shared" si="5"/>
        <v>0</v>
      </c>
      <c r="AM31" s="306">
        <f t="shared" si="6"/>
        <v>0</v>
      </c>
      <c r="AN31" s="76">
        <f t="shared" si="7"/>
        <v>11</v>
      </c>
      <c r="AO31" s="76">
        <f t="shared" si="8"/>
        <v>11</v>
      </c>
      <c r="AP31" s="75"/>
      <c r="AQ31" s="77" t="str">
        <f t="shared" si="9"/>
        <v>Attenzione: STRAORDINARI</v>
      </c>
      <c r="AR31" s="75"/>
      <c r="AS31" s="78"/>
    </row>
    <row r="32" spans="1:49" s="79" customFormat="1" ht="24.95" customHeight="1">
      <c r="A32" s="75">
        <v>23</v>
      </c>
      <c r="B32" s="132">
        <v>2</v>
      </c>
      <c r="C32" s="133"/>
      <c r="D32" s="134"/>
      <c r="E32" s="318"/>
      <c r="F32" s="318"/>
      <c r="G32" s="318"/>
      <c r="H32" s="318"/>
      <c r="I32" s="273"/>
      <c r="J32" s="273"/>
      <c r="K32" s="273"/>
      <c r="L32" s="273"/>
      <c r="M32" s="318"/>
      <c r="N32" s="318"/>
      <c r="O32" s="318"/>
      <c r="P32" s="318"/>
      <c r="Q32" s="273"/>
      <c r="R32" s="273"/>
      <c r="S32" s="273"/>
      <c r="T32" s="273"/>
      <c r="U32" s="318"/>
      <c r="V32" s="318"/>
      <c r="W32" s="318"/>
      <c r="X32" s="318"/>
      <c r="Y32" s="273"/>
      <c r="Z32" s="273"/>
      <c r="AA32" s="273"/>
      <c r="AB32" s="273"/>
      <c r="AC32" s="318"/>
      <c r="AD32" s="318"/>
      <c r="AE32" s="318"/>
      <c r="AF32" s="318"/>
      <c r="AG32" s="306">
        <f t="shared" si="0"/>
        <v>0</v>
      </c>
      <c r="AH32" s="306">
        <f t="shared" si="1"/>
        <v>0</v>
      </c>
      <c r="AI32" s="306">
        <f t="shared" si="2"/>
        <v>0</v>
      </c>
      <c r="AJ32" s="306">
        <f t="shared" si="3"/>
        <v>0</v>
      </c>
      <c r="AK32" s="306">
        <f t="shared" si="4"/>
        <v>0</v>
      </c>
      <c r="AL32" s="306">
        <f t="shared" si="5"/>
        <v>0</v>
      </c>
      <c r="AM32" s="306">
        <f t="shared" si="6"/>
        <v>0</v>
      </c>
      <c r="AN32" s="76">
        <f t="shared" si="7"/>
        <v>0</v>
      </c>
      <c r="AO32" s="76">
        <f t="shared" si="8"/>
        <v>0</v>
      </c>
      <c r="AP32" s="75"/>
      <c r="AQ32" s="77" t="str">
        <f t="shared" si="9"/>
        <v/>
      </c>
      <c r="AR32" s="75"/>
      <c r="AS32" s="78"/>
    </row>
    <row r="33" spans="1:45" s="79" customFormat="1" ht="24.95" customHeight="1">
      <c r="A33" s="75">
        <v>24</v>
      </c>
      <c r="B33" s="132"/>
      <c r="C33" s="133"/>
      <c r="D33" s="134"/>
      <c r="E33" s="318"/>
      <c r="F33" s="318"/>
      <c r="G33" s="318"/>
      <c r="H33" s="318"/>
      <c r="I33" s="273"/>
      <c r="J33" s="273"/>
      <c r="K33" s="273"/>
      <c r="L33" s="273"/>
      <c r="M33" s="318"/>
      <c r="N33" s="318"/>
      <c r="O33" s="318"/>
      <c r="P33" s="318"/>
      <c r="Q33" s="273"/>
      <c r="R33" s="273"/>
      <c r="S33" s="273"/>
      <c r="T33" s="273"/>
      <c r="U33" s="318"/>
      <c r="V33" s="318"/>
      <c r="W33" s="318"/>
      <c r="X33" s="318"/>
      <c r="Y33" s="273"/>
      <c r="Z33" s="273"/>
      <c r="AA33" s="273"/>
      <c r="AB33" s="273"/>
      <c r="AC33" s="318"/>
      <c r="AD33" s="318"/>
      <c r="AE33" s="318"/>
      <c r="AF33" s="318"/>
      <c r="AG33" s="306">
        <f t="shared" si="0"/>
        <v>0</v>
      </c>
      <c r="AH33" s="306">
        <f t="shared" si="1"/>
        <v>0</v>
      </c>
      <c r="AI33" s="306">
        <f t="shared" si="2"/>
        <v>0</v>
      </c>
      <c r="AJ33" s="306">
        <f t="shared" si="3"/>
        <v>0</v>
      </c>
      <c r="AK33" s="306">
        <f t="shared" si="4"/>
        <v>0</v>
      </c>
      <c r="AL33" s="306">
        <f t="shared" si="5"/>
        <v>0</v>
      </c>
      <c r="AM33" s="306">
        <f t="shared" si="6"/>
        <v>0</v>
      </c>
      <c r="AN33" s="76">
        <f t="shared" si="7"/>
        <v>0</v>
      </c>
      <c r="AO33" s="76">
        <f t="shared" si="8"/>
        <v>0</v>
      </c>
      <c r="AP33" s="75"/>
      <c r="AQ33" s="77" t="str">
        <f t="shared" si="9"/>
        <v/>
      </c>
      <c r="AR33" s="75"/>
      <c r="AS33" s="78"/>
    </row>
    <row r="34" spans="1:45" s="79" customFormat="1" ht="24.95" customHeight="1">
      <c r="A34" s="75">
        <v>25</v>
      </c>
      <c r="B34" s="132">
        <v>8</v>
      </c>
      <c r="C34" s="133" t="s">
        <v>216</v>
      </c>
      <c r="D34" s="134"/>
      <c r="E34" s="318"/>
      <c r="F34" s="318"/>
      <c r="G34" s="318"/>
      <c r="H34" s="318"/>
      <c r="I34" s="273"/>
      <c r="J34" s="273"/>
      <c r="K34" s="273"/>
      <c r="L34" s="273"/>
      <c r="M34" s="318"/>
      <c r="N34" s="318"/>
      <c r="O34" s="318"/>
      <c r="P34" s="318"/>
      <c r="Q34" s="273"/>
      <c r="R34" s="273"/>
      <c r="S34" s="273"/>
      <c r="T34" s="273"/>
      <c r="U34" s="318"/>
      <c r="V34" s="318"/>
      <c r="W34" s="318"/>
      <c r="X34" s="318"/>
      <c r="Y34" s="273"/>
      <c r="Z34" s="273"/>
      <c r="AA34" s="273"/>
      <c r="AB34" s="273"/>
      <c r="AC34" s="318"/>
      <c r="AD34" s="318"/>
      <c r="AE34" s="318"/>
      <c r="AF34" s="318"/>
      <c r="AG34" s="306">
        <f t="shared" si="0"/>
        <v>0</v>
      </c>
      <c r="AH34" s="306">
        <f t="shared" si="1"/>
        <v>0</v>
      </c>
      <c r="AI34" s="306">
        <f t="shared" si="2"/>
        <v>0</v>
      </c>
      <c r="AJ34" s="306">
        <f t="shared" si="3"/>
        <v>0</v>
      </c>
      <c r="AK34" s="306">
        <f t="shared" si="4"/>
        <v>0</v>
      </c>
      <c r="AL34" s="306">
        <f t="shared" si="5"/>
        <v>0</v>
      </c>
      <c r="AM34" s="306">
        <f t="shared" si="6"/>
        <v>0</v>
      </c>
      <c r="AN34" s="76">
        <f t="shared" si="7"/>
        <v>0</v>
      </c>
      <c r="AO34" s="76">
        <f t="shared" si="8"/>
        <v>0</v>
      </c>
      <c r="AP34" s="75"/>
      <c r="AQ34" s="77" t="str">
        <f t="shared" si="9"/>
        <v/>
      </c>
      <c r="AR34" s="75"/>
      <c r="AS34" s="78"/>
    </row>
    <row r="35" spans="1:45" s="79" customFormat="1" ht="24.95" customHeight="1">
      <c r="A35" s="75">
        <v>26</v>
      </c>
      <c r="B35" s="132"/>
      <c r="C35" s="133"/>
      <c r="D35" s="134"/>
      <c r="E35" s="318"/>
      <c r="F35" s="318"/>
      <c r="G35" s="318"/>
      <c r="H35" s="318"/>
      <c r="I35" s="273"/>
      <c r="J35" s="273"/>
      <c r="K35" s="273"/>
      <c r="L35" s="273"/>
      <c r="M35" s="318"/>
      <c r="N35" s="318"/>
      <c r="O35" s="318"/>
      <c r="P35" s="318"/>
      <c r="Q35" s="273"/>
      <c r="R35" s="273"/>
      <c r="S35" s="273"/>
      <c r="T35" s="273"/>
      <c r="U35" s="318"/>
      <c r="V35" s="318"/>
      <c r="W35" s="318"/>
      <c r="X35" s="318"/>
      <c r="Y35" s="273"/>
      <c r="Z35" s="273"/>
      <c r="AA35" s="273"/>
      <c r="AB35" s="273"/>
      <c r="AC35" s="318"/>
      <c r="AD35" s="318"/>
      <c r="AE35" s="318"/>
      <c r="AF35" s="318"/>
      <c r="AG35" s="306">
        <f t="shared" si="0"/>
        <v>0</v>
      </c>
      <c r="AH35" s="306">
        <f t="shared" si="1"/>
        <v>0</v>
      </c>
      <c r="AI35" s="306">
        <f t="shared" si="2"/>
        <v>0</v>
      </c>
      <c r="AJ35" s="306">
        <f t="shared" si="3"/>
        <v>0</v>
      </c>
      <c r="AK35" s="306">
        <f t="shared" si="4"/>
        <v>0</v>
      </c>
      <c r="AL35" s="306">
        <f t="shared" si="5"/>
        <v>0</v>
      </c>
      <c r="AM35" s="306">
        <f t="shared" si="6"/>
        <v>0</v>
      </c>
      <c r="AN35" s="76">
        <f t="shared" si="7"/>
        <v>0</v>
      </c>
      <c r="AO35" s="76">
        <f t="shared" si="8"/>
        <v>0</v>
      </c>
      <c r="AP35" s="75"/>
      <c r="AQ35" s="77" t="str">
        <f t="shared" si="9"/>
        <v/>
      </c>
      <c r="AR35" s="75"/>
      <c r="AS35" s="78"/>
    </row>
    <row r="36" spans="1:45" s="79" customFormat="1" ht="24.95" customHeight="1">
      <c r="A36" s="75">
        <v>27</v>
      </c>
      <c r="B36" s="132"/>
      <c r="C36" s="133"/>
      <c r="D36" s="134"/>
      <c r="E36" s="318"/>
      <c r="F36" s="318"/>
      <c r="G36" s="318"/>
      <c r="H36" s="318"/>
      <c r="I36" s="273"/>
      <c r="J36" s="273"/>
      <c r="K36" s="273"/>
      <c r="L36" s="273"/>
      <c r="M36" s="318"/>
      <c r="N36" s="318"/>
      <c r="O36" s="318"/>
      <c r="P36" s="318"/>
      <c r="Q36" s="273"/>
      <c r="R36" s="273"/>
      <c r="S36" s="273"/>
      <c r="T36" s="273"/>
      <c r="U36" s="318"/>
      <c r="V36" s="318"/>
      <c r="W36" s="318"/>
      <c r="X36" s="318"/>
      <c r="Y36" s="273"/>
      <c r="Z36" s="273"/>
      <c r="AA36" s="273"/>
      <c r="AB36" s="273"/>
      <c r="AC36" s="318"/>
      <c r="AD36" s="318"/>
      <c r="AE36" s="318"/>
      <c r="AF36" s="318"/>
      <c r="AG36" s="306">
        <f t="shared" si="0"/>
        <v>0</v>
      </c>
      <c r="AH36" s="306">
        <f t="shared" si="1"/>
        <v>0</v>
      </c>
      <c r="AI36" s="306">
        <f t="shared" si="2"/>
        <v>0</v>
      </c>
      <c r="AJ36" s="306">
        <f t="shared" si="3"/>
        <v>0</v>
      </c>
      <c r="AK36" s="306">
        <f t="shared" si="4"/>
        <v>0</v>
      </c>
      <c r="AL36" s="306">
        <f t="shared" si="5"/>
        <v>0</v>
      </c>
      <c r="AM36" s="306">
        <f t="shared" si="6"/>
        <v>0</v>
      </c>
      <c r="AN36" s="76">
        <f t="shared" si="7"/>
        <v>0</v>
      </c>
      <c r="AO36" s="76">
        <f t="shared" si="8"/>
        <v>0</v>
      </c>
      <c r="AP36" s="75"/>
      <c r="AQ36" s="77" t="str">
        <f t="shared" si="9"/>
        <v/>
      </c>
      <c r="AR36" s="75"/>
      <c r="AS36" s="78"/>
    </row>
    <row r="37" spans="1:45" s="79" customFormat="1" ht="24.95" customHeight="1">
      <c r="A37" s="75">
        <v>28</v>
      </c>
      <c r="B37" s="132">
        <v>4</v>
      </c>
      <c r="C37" s="133"/>
      <c r="D37" s="134"/>
      <c r="E37" s="318"/>
      <c r="F37" s="318"/>
      <c r="G37" s="318"/>
      <c r="H37" s="318"/>
      <c r="I37" s="273"/>
      <c r="J37" s="273"/>
      <c r="K37" s="273"/>
      <c r="L37" s="273"/>
      <c r="M37" s="318"/>
      <c r="N37" s="318"/>
      <c r="O37" s="318"/>
      <c r="P37" s="318"/>
      <c r="Q37" s="273"/>
      <c r="R37" s="273"/>
      <c r="S37" s="273"/>
      <c r="T37" s="273"/>
      <c r="U37" s="318"/>
      <c r="V37" s="318"/>
      <c r="W37" s="318"/>
      <c r="X37" s="318"/>
      <c r="Y37" s="273"/>
      <c r="Z37" s="273"/>
      <c r="AA37" s="273"/>
      <c r="AB37" s="273"/>
      <c r="AC37" s="318"/>
      <c r="AD37" s="318"/>
      <c r="AE37" s="318"/>
      <c r="AF37" s="318"/>
      <c r="AG37" s="306">
        <f t="shared" si="0"/>
        <v>0</v>
      </c>
      <c r="AH37" s="306">
        <f t="shared" si="1"/>
        <v>0</v>
      </c>
      <c r="AI37" s="306">
        <f t="shared" si="2"/>
        <v>0</v>
      </c>
      <c r="AJ37" s="306">
        <f t="shared" si="3"/>
        <v>0</v>
      </c>
      <c r="AK37" s="306">
        <f t="shared" si="4"/>
        <v>0</v>
      </c>
      <c r="AL37" s="306">
        <f t="shared" si="5"/>
        <v>0</v>
      </c>
      <c r="AM37" s="306">
        <f t="shared" si="6"/>
        <v>0</v>
      </c>
      <c r="AN37" s="76">
        <f t="shared" si="7"/>
        <v>0</v>
      </c>
      <c r="AO37" s="76">
        <f t="shared" si="8"/>
        <v>0</v>
      </c>
      <c r="AP37" s="75"/>
      <c r="AQ37" s="77" t="str">
        <f t="shared" si="9"/>
        <v/>
      </c>
      <c r="AR37" s="75"/>
      <c r="AS37" s="78"/>
    </row>
    <row r="38" spans="1:45" s="79" customFormat="1" ht="24.95" customHeight="1">
      <c r="A38" s="75">
        <v>29</v>
      </c>
      <c r="B38" s="132">
        <v>4</v>
      </c>
      <c r="C38" s="133" t="s">
        <v>219</v>
      </c>
      <c r="D38" s="134"/>
      <c r="E38" s="318"/>
      <c r="F38" s="318"/>
      <c r="G38" s="318"/>
      <c r="H38" s="318"/>
      <c r="I38" s="273"/>
      <c r="J38" s="273"/>
      <c r="K38" s="273"/>
      <c r="L38" s="273"/>
      <c r="M38" s="318"/>
      <c r="N38" s="318"/>
      <c r="O38" s="318"/>
      <c r="P38" s="318"/>
      <c r="Q38" s="273"/>
      <c r="R38" s="273"/>
      <c r="S38" s="273"/>
      <c r="T38" s="273"/>
      <c r="U38" s="318"/>
      <c r="V38" s="318"/>
      <c r="W38" s="318"/>
      <c r="X38" s="318"/>
      <c r="Y38" s="273"/>
      <c r="Z38" s="273"/>
      <c r="AA38" s="273"/>
      <c r="AB38" s="273"/>
      <c r="AC38" s="318"/>
      <c r="AD38" s="318"/>
      <c r="AE38" s="318"/>
      <c r="AF38" s="318"/>
      <c r="AG38" s="306">
        <f t="shared" si="0"/>
        <v>0</v>
      </c>
      <c r="AH38" s="306">
        <f t="shared" si="1"/>
        <v>0</v>
      </c>
      <c r="AI38" s="306">
        <f t="shared" si="2"/>
        <v>0</v>
      </c>
      <c r="AJ38" s="306">
        <f t="shared" si="3"/>
        <v>0</v>
      </c>
      <c r="AK38" s="306">
        <f t="shared" si="4"/>
        <v>0</v>
      </c>
      <c r="AL38" s="306">
        <f t="shared" si="5"/>
        <v>0</v>
      </c>
      <c r="AM38" s="306">
        <f t="shared" si="6"/>
        <v>0</v>
      </c>
      <c r="AN38" s="76">
        <f t="shared" si="7"/>
        <v>0</v>
      </c>
      <c r="AO38" s="76">
        <f t="shared" si="8"/>
        <v>0</v>
      </c>
      <c r="AP38" s="75"/>
      <c r="AQ38" s="77" t="str">
        <f t="shared" si="9"/>
        <v/>
      </c>
      <c r="AR38" s="75"/>
      <c r="AS38" s="78"/>
    </row>
    <row r="39" spans="1:45" s="79" customFormat="1" ht="24.95" customHeight="1">
      <c r="A39" s="75">
        <v>30</v>
      </c>
      <c r="B39" s="132">
        <v>4</v>
      </c>
      <c r="C39" s="133" t="s">
        <v>220</v>
      </c>
      <c r="D39" s="134"/>
      <c r="E39" s="318"/>
      <c r="F39" s="318"/>
      <c r="G39" s="318"/>
      <c r="H39" s="318"/>
      <c r="I39" s="273"/>
      <c r="J39" s="273"/>
      <c r="K39" s="273"/>
      <c r="L39" s="273"/>
      <c r="M39" s="318"/>
      <c r="N39" s="318"/>
      <c r="O39" s="318"/>
      <c r="P39" s="318"/>
      <c r="Q39" s="273"/>
      <c r="R39" s="273"/>
      <c r="S39" s="273"/>
      <c r="T39" s="273"/>
      <c r="U39" s="318"/>
      <c r="V39" s="318"/>
      <c r="W39" s="318"/>
      <c r="X39" s="318"/>
      <c r="Y39" s="273"/>
      <c r="Z39" s="273"/>
      <c r="AA39" s="273"/>
      <c r="AB39" s="273"/>
      <c r="AC39" s="318"/>
      <c r="AD39" s="318"/>
      <c r="AE39" s="318"/>
      <c r="AF39" s="318"/>
      <c r="AG39" s="306">
        <f t="shared" si="0"/>
        <v>0</v>
      </c>
      <c r="AH39" s="306">
        <f t="shared" si="1"/>
        <v>0</v>
      </c>
      <c r="AI39" s="306">
        <f t="shared" si="2"/>
        <v>0</v>
      </c>
      <c r="AJ39" s="306">
        <f t="shared" si="3"/>
        <v>0</v>
      </c>
      <c r="AK39" s="306">
        <f t="shared" si="4"/>
        <v>0</v>
      </c>
      <c r="AL39" s="306">
        <f t="shared" si="5"/>
        <v>0</v>
      </c>
      <c r="AM39" s="306">
        <f t="shared" si="6"/>
        <v>0</v>
      </c>
      <c r="AN39" s="76">
        <f t="shared" si="7"/>
        <v>0</v>
      </c>
      <c r="AO39" s="76">
        <f t="shared" si="8"/>
        <v>0</v>
      </c>
      <c r="AP39" s="75"/>
      <c r="AQ39" s="77" t="str">
        <f t="shared" si="9"/>
        <v/>
      </c>
      <c r="AR39" s="75"/>
      <c r="AS39" s="78"/>
    </row>
    <row r="40" spans="1:45" s="79" customFormat="1" ht="24.95" customHeight="1">
      <c r="A40" s="75">
        <v>31</v>
      </c>
      <c r="B40" s="132">
        <v>4</v>
      </c>
      <c r="C40" s="133" t="s">
        <v>221</v>
      </c>
      <c r="D40" s="134"/>
      <c r="E40" s="318"/>
      <c r="F40" s="318"/>
      <c r="G40" s="318"/>
      <c r="H40" s="318"/>
      <c r="I40" s="273"/>
      <c r="J40" s="273"/>
      <c r="K40" s="273"/>
      <c r="L40" s="273"/>
      <c r="M40" s="318"/>
      <c r="N40" s="318"/>
      <c r="O40" s="318"/>
      <c r="P40" s="318"/>
      <c r="Q40" s="273"/>
      <c r="R40" s="273"/>
      <c r="S40" s="273"/>
      <c r="T40" s="273"/>
      <c r="U40" s="318"/>
      <c r="V40" s="318"/>
      <c r="W40" s="318"/>
      <c r="X40" s="318"/>
      <c r="Y40" s="273"/>
      <c r="Z40" s="273"/>
      <c r="AA40" s="273"/>
      <c r="AB40" s="273"/>
      <c r="AC40" s="318"/>
      <c r="AD40" s="318"/>
      <c r="AE40" s="318"/>
      <c r="AF40" s="318"/>
      <c r="AG40" s="306">
        <f t="shared" si="0"/>
        <v>0</v>
      </c>
      <c r="AH40" s="306">
        <f t="shared" si="1"/>
        <v>0</v>
      </c>
      <c r="AI40" s="306">
        <f t="shared" si="2"/>
        <v>0</v>
      </c>
      <c r="AJ40" s="306">
        <f t="shared" si="3"/>
        <v>0</v>
      </c>
      <c r="AK40" s="306">
        <f t="shared" si="4"/>
        <v>0</v>
      </c>
      <c r="AL40" s="306">
        <f t="shared" si="5"/>
        <v>0</v>
      </c>
      <c r="AM40" s="306">
        <f t="shared" si="6"/>
        <v>0</v>
      </c>
      <c r="AN40" s="76">
        <f>SUM(AG40:AM40)</f>
        <v>0</v>
      </c>
      <c r="AO40" s="76">
        <f>AN40-D40</f>
        <v>0</v>
      </c>
      <c r="AP40" s="75"/>
      <c r="AQ40" s="77" t="str">
        <f t="shared" si="9"/>
        <v/>
      </c>
      <c r="AR40" s="75"/>
      <c r="AS40" s="78"/>
    </row>
    <row r="41" spans="1:45" s="79" customFormat="1" ht="24.95" customHeight="1">
      <c r="A41" s="75">
        <v>32</v>
      </c>
      <c r="B41" s="132">
        <v>4</v>
      </c>
      <c r="C41" s="133"/>
      <c r="D41" s="134"/>
      <c r="E41" s="318"/>
      <c r="F41" s="318"/>
      <c r="G41" s="318"/>
      <c r="H41" s="318"/>
      <c r="I41" s="273"/>
      <c r="J41" s="273"/>
      <c r="K41" s="273"/>
      <c r="L41" s="273"/>
      <c r="M41" s="318"/>
      <c r="N41" s="318"/>
      <c r="O41" s="318"/>
      <c r="P41" s="318"/>
      <c r="Q41" s="273"/>
      <c r="R41" s="273"/>
      <c r="S41" s="273"/>
      <c r="T41" s="273"/>
      <c r="U41" s="318"/>
      <c r="V41" s="318"/>
      <c r="W41" s="318"/>
      <c r="X41" s="318"/>
      <c r="Y41" s="273"/>
      <c r="Z41" s="273"/>
      <c r="AA41" s="273"/>
      <c r="AB41" s="273"/>
      <c r="AC41" s="318"/>
      <c r="AD41" s="318"/>
      <c r="AE41" s="318"/>
      <c r="AF41" s="318"/>
      <c r="AG41" s="306">
        <f t="shared" si="0"/>
        <v>0</v>
      </c>
      <c r="AH41" s="306">
        <f t="shared" si="1"/>
        <v>0</v>
      </c>
      <c r="AI41" s="306">
        <f t="shared" si="2"/>
        <v>0</v>
      </c>
      <c r="AJ41" s="306">
        <f t="shared" si="3"/>
        <v>0</v>
      </c>
      <c r="AK41" s="306">
        <f t="shared" si="4"/>
        <v>0</v>
      </c>
      <c r="AL41" s="306">
        <f t="shared" si="5"/>
        <v>0</v>
      </c>
      <c r="AM41" s="306">
        <f t="shared" si="6"/>
        <v>0</v>
      </c>
      <c r="AN41" s="76">
        <f>SUM(AG41:AM41)</f>
        <v>0</v>
      </c>
      <c r="AO41" s="76">
        <f>AN41-D41</f>
        <v>0</v>
      </c>
      <c r="AP41" s="75"/>
      <c r="AQ41" s="77" t="str">
        <f t="shared" si="9"/>
        <v/>
      </c>
      <c r="AR41" s="75"/>
      <c r="AS41" s="78"/>
    </row>
    <row r="42" spans="1:45" s="79" customFormat="1" ht="24.95" customHeight="1">
      <c r="A42" s="75">
        <v>33</v>
      </c>
      <c r="B42" s="132">
        <v>4</v>
      </c>
      <c r="C42" s="133" t="s">
        <v>222</v>
      </c>
      <c r="D42" s="134"/>
      <c r="E42" s="318"/>
      <c r="F42" s="318"/>
      <c r="G42" s="318"/>
      <c r="H42" s="318"/>
      <c r="I42" s="273"/>
      <c r="J42" s="273"/>
      <c r="K42" s="273"/>
      <c r="L42" s="273"/>
      <c r="M42" s="318"/>
      <c r="N42" s="318"/>
      <c r="O42" s="318"/>
      <c r="P42" s="318"/>
      <c r="Q42" s="273"/>
      <c r="R42" s="273"/>
      <c r="S42" s="273"/>
      <c r="T42" s="273"/>
      <c r="U42" s="318"/>
      <c r="V42" s="318"/>
      <c r="W42" s="318"/>
      <c r="X42" s="318"/>
      <c r="Y42" s="273"/>
      <c r="Z42" s="273"/>
      <c r="AA42" s="273"/>
      <c r="AB42" s="273"/>
      <c r="AC42" s="318"/>
      <c r="AD42" s="318"/>
      <c r="AE42" s="318"/>
      <c r="AF42" s="318"/>
      <c r="AG42" s="306">
        <f t="shared" si="0"/>
        <v>0</v>
      </c>
      <c r="AH42" s="306">
        <f t="shared" si="1"/>
        <v>0</v>
      </c>
      <c r="AI42" s="306">
        <f t="shared" si="2"/>
        <v>0</v>
      </c>
      <c r="AJ42" s="306">
        <f t="shared" si="3"/>
        <v>0</v>
      </c>
      <c r="AK42" s="306">
        <f t="shared" si="4"/>
        <v>0</v>
      </c>
      <c r="AL42" s="306">
        <f t="shared" si="5"/>
        <v>0</v>
      </c>
      <c r="AM42" s="306">
        <f t="shared" si="6"/>
        <v>0</v>
      </c>
      <c r="AN42" s="76">
        <f>SUM(AG42:AM42)</f>
        <v>0</v>
      </c>
      <c r="AO42" s="76">
        <f>AN42-D42</f>
        <v>0</v>
      </c>
      <c r="AP42" s="75"/>
      <c r="AQ42" s="77" t="str">
        <f t="shared" si="9"/>
        <v/>
      </c>
      <c r="AR42" s="75"/>
      <c r="AS42" s="78"/>
    </row>
    <row r="43" spans="1:45" s="79" customFormat="1" ht="24.95" customHeight="1">
      <c r="A43" s="75">
        <v>34</v>
      </c>
      <c r="B43" s="132">
        <v>4</v>
      </c>
      <c r="C43" s="133" t="s">
        <v>224</v>
      </c>
      <c r="D43" s="134"/>
      <c r="E43" s="318"/>
      <c r="F43" s="318"/>
      <c r="G43" s="318"/>
      <c r="H43" s="318"/>
      <c r="I43" s="273"/>
      <c r="J43" s="273"/>
      <c r="K43" s="273"/>
      <c r="L43" s="273"/>
      <c r="M43" s="318"/>
      <c r="N43" s="318"/>
      <c r="O43" s="318"/>
      <c r="P43" s="318"/>
      <c r="Q43" s="273"/>
      <c r="R43" s="273"/>
      <c r="S43" s="273"/>
      <c r="T43" s="273"/>
      <c r="U43" s="318"/>
      <c r="V43" s="318"/>
      <c r="W43" s="318"/>
      <c r="X43" s="318"/>
      <c r="Y43" s="273"/>
      <c r="Z43" s="273"/>
      <c r="AA43" s="273"/>
      <c r="AB43" s="273"/>
      <c r="AC43" s="318"/>
      <c r="AD43" s="318"/>
      <c r="AE43" s="318"/>
      <c r="AF43" s="318"/>
      <c r="AG43" s="306">
        <f t="shared" si="0"/>
        <v>0</v>
      </c>
      <c r="AH43" s="306">
        <f t="shared" si="1"/>
        <v>0</v>
      </c>
      <c r="AI43" s="306">
        <f t="shared" si="2"/>
        <v>0</v>
      </c>
      <c r="AJ43" s="306">
        <f t="shared" si="3"/>
        <v>0</v>
      </c>
      <c r="AK43" s="306">
        <f t="shared" si="4"/>
        <v>0</v>
      </c>
      <c r="AL43" s="306">
        <f t="shared" si="5"/>
        <v>0</v>
      </c>
      <c r="AM43" s="306">
        <f t="shared" si="6"/>
        <v>0</v>
      </c>
      <c r="AN43" s="76">
        <f>SUM(AG43:AM43)</f>
        <v>0</v>
      </c>
      <c r="AO43" s="76">
        <f>AN43-D43</f>
        <v>0</v>
      </c>
      <c r="AP43" s="75"/>
      <c r="AQ43" s="77" t="str">
        <f t="shared" si="9"/>
        <v/>
      </c>
      <c r="AR43" s="75"/>
      <c r="AS43" s="78"/>
    </row>
    <row r="44" spans="1:45" s="79" customFormat="1" ht="24.95" customHeight="1">
      <c r="A44" s="75">
        <v>35</v>
      </c>
      <c r="B44" s="132"/>
      <c r="C44" s="133"/>
      <c r="D44" s="134"/>
      <c r="E44" s="318"/>
      <c r="F44" s="318"/>
      <c r="G44" s="318"/>
      <c r="H44" s="318"/>
      <c r="I44" s="273"/>
      <c r="J44" s="273"/>
      <c r="K44" s="273"/>
      <c r="L44" s="273"/>
      <c r="M44" s="318"/>
      <c r="N44" s="318"/>
      <c r="O44" s="318"/>
      <c r="P44" s="318"/>
      <c r="Q44" s="273"/>
      <c r="R44" s="273"/>
      <c r="S44" s="273"/>
      <c r="T44" s="273"/>
      <c r="U44" s="318"/>
      <c r="V44" s="318"/>
      <c r="W44" s="318"/>
      <c r="X44" s="318"/>
      <c r="Y44" s="273"/>
      <c r="Z44" s="273"/>
      <c r="AA44" s="273"/>
      <c r="AB44" s="273"/>
      <c r="AC44" s="318"/>
      <c r="AD44" s="318"/>
      <c r="AE44" s="318"/>
      <c r="AF44" s="318"/>
      <c r="AG44" s="306">
        <f t="shared" si="0"/>
        <v>0</v>
      </c>
      <c r="AH44" s="306">
        <f t="shared" si="1"/>
        <v>0</v>
      </c>
      <c r="AI44" s="306">
        <f t="shared" si="2"/>
        <v>0</v>
      </c>
      <c r="AJ44" s="306">
        <f t="shared" si="3"/>
        <v>0</v>
      </c>
      <c r="AK44" s="306">
        <f t="shared" si="4"/>
        <v>0</v>
      </c>
      <c r="AL44" s="306">
        <f t="shared" si="5"/>
        <v>0</v>
      </c>
      <c r="AM44" s="306">
        <f t="shared" si="6"/>
        <v>0</v>
      </c>
      <c r="AN44" s="76">
        <f>SUM(AG44:AM44)</f>
        <v>0</v>
      </c>
      <c r="AO44" s="76">
        <f>AN44-D44</f>
        <v>0</v>
      </c>
      <c r="AP44" s="75"/>
      <c r="AQ44" s="77" t="str">
        <f t="shared" si="9"/>
        <v/>
      </c>
      <c r="AR44" s="75"/>
      <c r="AS44" s="78"/>
    </row>
    <row r="45" spans="1:45" s="79" customFormat="1" ht="24.95" customHeight="1">
      <c r="A45" s="75">
        <v>36</v>
      </c>
      <c r="B45" s="132">
        <v>9</v>
      </c>
      <c r="C45" s="133" t="s">
        <v>223</v>
      </c>
      <c r="D45" s="134"/>
      <c r="E45" s="318"/>
      <c r="F45" s="318"/>
      <c r="G45" s="318"/>
      <c r="H45" s="318"/>
      <c r="I45" s="273"/>
      <c r="J45" s="273"/>
      <c r="K45" s="273"/>
      <c r="L45" s="273"/>
      <c r="M45" s="318"/>
      <c r="N45" s="318"/>
      <c r="O45" s="318"/>
      <c r="P45" s="318"/>
      <c r="Q45" s="273"/>
      <c r="R45" s="273"/>
      <c r="S45" s="273"/>
      <c r="T45" s="273"/>
      <c r="U45" s="318"/>
      <c r="V45" s="318"/>
      <c r="W45" s="318"/>
      <c r="X45" s="318"/>
      <c r="Y45" s="273"/>
      <c r="Z45" s="273"/>
      <c r="AA45" s="273"/>
      <c r="AB45" s="273"/>
      <c r="AC45" s="318"/>
      <c r="AD45" s="318"/>
      <c r="AE45" s="318"/>
      <c r="AF45" s="318"/>
      <c r="AG45" s="306">
        <f t="shared" si="0"/>
        <v>0</v>
      </c>
      <c r="AH45" s="306">
        <f t="shared" si="1"/>
        <v>0</v>
      </c>
      <c r="AI45" s="306">
        <f t="shared" si="2"/>
        <v>0</v>
      </c>
      <c r="AJ45" s="306">
        <f t="shared" si="3"/>
        <v>0</v>
      </c>
      <c r="AK45" s="306">
        <f t="shared" si="4"/>
        <v>0</v>
      </c>
      <c r="AL45" s="306">
        <f t="shared" si="5"/>
        <v>0</v>
      </c>
      <c r="AM45" s="306">
        <f t="shared" si="6"/>
        <v>0</v>
      </c>
      <c r="AN45" s="76">
        <f t="shared" si="7"/>
        <v>0</v>
      </c>
      <c r="AO45" s="76">
        <f t="shared" si="8"/>
        <v>0</v>
      </c>
      <c r="AP45" s="75"/>
      <c r="AQ45" s="77" t="str">
        <f t="shared" si="9"/>
        <v/>
      </c>
      <c r="AR45" s="75"/>
      <c r="AS45" s="78"/>
    </row>
    <row r="46" spans="1:45" s="79" customFormat="1" ht="24.95" customHeight="1">
      <c r="A46" s="75">
        <v>37</v>
      </c>
      <c r="B46" s="132"/>
      <c r="C46" s="133"/>
      <c r="D46" s="134"/>
      <c r="E46" s="318"/>
      <c r="F46" s="318"/>
      <c r="G46" s="318"/>
      <c r="H46" s="318"/>
      <c r="I46" s="273"/>
      <c r="J46" s="273"/>
      <c r="K46" s="273"/>
      <c r="L46" s="273"/>
      <c r="M46" s="318"/>
      <c r="N46" s="318"/>
      <c r="O46" s="318"/>
      <c r="P46" s="318"/>
      <c r="Q46" s="273"/>
      <c r="R46" s="273"/>
      <c r="S46" s="273"/>
      <c r="T46" s="273"/>
      <c r="U46" s="318"/>
      <c r="V46" s="318"/>
      <c r="W46" s="318"/>
      <c r="X46" s="318"/>
      <c r="Y46" s="273"/>
      <c r="Z46" s="273"/>
      <c r="AA46" s="273"/>
      <c r="AB46" s="273"/>
      <c r="AC46" s="318"/>
      <c r="AD46" s="318"/>
      <c r="AE46" s="318"/>
      <c r="AF46" s="318"/>
      <c r="AG46" s="306">
        <f t="shared" si="0"/>
        <v>0</v>
      </c>
      <c r="AH46" s="306">
        <f t="shared" si="1"/>
        <v>0</v>
      </c>
      <c r="AI46" s="306">
        <f t="shared" si="2"/>
        <v>0</v>
      </c>
      <c r="AJ46" s="306">
        <f t="shared" si="3"/>
        <v>0</v>
      </c>
      <c r="AK46" s="306">
        <f t="shared" si="4"/>
        <v>0</v>
      </c>
      <c r="AL46" s="306">
        <f t="shared" si="5"/>
        <v>0</v>
      </c>
      <c r="AM46" s="306">
        <f t="shared" si="6"/>
        <v>0</v>
      </c>
      <c r="AN46" s="76">
        <f t="shared" si="7"/>
        <v>0</v>
      </c>
      <c r="AO46" s="76">
        <f t="shared" si="8"/>
        <v>0</v>
      </c>
      <c r="AP46" s="75"/>
      <c r="AQ46" s="77" t="str">
        <f t="shared" si="9"/>
        <v/>
      </c>
      <c r="AR46" s="75"/>
      <c r="AS46" s="78"/>
    </row>
    <row r="47" spans="1:45" s="79" customFormat="1" ht="24.95" customHeight="1">
      <c r="A47" s="75">
        <v>38</v>
      </c>
      <c r="B47" s="132"/>
      <c r="C47" s="133"/>
      <c r="D47" s="134"/>
      <c r="E47" s="318"/>
      <c r="F47" s="318"/>
      <c r="G47" s="318"/>
      <c r="H47" s="318"/>
      <c r="I47" s="273"/>
      <c r="J47" s="273"/>
      <c r="K47" s="273"/>
      <c r="L47" s="273"/>
      <c r="M47" s="318"/>
      <c r="N47" s="318"/>
      <c r="O47" s="318"/>
      <c r="P47" s="318"/>
      <c r="Q47" s="273"/>
      <c r="R47" s="273"/>
      <c r="S47" s="273"/>
      <c r="T47" s="273"/>
      <c r="U47" s="318"/>
      <c r="V47" s="318"/>
      <c r="W47" s="318"/>
      <c r="X47" s="318"/>
      <c r="Y47" s="273"/>
      <c r="Z47" s="273"/>
      <c r="AA47" s="273"/>
      <c r="AB47" s="273"/>
      <c r="AC47" s="318"/>
      <c r="AD47" s="318"/>
      <c r="AE47" s="318"/>
      <c r="AF47" s="318"/>
      <c r="AG47" s="306">
        <f t="shared" si="0"/>
        <v>0</v>
      </c>
      <c r="AH47" s="306">
        <f t="shared" si="1"/>
        <v>0</v>
      </c>
      <c r="AI47" s="306">
        <f t="shared" si="2"/>
        <v>0</v>
      </c>
      <c r="AJ47" s="306">
        <f t="shared" si="3"/>
        <v>0</v>
      </c>
      <c r="AK47" s="306">
        <f t="shared" si="4"/>
        <v>0</v>
      </c>
      <c r="AL47" s="306">
        <f t="shared" si="5"/>
        <v>0</v>
      </c>
      <c r="AM47" s="306">
        <f t="shared" si="6"/>
        <v>0</v>
      </c>
      <c r="AN47" s="76">
        <f t="shared" si="7"/>
        <v>0</v>
      </c>
      <c r="AO47" s="76">
        <f t="shared" si="8"/>
        <v>0</v>
      </c>
      <c r="AP47" s="75"/>
      <c r="AQ47" s="77" t="str">
        <f t="shared" si="9"/>
        <v/>
      </c>
      <c r="AR47" s="75"/>
      <c r="AS47" s="78"/>
    </row>
    <row r="48" spans="1:45" s="79" customFormat="1" ht="24.95" customHeight="1">
      <c r="A48" s="75">
        <v>39</v>
      </c>
      <c r="B48" s="132"/>
      <c r="C48" s="133"/>
      <c r="D48" s="134"/>
      <c r="E48" s="318"/>
      <c r="F48" s="318"/>
      <c r="G48" s="318"/>
      <c r="H48" s="318"/>
      <c r="I48" s="273"/>
      <c r="J48" s="273"/>
      <c r="K48" s="273"/>
      <c r="L48" s="273"/>
      <c r="M48" s="318"/>
      <c r="N48" s="318"/>
      <c r="O48" s="318"/>
      <c r="P48" s="318"/>
      <c r="Q48" s="273"/>
      <c r="R48" s="273"/>
      <c r="S48" s="273"/>
      <c r="T48" s="273"/>
      <c r="U48" s="318"/>
      <c r="V48" s="318"/>
      <c r="W48" s="318"/>
      <c r="X48" s="318"/>
      <c r="Y48" s="273"/>
      <c r="Z48" s="273"/>
      <c r="AA48" s="273"/>
      <c r="AB48" s="273"/>
      <c r="AC48" s="318"/>
      <c r="AD48" s="318"/>
      <c r="AE48" s="318"/>
      <c r="AF48" s="318"/>
      <c r="AG48" s="306">
        <f t="shared" si="0"/>
        <v>0</v>
      </c>
      <c r="AH48" s="306">
        <f t="shared" si="1"/>
        <v>0</v>
      </c>
      <c r="AI48" s="306">
        <f t="shared" si="2"/>
        <v>0</v>
      </c>
      <c r="AJ48" s="306">
        <f t="shared" si="3"/>
        <v>0</v>
      </c>
      <c r="AK48" s="306">
        <f t="shared" si="4"/>
        <v>0</v>
      </c>
      <c r="AL48" s="306">
        <f t="shared" si="5"/>
        <v>0</v>
      </c>
      <c r="AM48" s="306">
        <f t="shared" si="6"/>
        <v>0</v>
      </c>
      <c r="AN48" s="76">
        <f t="shared" si="7"/>
        <v>0</v>
      </c>
      <c r="AO48" s="76">
        <f t="shared" si="8"/>
        <v>0</v>
      </c>
      <c r="AP48" s="75"/>
      <c r="AQ48" s="77" t="str">
        <f t="shared" si="9"/>
        <v/>
      </c>
      <c r="AR48" s="75"/>
      <c r="AS48" s="78"/>
    </row>
    <row r="49" spans="1:45" s="79" customFormat="1" ht="24.95" customHeight="1">
      <c r="A49" s="75">
        <v>40</v>
      </c>
      <c r="B49" s="132"/>
      <c r="C49" s="133"/>
      <c r="D49" s="134"/>
      <c r="E49" s="318"/>
      <c r="F49" s="318"/>
      <c r="G49" s="318"/>
      <c r="H49" s="318"/>
      <c r="I49" s="273"/>
      <c r="J49" s="273"/>
      <c r="K49" s="273"/>
      <c r="L49" s="273"/>
      <c r="M49" s="318"/>
      <c r="N49" s="318"/>
      <c r="O49" s="318"/>
      <c r="P49" s="318"/>
      <c r="Q49" s="273"/>
      <c r="R49" s="273"/>
      <c r="S49" s="273"/>
      <c r="T49" s="273"/>
      <c r="U49" s="318"/>
      <c r="V49" s="318"/>
      <c r="W49" s="318"/>
      <c r="X49" s="318"/>
      <c r="Y49" s="273"/>
      <c r="Z49" s="273"/>
      <c r="AA49" s="273"/>
      <c r="AB49" s="273"/>
      <c r="AC49" s="318"/>
      <c r="AD49" s="318"/>
      <c r="AE49" s="318"/>
      <c r="AF49" s="318"/>
      <c r="AG49" s="306">
        <f t="shared" si="0"/>
        <v>0</v>
      </c>
      <c r="AH49" s="306">
        <f t="shared" si="1"/>
        <v>0</v>
      </c>
      <c r="AI49" s="306">
        <f t="shared" si="2"/>
        <v>0</v>
      </c>
      <c r="AJ49" s="306">
        <f t="shared" si="3"/>
        <v>0</v>
      </c>
      <c r="AK49" s="306">
        <f t="shared" si="4"/>
        <v>0</v>
      </c>
      <c r="AL49" s="306">
        <f t="shared" si="5"/>
        <v>0</v>
      </c>
      <c r="AM49" s="306">
        <f t="shared" si="6"/>
        <v>0</v>
      </c>
      <c r="AN49" s="76">
        <f t="shared" si="7"/>
        <v>0</v>
      </c>
      <c r="AO49" s="76">
        <f t="shared" si="8"/>
        <v>0</v>
      </c>
      <c r="AP49" s="75"/>
      <c r="AQ49" s="77" t="str">
        <f t="shared" si="9"/>
        <v/>
      </c>
      <c r="AR49" s="75"/>
      <c r="AS49" s="78"/>
    </row>
    <row r="50" spans="1:45" ht="7.5" customHeight="1">
      <c r="A50" s="50"/>
      <c r="B50" s="50"/>
      <c r="C50" s="50"/>
      <c r="D50" s="50"/>
      <c r="E50" s="80" t="s">
        <v>20</v>
      </c>
      <c r="F50" s="80" t="s">
        <v>20</v>
      </c>
      <c r="G50" s="80" t="s">
        <v>20</v>
      </c>
      <c r="H50" s="80" t="s">
        <v>20</v>
      </c>
      <c r="I50" s="80" t="s">
        <v>20</v>
      </c>
      <c r="J50" s="80" t="s">
        <v>20</v>
      </c>
      <c r="K50" s="80" t="s">
        <v>20</v>
      </c>
      <c r="L50" s="80" t="s">
        <v>20</v>
      </c>
      <c r="M50" s="80" t="s">
        <v>20</v>
      </c>
      <c r="N50" s="80" t="s">
        <v>20</v>
      </c>
      <c r="O50" s="80" t="s">
        <v>20</v>
      </c>
      <c r="P50" s="80" t="s">
        <v>20</v>
      </c>
      <c r="Q50" s="80" t="s">
        <v>20</v>
      </c>
      <c r="R50" s="80" t="s">
        <v>20</v>
      </c>
      <c r="S50" s="80" t="s">
        <v>20</v>
      </c>
      <c r="T50" s="80" t="s">
        <v>20</v>
      </c>
      <c r="U50" s="80" t="s">
        <v>20</v>
      </c>
      <c r="V50" s="80" t="s">
        <v>20</v>
      </c>
      <c r="W50" s="80" t="s">
        <v>20</v>
      </c>
      <c r="X50" s="80" t="s">
        <v>20</v>
      </c>
      <c r="Y50" s="80" t="s">
        <v>20</v>
      </c>
      <c r="Z50" s="80" t="s">
        <v>20</v>
      </c>
      <c r="AA50" s="80" t="s">
        <v>20</v>
      </c>
      <c r="AB50" s="80" t="s">
        <v>20</v>
      </c>
      <c r="AC50" s="80" t="s">
        <v>20</v>
      </c>
      <c r="AD50" s="80" t="s">
        <v>20</v>
      </c>
      <c r="AE50" s="80" t="s">
        <v>20</v>
      </c>
      <c r="AF50" s="80" t="s">
        <v>20</v>
      </c>
      <c r="AG50" s="54"/>
      <c r="AH50" s="54"/>
      <c r="AI50" s="54"/>
      <c r="AJ50" s="54"/>
      <c r="AK50" s="54"/>
      <c r="AL50" s="54"/>
      <c r="AM50" s="54"/>
      <c r="AN50" s="50"/>
      <c r="AO50" s="50"/>
      <c r="AP50" s="50"/>
      <c r="AQ50" s="55"/>
      <c r="AR50" s="50"/>
      <c r="AS50" s="45"/>
    </row>
    <row r="51" spans="1:45" s="79" customFormat="1">
      <c r="A51" s="75"/>
      <c r="B51" s="81">
        <v>1</v>
      </c>
      <c r="C51" s="10" t="s">
        <v>80</v>
      </c>
      <c r="D51" s="83">
        <f>SUMIF($B$10:$B$49,$B51,D$10:D$49)</f>
        <v>0</v>
      </c>
      <c r="E51" s="84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6"/>
      <c r="AG51" s="87">
        <f t="shared" ref="AG51:AM59" si="10">SUMIF($B$10:$B$49,$B51,AG$10:AG$49)</f>
        <v>0</v>
      </c>
      <c r="AH51" s="87">
        <f t="shared" si="10"/>
        <v>0</v>
      </c>
      <c r="AI51" s="87">
        <f t="shared" si="10"/>
        <v>0</v>
      </c>
      <c r="AJ51" s="87">
        <f t="shared" si="10"/>
        <v>0</v>
      </c>
      <c r="AK51" s="87">
        <f t="shared" si="10"/>
        <v>0</v>
      </c>
      <c r="AL51" s="87">
        <f t="shared" si="10"/>
        <v>0</v>
      </c>
      <c r="AM51" s="87">
        <f t="shared" si="10"/>
        <v>0</v>
      </c>
      <c r="AN51" s="76">
        <f t="shared" ref="AN51:AN60" si="11">SUM(AG51:AM51)</f>
        <v>0</v>
      </c>
      <c r="AO51" s="76">
        <f t="shared" ref="AO51:AO60" si="12">AN51-D51</f>
        <v>0</v>
      </c>
      <c r="AP51" s="75"/>
      <c r="AQ51" s="77" t="str">
        <f t="shared" si="9"/>
        <v/>
      </c>
      <c r="AR51" s="75"/>
      <c r="AS51" s="78"/>
    </row>
    <row r="52" spans="1:45" s="79" customFormat="1">
      <c r="A52" s="75"/>
      <c r="B52" s="88">
        <v>2</v>
      </c>
      <c r="C52" s="4" t="s">
        <v>11</v>
      </c>
      <c r="D52" s="90">
        <f t="shared" ref="D52:D59" si="13">SUMIF($B$10:$B$49,$B52,D$10:D$49)</f>
        <v>0</v>
      </c>
      <c r="E52" s="84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6"/>
      <c r="AG52" s="91">
        <f t="shared" si="10"/>
        <v>0</v>
      </c>
      <c r="AH52" s="91">
        <f t="shared" si="10"/>
        <v>0</v>
      </c>
      <c r="AI52" s="91">
        <f t="shared" si="10"/>
        <v>0</v>
      </c>
      <c r="AJ52" s="91">
        <f t="shared" si="10"/>
        <v>0</v>
      </c>
      <c r="AK52" s="91">
        <f t="shared" si="10"/>
        <v>0</v>
      </c>
      <c r="AL52" s="91">
        <f t="shared" si="10"/>
        <v>0</v>
      </c>
      <c r="AM52" s="91">
        <f t="shared" si="10"/>
        <v>0</v>
      </c>
      <c r="AN52" s="76">
        <f t="shared" si="11"/>
        <v>0</v>
      </c>
      <c r="AO52" s="76">
        <f t="shared" si="12"/>
        <v>0</v>
      </c>
      <c r="AP52" s="75"/>
      <c r="AQ52" s="77" t="str">
        <f t="shared" si="9"/>
        <v/>
      </c>
      <c r="AR52" s="75"/>
      <c r="AS52" s="78"/>
    </row>
    <row r="53" spans="1:45" s="79" customFormat="1">
      <c r="A53" s="75"/>
      <c r="B53" s="195">
        <v>3</v>
      </c>
      <c r="C53" s="199" t="s">
        <v>12</v>
      </c>
      <c r="D53" s="196">
        <f t="shared" si="13"/>
        <v>0</v>
      </c>
      <c r="E53" s="84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6"/>
      <c r="AG53" s="197">
        <f t="shared" si="10"/>
        <v>0</v>
      </c>
      <c r="AH53" s="197">
        <f t="shared" si="10"/>
        <v>0</v>
      </c>
      <c r="AI53" s="197">
        <f t="shared" si="10"/>
        <v>0</v>
      </c>
      <c r="AJ53" s="197">
        <f t="shared" si="10"/>
        <v>0</v>
      </c>
      <c r="AK53" s="197">
        <f t="shared" si="10"/>
        <v>0</v>
      </c>
      <c r="AL53" s="197">
        <f t="shared" si="10"/>
        <v>0</v>
      </c>
      <c r="AM53" s="197">
        <f t="shared" si="10"/>
        <v>0</v>
      </c>
      <c r="AN53" s="76">
        <f t="shared" si="11"/>
        <v>0</v>
      </c>
      <c r="AO53" s="76">
        <f t="shared" si="12"/>
        <v>0</v>
      </c>
      <c r="AP53" s="75"/>
      <c r="AQ53" s="77" t="str">
        <f t="shared" si="9"/>
        <v/>
      </c>
      <c r="AR53" s="75"/>
      <c r="AS53" s="78"/>
    </row>
    <row r="54" spans="1:45" s="79" customFormat="1">
      <c r="A54" s="75"/>
      <c r="B54" s="92">
        <v>4</v>
      </c>
      <c r="C54" s="2" t="s">
        <v>81</v>
      </c>
      <c r="D54" s="94">
        <f t="shared" si="13"/>
        <v>0</v>
      </c>
      <c r="E54" s="84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6"/>
      <c r="AG54" s="95">
        <f t="shared" si="10"/>
        <v>0</v>
      </c>
      <c r="AH54" s="95">
        <f t="shared" si="10"/>
        <v>0</v>
      </c>
      <c r="AI54" s="95">
        <f t="shared" si="10"/>
        <v>0</v>
      </c>
      <c r="AJ54" s="95">
        <f t="shared" si="10"/>
        <v>0</v>
      </c>
      <c r="AK54" s="95">
        <f t="shared" si="10"/>
        <v>0</v>
      </c>
      <c r="AL54" s="95">
        <f t="shared" si="10"/>
        <v>0</v>
      </c>
      <c r="AM54" s="95">
        <f t="shared" si="10"/>
        <v>0</v>
      </c>
      <c r="AN54" s="76">
        <f t="shared" si="11"/>
        <v>0</v>
      </c>
      <c r="AO54" s="76">
        <f t="shared" si="12"/>
        <v>0</v>
      </c>
      <c r="AP54" s="75"/>
      <c r="AQ54" s="77" t="str">
        <f t="shared" si="9"/>
        <v/>
      </c>
      <c r="AR54" s="75"/>
      <c r="AS54" s="78"/>
    </row>
    <row r="55" spans="1:45" s="79" customFormat="1">
      <c r="A55" s="75"/>
      <c r="B55" s="223">
        <v>8</v>
      </c>
      <c r="C55" s="218" t="s">
        <v>14</v>
      </c>
      <c r="D55" s="224">
        <f t="shared" si="13"/>
        <v>0</v>
      </c>
      <c r="E55" s="84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6"/>
      <c r="AG55" s="227">
        <f t="shared" si="10"/>
        <v>0</v>
      </c>
      <c r="AH55" s="227">
        <f t="shared" si="10"/>
        <v>0</v>
      </c>
      <c r="AI55" s="227">
        <f t="shared" si="10"/>
        <v>0</v>
      </c>
      <c r="AJ55" s="227">
        <f t="shared" si="10"/>
        <v>0</v>
      </c>
      <c r="AK55" s="227">
        <f t="shared" si="10"/>
        <v>0</v>
      </c>
      <c r="AL55" s="227">
        <f t="shared" si="10"/>
        <v>0</v>
      </c>
      <c r="AM55" s="227">
        <f t="shared" si="10"/>
        <v>0</v>
      </c>
      <c r="AN55" s="76">
        <f t="shared" si="11"/>
        <v>0</v>
      </c>
      <c r="AO55" s="76">
        <f t="shared" si="12"/>
        <v>0</v>
      </c>
      <c r="AP55" s="75"/>
      <c r="AQ55" s="77" t="str">
        <f t="shared" si="9"/>
        <v/>
      </c>
      <c r="AR55" s="75"/>
      <c r="AS55" s="78"/>
    </row>
    <row r="56" spans="1:45" s="79" customFormat="1">
      <c r="A56" s="75"/>
      <c r="B56" s="98">
        <v>9</v>
      </c>
      <c r="C56" s="6" t="s">
        <v>82</v>
      </c>
      <c r="D56" s="100">
        <f t="shared" si="13"/>
        <v>0</v>
      </c>
      <c r="E56" s="84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6"/>
      <c r="AG56" s="101">
        <f t="shared" si="10"/>
        <v>0</v>
      </c>
      <c r="AH56" s="101">
        <f t="shared" si="10"/>
        <v>0</v>
      </c>
      <c r="AI56" s="101">
        <f t="shared" si="10"/>
        <v>0</v>
      </c>
      <c r="AJ56" s="101">
        <f t="shared" si="10"/>
        <v>0</v>
      </c>
      <c r="AK56" s="101">
        <f t="shared" si="10"/>
        <v>0</v>
      </c>
      <c r="AL56" s="101">
        <f t="shared" si="10"/>
        <v>0</v>
      </c>
      <c r="AM56" s="101">
        <f t="shared" si="10"/>
        <v>0</v>
      </c>
      <c r="AN56" s="76">
        <f t="shared" si="11"/>
        <v>0</v>
      </c>
      <c r="AO56" s="76">
        <f t="shared" si="12"/>
        <v>0</v>
      </c>
      <c r="AP56" s="75"/>
      <c r="AQ56" s="77" t="str">
        <f t="shared" si="9"/>
        <v/>
      </c>
      <c r="AR56" s="75"/>
      <c r="AS56" s="78"/>
    </row>
    <row r="57" spans="1:45" s="79" customFormat="1">
      <c r="A57" s="75"/>
      <c r="B57" s="222">
        <v>10</v>
      </c>
      <c r="C57" s="213" t="s">
        <v>16</v>
      </c>
      <c r="D57" s="225">
        <f t="shared" si="13"/>
        <v>162</v>
      </c>
      <c r="E57" s="84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6"/>
      <c r="AG57" s="226">
        <f t="shared" si="10"/>
        <v>22.499999999999996</v>
      </c>
      <c r="AH57" s="226">
        <f t="shared" si="10"/>
        <v>29.5</v>
      </c>
      <c r="AI57" s="226">
        <f t="shared" si="10"/>
        <v>31.249999999999993</v>
      </c>
      <c r="AJ57" s="226">
        <f t="shared" si="10"/>
        <v>30.250000000000004</v>
      </c>
      <c r="AK57" s="226">
        <f t="shared" si="10"/>
        <v>34.75</v>
      </c>
      <c r="AL57" s="226">
        <f t="shared" si="10"/>
        <v>35.75</v>
      </c>
      <c r="AM57" s="226">
        <f t="shared" si="10"/>
        <v>31.249999999999989</v>
      </c>
      <c r="AN57" s="76">
        <f t="shared" si="11"/>
        <v>215.25</v>
      </c>
      <c r="AO57" s="76">
        <f t="shared" si="12"/>
        <v>53.25</v>
      </c>
      <c r="AP57" s="75"/>
      <c r="AQ57" s="77" t="str">
        <f t="shared" si="9"/>
        <v>Attenzione: STRAORDINARI</v>
      </c>
      <c r="AR57" s="75"/>
      <c r="AS57" s="78"/>
    </row>
    <row r="58" spans="1:45" s="79" customFormat="1">
      <c r="A58" s="75"/>
      <c r="B58" s="104">
        <v>12</v>
      </c>
      <c r="C58" s="8" t="s">
        <v>17</v>
      </c>
      <c r="D58" s="106">
        <f t="shared" si="13"/>
        <v>0</v>
      </c>
      <c r="E58" s="84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6"/>
      <c r="AG58" s="107">
        <f t="shared" si="10"/>
        <v>0</v>
      </c>
      <c r="AH58" s="107">
        <f t="shared" si="10"/>
        <v>0</v>
      </c>
      <c r="AI58" s="107">
        <f t="shared" si="10"/>
        <v>0</v>
      </c>
      <c r="AJ58" s="107">
        <f t="shared" si="10"/>
        <v>0</v>
      </c>
      <c r="AK58" s="107">
        <f t="shared" si="10"/>
        <v>0</v>
      </c>
      <c r="AL58" s="107">
        <f t="shared" si="10"/>
        <v>6</v>
      </c>
      <c r="AM58" s="107">
        <f t="shared" si="10"/>
        <v>6</v>
      </c>
      <c r="AN58" s="76">
        <f t="shared" si="11"/>
        <v>12</v>
      </c>
      <c r="AO58" s="76">
        <f t="shared" si="12"/>
        <v>12</v>
      </c>
      <c r="AP58" s="75"/>
      <c r="AQ58" s="77" t="str">
        <f t="shared" si="9"/>
        <v>Attenzione: STRAORDINARI</v>
      </c>
      <c r="AR58" s="75"/>
      <c r="AS58" s="78"/>
    </row>
    <row r="59" spans="1:45" s="79" customFormat="1" ht="13.5" thickBot="1">
      <c r="A59" s="75"/>
      <c r="B59" s="108">
        <v>13</v>
      </c>
      <c r="C59" s="156" t="s">
        <v>83</v>
      </c>
      <c r="D59" s="109">
        <f t="shared" si="13"/>
        <v>0</v>
      </c>
      <c r="E59" s="110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2"/>
      <c r="AG59" s="113">
        <f t="shared" si="10"/>
        <v>0</v>
      </c>
      <c r="AH59" s="113">
        <f t="shared" si="10"/>
        <v>0</v>
      </c>
      <c r="AI59" s="113">
        <f t="shared" si="10"/>
        <v>0</v>
      </c>
      <c r="AJ59" s="113">
        <f t="shared" si="10"/>
        <v>0</v>
      </c>
      <c r="AK59" s="113">
        <f t="shared" si="10"/>
        <v>0</v>
      </c>
      <c r="AL59" s="113">
        <f t="shared" si="10"/>
        <v>0</v>
      </c>
      <c r="AM59" s="113">
        <f t="shared" si="10"/>
        <v>0</v>
      </c>
      <c r="AN59" s="114">
        <f t="shared" si="11"/>
        <v>0</v>
      </c>
      <c r="AO59" s="114">
        <f t="shared" si="12"/>
        <v>0</v>
      </c>
      <c r="AP59" s="75"/>
      <c r="AQ59" s="77" t="str">
        <f t="shared" si="9"/>
        <v/>
      </c>
      <c r="AR59" s="75"/>
      <c r="AS59" s="78"/>
    </row>
    <row r="60" spans="1:45" s="125" customFormat="1" ht="13.5" thickBot="1">
      <c r="A60" s="115"/>
      <c r="B60" s="116">
        <f>Incassi!B4</f>
        <v>0</v>
      </c>
      <c r="C60" s="117" t="s">
        <v>19</v>
      </c>
      <c r="D60" s="118">
        <f>SUM(D51:D59)</f>
        <v>162</v>
      </c>
      <c r="E60" s="119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1"/>
      <c r="AG60" s="118">
        <f t="shared" ref="AG60:AM60" si="14">SUM(AG51:AG59)</f>
        <v>22.499999999999996</v>
      </c>
      <c r="AH60" s="118">
        <f t="shared" si="14"/>
        <v>29.5</v>
      </c>
      <c r="AI60" s="118">
        <f t="shared" si="14"/>
        <v>31.249999999999993</v>
      </c>
      <c r="AJ60" s="118">
        <f t="shared" si="14"/>
        <v>30.250000000000004</v>
      </c>
      <c r="AK60" s="118">
        <f t="shared" si="14"/>
        <v>34.75</v>
      </c>
      <c r="AL60" s="118">
        <f t="shared" si="14"/>
        <v>41.75</v>
      </c>
      <c r="AM60" s="118">
        <f t="shared" si="14"/>
        <v>37.249999999999986</v>
      </c>
      <c r="AN60" s="122">
        <f t="shared" si="11"/>
        <v>227.25</v>
      </c>
      <c r="AO60" s="123">
        <f t="shared" si="12"/>
        <v>65.25</v>
      </c>
      <c r="AP60" s="115"/>
      <c r="AQ60" s="77" t="str">
        <f t="shared" si="9"/>
        <v>Attenzione: STRAORDINARI</v>
      </c>
      <c r="AR60" s="115"/>
      <c r="AS60" s="124"/>
    </row>
    <row r="61" spans="1:45" ht="19.5" thickBot="1">
      <c r="A61" s="50"/>
      <c r="B61" s="176" t="s">
        <v>39</v>
      </c>
      <c r="C61" s="126" t="s">
        <v>40</v>
      </c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4"/>
      <c r="AH61" s="54"/>
      <c r="AI61" s="54"/>
      <c r="AJ61" s="54"/>
      <c r="AK61" s="54"/>
      <c r="AL61" s="54"/>
      <c r="AM61" s="54"/>
      <c r="AN61" s="50"/>
      <c r="AO61" s="50"/>
      <c r="AP61" s="50"/>
      <c r="AQ61" s="55"/>
      <c r="AR61" s="50"/>
      <c r="AS61" s="45"/>
    </row>
    <row r="62" spans="1:45" ht="14.25" thickTop="1" thickBot="1">
      <c r="A62" s="50"/>
      <c r="B62" s="127"/>
      <c r="C62" s="50" t="s">
        <v>21</v>
      </c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4"/>
      <c r="AH62" s="54"/>
      <c r="AI62" s="54"/>
      <c r="AJ62" s="54"/>
      <c r="AK62" s="54"/>
      <c r="AL62" s="54"/>
      <c r="AM62" s="54"/>
      <c r="AN62" s="50"/>
      <c r="AO62" s="50"/>
      <c r="AP62" s="50"/>
      <c r="AQ62" s="55"/>
      <c r="AR62" s="50"/>
      <c r="AS62" s="45"/>
    </row>
    <row r="63" spans="1:45" ht="14.25" thickTop="1" thickBot="1">
      <c r="A63" s="50"/>
      <c r="B63" s="128"/>
      <c r="C63" s="50" t="s">
        <v>52</v>
      </c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4"/>
      <c r="AH63" s="54"/>
      <c r="AI63" s="54"/>
      <c r="AJ63" s="54"/>
      <c r="AK63" s="54"/>
      <c r="AL63" s="54"/>
      <c r="AM63" s="54"/>
      <c r="AN63" s="50"/>
      <c r="AO63" s="50"/>
      <c r="AP63" s="50"/>
      <c r="AQ63" s="55"/>
      <c r="AR63" s="50"/>
      <c r="AS63" s="45"/>
    </row>
    <row r="64" spans="1:45" ht="14.25" thickTop="1" thickBot="1">
      <c r="A64" s="50"/>
      <c r="B64" s="129"/>
      <c r="C64" s="50" t="s">
        <v>22</v>
      </c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4"/>
      <c r="AH64" s="54"/>
      <c r="AI64" s="54"/>
      <c r="AJ64" s="54"/>
      <c r="AK64" s="54"/>
      <c r="AL64" s="54"/>
      <c r="AM64" s="54"/>
      <c r="AN64" s="50"/>
      <c r="AO64" s="50"/>
      <c r="AP64" s="50"/>
      <c r="AQ64" s="55"/>
      <c r="AR64" s="50"/>
      <c r="AS64" s="45"/>
    </row>
    <row r="65" spans="1:45" ht="14.25" thickTop="1" thickBot="1">
      <c r="A65" s="50"/>
      <c r="B65" s="175"/>
      <c r="C65" s="50" t="s">
        <v>38</v>
      </c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4"/>
      <c r="AH65" s="54"/>
      <c r="AI65" s="54"/>
      <c r="AJ65" s="54"/>
      <c r="AK65" s="54"/>
      <c r="AL65" s="54"/>
      <c r="AM65" s="54"/>
      <c r="AN65" s="50"/>
      <c r="AO65" s="50"/>
      <c r="AP65" s="50"/>
      <c r="AQ65" s="55"/>
      <c r="AR65" s="50"/>
      <c r="AS65" s="45"/>
    </row>
    <row r="66" spans="1:45" ht="13.5" thickTop="1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4"/>
      <c r="AH66" s="54"/>
      <c r="AI66" s="54"/>
      <c r="AJ66" s="54"/>
      <c r="AK66" s="54"/>
      <c r="AL66" s="54"/>
      <c r="AM66" s="54"/>
      <c r="AN66" s="50"/>
      <c r="AO66" s="50"/>
      <c r="AP66" s="50"/>
      <c r="AQ66" s="55"/>
      <c r="AR66" s="50"/>
      <c r="AS66" s="45"/>
    </row>
    <row r="67" spans="1:4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7"/>
      <c r="AH67" s="47"/>
      <c r="AI67" s="47"/>
      <c r="AJ67" s="47"/>
      <c r="AK67" s="47"/>
      <c r="AL67" s="47"/>
      <c r="AM67" s="47"/>
      <c r="AN67" s="45"/>
      <c r="AO67" s="45"/>
      <c r="AP67" s="45"/>
      <c r="AQ67" s="48"/>
      <c r="AR67" s="45"/>
      <c r="AS67" s="45"/>
    </row>
    <row r="68" spans="1:45" ht="6" customHeight="1"/>
    <row r="69" spans="1:45">
      <c r="AE69" s="81" t="s">
        <v>10</v>
      </c>
      <c r="AF69" s="82"/>
      <c r="AG69" s="160" t="e">
        <f>AG51/$AN51*100</f>
        <v>#DIV/0!</v>
      </c>
      <c r="AH69" s="160" t="e">
        <f t="shared" ref="AH69:AM69" si="15">AH51/$AN51*100</f>
        <v>#DIV/0!</v>
      </c>
      <c r="AI69" s="160" t="e">
        <f t="shared" si="15"/>
        <v>#DIV/0!</v>
      </c>
      <c r="AJ69" s="160" t="e">
        <f t="shared" si="15"/>
        <v>#DIV/0!</v>
      </c>
      <c r="AK69" s="160" t="e">
        <f t="shared" si="15"/>
        <v>#DIV/0!</v>
      </c>
      <c r="AL69" s="160" t="e">
        <f t="shared" si="15"/>
        <v>#DIV/0!</v>
      </c>
      <c r="AM69" s="160" t="e">
        <f t="shared" si="15"/>
        <v>#DIV/0!</v>
      </c>
      <c r="AN69" s="76" t="e">
        <f t="shared" ref="AN69:AN78" si="16">SUM(AG69:AM69)</f>
        <v>#DIV/0!</v>
      </c>
    </row>
    <row r="70" spans="1:45">
      <c r="AE70" s="88" t="s">
        <v>11</v>
      </c>
      <c r="AF70" s="89"/>
      <c r="AG70" s="161" t="e">
        <f t="shared" ref="AG70:AM70" si="17">AG52/$AN52*100</f>
        <v>#DIV/0!</v>
      </c>
      <c r="AH70" s="161" t="e">
        <f t="shared" si="17"/>
        <v>#DIV/0!</v>
      </c>
      <c r="AI70" s="161" t="e">
        <f t="shared" si="17"/>
        <v>#DIV/0!</v>
      </c>
      <c r="AJ70" s="161" t="e">
        <f t="shared" si="17"/>
        <v>#DIV/0!</v>
      </c>
      <c r="AK70" s="161" t="e">
        <f t="shared" si="17"/>
        <v>#DIV/0!</v>
      </c>
      <c r="AL70" s="161" t="e">
        <f t="shared" si="17"/>
        <v>#DIV/0!</v>
      </c>
      <c r="AM70" s="161" t="e">
        <f t="shared" si="17"/>
        <v>#DIV/0!</v>
      </c>
      <c r="AN70" s="76" t="e">
        <f t="shared" si="16"/>
        <v>#DIV/0!</v>
      </c>
    </row>
    <row r="71" spans="1:45">
      <c r="AE71" s="92" t="s">
        <v>12</v>
      </c>
      <c r="AF71" s="93"/>
      <c r="AG71" s="162" t="e">
        <f t="shared" ref="AG71:AM71" si="18">AG53/$AN53*100</f>
        <v>#DIV/0!</v>
      </c>
      <c r="AH71" s="162" t="e">
        <f t="shared" si="18"/>
        <v>#DIV/0!</v>
      </c>
      <c r="AI71" s="162" t="e">
        <f t="shared" si="18"/>
        <v>#DIV/0!</v>
      </c>
      <c r="AJ71" s="162" t="e">
        <f t="shared" si="18"/>
        <v>#DIV/0!</v>
      </c>
      <c r="AK71" s="162" t="e">
        <f t="shared" si="18"/>
        <v>#DIV/0!</v>
      </c>
      <c r="AL71" s="162" t="e">
        <f t="shared" si="18"/>
        <v>#DIV/0!</v>
      </c>
      <c r="AM71" s="162" t="e">
        <f t="shared" si="18"/>
        <v>#DIV/0!</v>
      </c>
      <c r="AN71" s="76" t="e">
        <f t="shared" si="16"/>
        <v>#DIV/0!</v>
      </c>
    </row>
    <row r="72" spans="1:45">
      <c r="AE72" s="92" t="s">
        <v>13</v>
      </c>
      <c r="AF72" s="93"/>
      <c r="AG72" s="162" t="e">
        <f t="shared" ref="AG72:AM72" si="19">AG54/$AN54*100</f>
        <v>#DIV/0!</v>
      </c>
      <c r="AH72" s="162" t="e">
        <f t="shared" si="19"/>
        <v>#DIV/0!</v>
      </c>
      <c r="AI72" s="162" t="e">
        <f t="shared" si="19"/>
        <v>#DIV/0!</v>
      </c>
      <c r="AJ72" s="162" t="e">
        <f t="shared" si="19"/>
        <v>#DIV/0!</v>
      </c>
      <c r="AK72" s="162" t="e">
        <f t="shared" si="19"/>
        <v>#DIV/0!</v>
      </c>
      <c r="AL72" s="162" t="e">
        <f t="shared" si="19"/>
        <v>#DIV/0!</v>
      </c>
      <c r="AM72" s="162" t="e">
        <f t="shared" si="19"/>
        <v>#DIV/0!</v>
      </c>
      <c r="AN72" s="76" t="e">
        <f t="shared" si="16"/>
        <v>#DIV/0!</v>
      </c>
    </row>
    <row r="73" spans="1:45">
      <c r="AE73" s="96" t="s">
        <v>14</v>
      </c>
      <c r="AF73" s="97"/>
      <c r="AG73" s="163" t="e">
        <f t="shared" ref="AG73:AM73" si="20">AG55/$AN55*100</f>
        <v>#DIV/0!</v>
      </c>
      <c r="AH73" s="163" t="e">
        <f t="shared" si="20"/>
        <v>#DIV/0!</v>
      </c>
      <c r="AI73" s="163" t="e">
        <f t="shared" si="20"/>
        <v>#DIV/0!</v>
      </c>
      <c r="AJ73" s="163" t="e">
        <f t="shared" si="20"/>
        <v>#DIV/0!</v>
      </c>
      <c r="AK73" s="163" t="e">
        <f t="shared" si="20"/>
        <v>#DIV/0!</v>
      </c>
      <c r="AL73" s="163" t="e">
        <f t="shared" si="20"/>
        <v>#DIV/0!</v>
      </c>
      <c r="AM73" s="163" t="e">
        <f t="shared" si="20"/>
        <v>#DIV/0!</v>
      </c>
      <c r="AN73" s="76" t="e">
        <f t="shared" si="16"/>
        <v>#DIV/0!</v>
      </c>
    </row>
    <row r="74" spans="1:45">
      <c r="AE74" s="98" t="s">
        <v>15</v>
      </c>
      <c r="AF74" s="99"/>
      <c r="AG74" s="164" t="e">
        <f t="shared" ref="AG74:AM74" si="21">AG56/$AN56*100</f>
        <v>#DIV/0!</v>
      </c>
      <c r="AH74" s="164" t="e">
        <f t="shared" si="21"/>
        <v>#DIV/0!</v>
      </c>
      <c r="AI74" s="164" t="e">
        <f t="shared" si="21"/>
        <v>#DIV/0!</v>
      </c>
      <c r="AJ74" s="164" t="e">
        <f t="shared" si="21"/>
        <v>#DIV/0!</v>
      </c>
      <c r="AK74" s="164" t="e">
        <f t="shared" si="21"/>
        <v>#DIV/0!</v>
      </c>
      <c r="AL74" s="164" t="e">
        <f t="shared" si="21"/>
        <v>#DIV/0!</v>
      </c>
      <c r="AM74" s="164" t="e">
        <f t="shared" si="21"/>
        <v>#DIV/0!</v>
      </c>
      <c r="AN74" s="76" t="e">
        <f t="shared" si="16"/>
        <v>#DIV/0!</v>
      </c>
    </row>
    <row r="75" spans="1:45">
      <c r="AE75" s="102" t="s">
        <v>16</v>
      </c>
      <c r="AF75" s="103"/>
      <c r="AG75" s="165">
        <f t="shared" ref="AG75:AM75" si="22">AG57/$AN57*100</f>
        <v>10.452961672473867</v>
      </c>
      <c r="AH75" s="165">
        <f t="shared" si="22"/>
        <v>13.704994192799072</v>
      </c>
      <c r="AI75" s="165">
        <f t="shared" si="22"/>
        <v>14.518002322880369</v>
      </c>
      <c r="AJ75" s="165">
        <f t="shared" si="22"/>
        <v>14.053426248548201</v>
      </c>
      <c r="AK75" s="165">
        <f t="shared" si="22"/>
        <v>16.144018583042975</v>
      </c>
      <c r="AL75" s="165">
        <f t="shared" si="22"/>
        <v>16.608594657375146</v>
      </c>
      <c r="AM75" s="165">
        <f t="shared" si="22"/>
        <v>14.518002322880367</v>
      </c>
      <c r="AN75" s="76">
        <f t="shared" si="16"/>
        <v>100</v>
      </c>
    </row>
    <row r="76" spans="1:45" hidden="1" outlineLevel="1">
      <c r="C76" s="309">
        <f ca="1">TODAY()</f>
        <v>45976</v>
      </c>
      <c r="D76" s="49" t="str">
        <f t="shared" ref="D76:D97" ca="1" si="23">TEXT(C76,"GGG")</f>
        <v>sab</v>
      </c>
      <c r="AE76" s="104" t="s">
        <v>17</v>
      </c>
      <c r="AF76" s="105"/>
      <c r="AG76" s="166">
        <f t="shared" ref="AG76:AM76" si="24">AG58/$AN58*100</f>
        <v>0</v>
      </c>
      <c r="AH76" s="166">
        <f t="shared" si="24"/>
        <v>0</v>
      </c>
      <c r="AI76" s="166">
        <f t="shared" si="24"/>
        <v>0</v>
      </c>
      <c r="AJ76" s="166">
        <f t="shared" si="24"/>
        <v>0</v>
      </c>
      <c r="AK76" s="166">
        <f t="shared" si="24"/>
        <v>0</v>
      </c>
      <c r="AL76" s="166">
        <f t="shared" si="24"/>
        <v>50</v>
      </c>
      <c r="AM76" s="166">
        <f t="shared" si="24"/>
        <v>50</v>
      </c>
      <c r="AN76" s="76">
        <f t="shared" si="16"/>
        <v>100</v>
      </c>
    </row>
    <row r="77" spans="1:45" ht="13.5" hidden="1" outlineLevel="1" thickBot="1">
      <c r="C77" s="308">
        <f ca="1">IF(D76="lun",C76+6,IF(D76="mar",C76+5,IF(D76="mer",C76+4,IF(D76="gio",C76+3,IF(D76="ven",C76+2,IF(D76="sab",C76+1,C76))))))</f>
        <v>45977</v>
      </c>
      <c r="D77" s="49" t="str">
        <f t="shared" ca="1" si="23"/>
        <v>dom</v>
      </c>
      <c r="AE77" s="171" t="s">
        <v>18</v>
      </c>
      <c r="AF77" s="172"/>
      <c r="AG77" s="167" t="e">
        <f t="shared" ref="AG77:AM77" si="25">AG59/$AN59*100</f>
        <v>#DIV/0!</v>
      </c>
      <c r="AH77" s="167" t="e">
        <f t="shared" si="25"/>
        <v>#DIV/0!</v>
      </c>
      <c r="AI77" s="167" t="e">
        <f t="shared" si="25"/>
        <v>#DIV/0!</v>
      </c>
      <c r="AJ77" s="167" t="e">
        <f t="shared" si="25"/>
        <v>#DIV/0!</v>
      </c>
      <c r="AK77" s="167" t="e">
        <f t="shared" si="25"/>
        <v>#DIV/0!</v>
      </c>
      <c r="AL77" s="167" t="e">
        <f t="shared" si="25"/>
        <v>#DIV/0!</v>
      </c>
      <c r="AM77" s="167" t="e">
        <f t="shared" si="25"/>
        <v>#DIV/0!</v>
      </c>
      <c r="AN77" s="114" t="e">
        <f t="shared" si="16"/>
        <v>#DIV/0!</v>
      </c>
    </row>
    <row r="78" spans="1:45" ht="13.5" hidden="1" outlineLevel="1" thickBot="1">
      <c r="C78" s="310">
        <f ca="1">C77-14</f>
        <v>45963</v>
      </c>
      <c r="D78" s="50" t="str">
        <f t="shared" ca="1" si="23"/>
        <v>dom</v>
      </c>
      <c r="AE78" s="170" t="s">
        <v>19</v>
      </c>
      <c r="AF78" s="117"/>
      <c r="AG78" s="168">
        <f t="shared" ref="AG78:AM78" si="26">AG60/$AN60*100</f>
        <v>9.9009900990099009</v>
      </c>
      <c r="AH78" s="159">
        <f t="shared" si="26"/>
        <v>12.981298129812982</v>
      </c>
      <c r="AI78" s="159">
        <f t="shared" si="26"/>
        <v>13.751375137513749</v>
      </c>
      <c r="AJ78" s="159">
        <f t="shared" si="26"/>
        <v>13.311331133113313</v>
      </c>
      <c r="AK78" s="159">
        <f t="shared" si="26"/>
        <v>15.291529152915292</v>
      </c>
      <c r="AL78" s="159">
        <f t="shared" si="26"/>
        <v>18.371837183718373</v>
      </c>
      <c r="AM78" s="159">
        <f t="shared" si="26"/>
        <v>16.391639163916384</v>
      </c>
      <c r="AN78" s="169">
        <f t="shared" si="16"/>
        <v>99.999999999999986</v>
      </c>
    </row>
    <row r="79" spans="1:45" hidden="1" outlineLevel="1">
      <c r="C79" s="310">
        <f t="shared" ref="C79:C97" ca="1" si="27">+C78+7</f>
        <v>45970</v>
      </c>
      <c r="D79" s="50" t="str">
        <f t="shared" ca="1" si="23"/>
        <v>dom</v>
      </c>
    </row>
    <row r="80" spans="1:45" hidden="1" outlineLevel="1">
      <c r="C80" s="310">
        <f t="shared" ca="1" si="27"/>
        <v>45977</v>
      </c>
      <c r="D80" s="50" t="str">
        <f t="shared" ca="1" si="23"/>
        <v>dom</v>
      </c>
    </row>
    <row r="81" spans="3:4" hidden="1" outlineLevel="1">
      <c r="C81" s="310">
        <f t="shared" ca="1" si="27"/>
        <v>45984</v>
      </c>
      <c r="D81" s="50" t="str">
        <f t="shared" ca="1" si="23"/>
        <v>dom</v>
      </c>
    </row>
    <row r="82" spans="3:4" hidden="1" outlineLevel="1">
      <c r="C82" s="310">
        <f t="shared" ca="1" si="27"/>
        <v>45991</v>
      </c>
      <c r="D82" s="50" t="str">
        <f t="shared" ca="1" si="23"/>
        <v>dom</v>
      </c>
    </row>
    <row r="83" spans="3:4" hidden="1" outlineLevel="1">
      <c r="C83" s="310">
        <f t="shared" ca="1" si="27"/>
        <v>45998</v>
      </c>
      <c r="D83" s="50" t="str">
        <f t="shared" ca="1" si="23"/>
        <v>dom</v>
      </c>
    </row>
    <row r="84" spans="3:4" hidden="1" outlineLevel="1">
      <c r="C84" s="310">
        <f t="shared" ca="1" si="27"/>
        <v>46005</v>
      </c>
      <c r="D84" s="50" t="str">
        <f t="shared" ca="1" si="23"/>
        <v>dom</v>
      </c>
    </row>
    <row r="85" spans="3:4" hidden="1" outlineLevel="1">
      <c r="C85" s="310">
        <f t="shared" ca="1" si="27"/>
        <v>46012</v>
      </c>
      <c r="D85" s="50" t="str">
        <f t="shared" ca="1" si="23"/>
        <v>dom</v>
      </c>
    </row>
    <row r="86" spans="3:4" hidden="1" outlineLevel="1">
      <c r="C86" s="310">
        <f t="shared" ca="1" si="27"/>
        <v>46019</v>
      </c>
      <c r="D86" s="50" t="str">
        <f t="shared" ca="1" si="23"/>
        <v>dom</v>
      </c>
    </row>
    <row r="87" spans="3:4" hidden="1" outlineLevel="1">
      <c r="C87" s="310">
        <f t="shared" ca="1" si="27"/>
        <v>46026</v>
      </c>
      <c r="D87" s="50" t="str">
        <f t="shared" ca="1" si="23"/>
        <v>dom</v>
      </c>
    </row>
    <row r="88" spans="3:4" hidden="1" outlineLevel="1">
      <c r="C88" s="310">
        <f t="shared" ca="1" si="27"/>
        <v>46033</v>
      </c>
      <c r="D88" s="50" t="str">
        <f t="shared" ca="1" si="23"/>
        <v>dom</v>
      </c>
    </row>
    <row r="89" spans="3:4" hidden="1" outlineLevel="1">
      <c r="C89" s="310">
        <f t="shared" ca="1" si="27"/>
        <v>46040</v>
      </c>
      <c r="D89" s="50" t="str">
        <f t="shared" ca="1" si="23"/>
        <v>dom</v>
      </c>
    </row>
    <row r="90" spans="3:4" hidden="1" outlineLevel="1">
      <c r="C90" s="310">
        <f t="shared" ca="1" si="27"/>
        <v>46047</v>
      </c>
      <c r="D90" s="50" t="str">
        <f t="shared" ca="1" si="23"/>
        <v>dom</v>
      </c>
    </row>
    <row r="91" spans="3:4" hidden="1" outlineLevel="1">
      <c r="C91" s="310">
        <f t="shared" ca="1" si="27"/>
        <v>46054</v>
      </c>
      <c r="D91" s="50" t="str">
        <f t="shared" ca="1" si="23"/>
        <v>dom</v>
      </c>
    </row>
    <row r="92" spans="3:4" hidden="1" outlineLevel="1">
      <c r="C92" s="310">
        <f t="shared" ca="1" si="27"/>
        <v>46061</v>
      </c>
      <c r="D92" s="50" t="str">
        <f t="shared" ca="1" si="23"/>
        <v>dom</v>
      </c>
    </row>
    <row r="93" spans="3:4" hidden="1" outlineLevel="1">
      <c r="C93" s="310">
        <f t="shared" ca="1" si="27"/>
        <v>46068</v>
      </c>
      <c r="D93" s="50" t="str">
        <f t="shared" ca="1" si="23"/>
        <v>dom</v>
      </c>
    </row>
    <row r="94" spans="3:4" hidden="1" outlineLevel="1">
      <c r="C94" s="310">
        <f t="shared" ca="1" si="27"/>
        <v>46075</v>
      </c>
      <c r="D94" s="50" t="str">
        <f t="shared" ca="1" si="23"/>
        <v>dom</v>
      </c>
    </row>
    <row r="95" spans="3:4" hidden="1" outlineLevel="1">
      <c r="C95" s="310">
        <f t="shared" ca="1" si="27"/>
        <v>46082</v>
      </c>
      <c r="D95" s="50" t="str">
        <f t="shared" ca="1" si="23"/>
        <v>dom</v>
      </c>
    </row>
    <row r="96" spans="3:4" hidden="1" outlineLevel="1">
      <c r="C96" s="310">
        <f t="shared" ca="1" si="27"/>
        <v>46089</v>
      </c>
      <c r="D96" s="50" t="str">
        <f t="shared" ca="1" si="23"/>
        <v>dom</v>
      </c>
    </row>
    <row r="97" spans="2:4" hidden="1" outlineLevel="1">
      <c r="C97" s="310">
        <f t="shared" ca="1" si="27"/>
        <v>46096</v>
      </c>
      <c r="D97" s="50" t="str">
        <f t="shared" ca="1" si="23"/>
        <v>dom</v>
      </c>
    </row>
    <row r="98" spans="2:4" hidden="1" outlineLevel="1">
      <c r="B98" s="49" t="s">
        <v>76</v>
      </c>
      <c r="C98" s="49" t="s">
        <v>77</v>
      </c>
      <c r="D98" s="49" t="s">
        <v>78</v>
      </c>
    </row>
    <row r="99" spans="2:4" hidden="1" outlineLevel="1">
      <c r="B99" s="316">
        <f>Incassi!B4</f>
        <v>0</v>
      </c>
      <c r="C99" s="314" t="s">
        <v>64</v>
      </c>
      <c r="D99" s="314">
        <v>1</v>
      </c>
    </row>
    <row r="100" spans="2:4" hidden="1" outlineLevel="1">
      <c r="B100" s="313"/>
      <c r="C100" s="314" t="s">
        <v>65</v>
      </c>
      <c r="D100" s="314">
        <v>2</v>
      </c>
    </row>
    <row r="101" spans="2:4" hidden="1" outlineLevel="1">
      <c r="B101" s="313"/>
      <c r="C101" s="314" t="s">
        <v>66</v>
      </c>
      <c r="D101" s="314">
        <v>3</v>
      </c>
    </row>
    <row r="102" spans="2:4" hidden="1" outlineLevel="1">
      <c r="B102" s="313"/>
      <c r="C102" s="314" t="s">
        <v>67</v>
      </c>
      <c r="D102" s="314">
        <v>4</v>
      </c>
    </row>
    <row r="103" spans="2:4" hidden="1" outlineLevel="1">
      <c r="B103" s="313"/>
      <c r="C103" s="314" t="s">
        <v>68</v>
      </c>
      <c r="D103" s="314">
        <v>5</v>
      </c>
    </row>
    <row r="104" spans="2:4" hidden="1" outlineLevel="1">
      <c r="B104" s="314"/>
      <c r="C104" s="314" t="s">
        <v>69</v>
      </c>
      <c r="D104" s="314">
        <v>6</v>
      </c>
    </row>
    <row r="105" spans="2:4" hidden="1" outlineLevel="1">
      <c r="B105" s="314"/>
      <c r="C105" s="314" t="s">
        <v>70</v>
      </c>
      <c r="D105" s="314">
        <v>8</v>
      </c>
    </row>
    <row r="106" spans="2:4" hidden="1" outlineLevel="1">
      <c r="B106" s="202"/>
      <c r="C106" s="314" t="s">
        <v>71</v>
      </c>
      <c r="D106" s="314">
        <v>9</v>
      </c>
    </row>
    <row r="107" spans="2:4" hidden="1" outlineLevel="1">
      <c r="B107" s="202"/>
      <c r="C107" s="314" t="s">
        <v>72</v>
      </c>
      <c r="D107" s="314">
        <v>12</v>
      </c>
    </row>
    <row r="108" spans="2:4" hidden="1" outlineLevel="1">
      <c r="B108" s="202"/>
      <c r="C108" s="314" t="s">
        <v>73</v>
      </c>
      <c r="D108" s="314">
        <v>25</v>
      </c>
    </row>
    <row r="109" spans="2:4" hidden="1" outlineLevel="1">
      <c r="B109" s="202"/>
      <c r="C109" s="314" t="s">
        <v>63</v>
      </c>
      <c r="D109" s="314">
        <v>26</v>
      </c>
    </row>
    <row r="110" spans="2:4" hidden="1" outlineLevel="1">
      <c r="B110" s="202"/>
      <c r="C110" s="314" t="s">
        <v>74</v>
      </c>
      <c r="D110" s="314">
        <v>28</v>
      </c>
    </row>
    <row r="111" spans="2:4" hidden="1" outlineLevel="1">
      <c r="B111" s="202"/>
      <c r="C111" s="314" t="s">
        <v>75</v>
      </c>
      <c r="D111" s="202"/>
    </row>
    <row r="112" spans="2:4" collapsed="1"/>
  </sheetData>
  <sheetProtection algorithmName="SHA-512" hashValue="WEAR5kzlOvPuPjTTpjvzqmjFqoNrd4hs9hXwPEAWxc3FbamFR74WJVq100GlDUSa6uoHU0L8vGjLchjtprCfjg==" saltValue="iT7URztOyGqpqjc+pF25rA==" spinCount="100000" sheet="1" objects="1" scenarios="1"/>
  <autoFilter ref="B9:D65" xr:uid="{00000000-0009-0000-0000-000000000000}"/>
  <mergeCells count="24">
    <mergeCell ref="I7:L7"/>
    <mergeCell ref="AQ8:AQ9"/>
    <mergeCell ref="AQ4:AQ6"/>
    <mergeCell ref="AO8:AO9"/>
    <mergeCell ref="M8:P8"/>
    <mergeCell ref="Q8:T8"/>
    <mergeCell ref="AG8:AM8"/>
    <mergeCell ref="Y8:AB8"/>
    <mergeCell ref="E3:F3"/>
    <mergeCell ref="A8:A9"/>
    <mergeCell ref="AG4:AO6"/>
    <mergeCell ref="G5:K5"/>
    <mergeCell ref="M7:P7"/>
    <mergeCell ref="Q7:T7"/>
    <mergeCell ref="AN8:AN9"/>
    <mergeCell ref="AC8:AF8"/>
    <mergeCell ref="U8:X8"/>
    <mergeCell ref="E8:H8"/>
    <mergeCell ref="I8:L8"/>
    <mergeCell ref="C4:C5"/>
    <mergeCell ref="U7:X7"/>
    <mergeCell ref="Y7:AB7"/>
    <mergeCell ref="AC7:AF7"/>
    <mergeCell ref="E7:H7"/>
  </mergeCells>
  <phoneticPr fontId="0" type="noConversion"/>
  <conditionalFormatting sqref="X10:X49">
    <cfRule type="expression" dxfId="20" priority="14" stopIfTrue="1">
      <formula>MAX(U10:X10)-MIN(U10:X10)&gt;13</formula>
    </cfRule>
  </conditionalFormatting>
  <conditionalFormatting sqref="AN10:AN49">
    <cfRule type="cellIs" dxfId="19" priority="2" stopIfTrue="1" operator="greaterThan">
      <formula>48</formula>
    </cfRule>
  </conditionalFormatting>
  <conditionalFormatting sqref="M10:M49 U10:U49 AC10:AC49">
    <cfRule type="cellIs" dxfId="18" priority="17" stopIfTrue="1" operator="equal">
      <formula>0</formula>
    </cfRule>
    <cfRule type="expression" dxfId="17" priority="18" stopIfTrue="1">
      <formula>24-MAX(I10:L10)+MIN(M10:P10)&lt;11</formula>
    </cfRule>
  </conditionalFormatting>
  <conditionalFormatting sqref="I10:I49 Q10:Q49 Y10:Y49">
    <cfRule type="cellIs" dxfId="16" priority="19" stopIfTrue="1" operator="equal">
      <formula>0</formula>
    </cfRule>
    <cfRule type="expression" dxfId="15" priority="20" stopIfTrue="1">
      <formula>24-MAX(E10:H10)+MIN(I10:L10)&lt;11</formula>
    </cfRule>
  </conditionalFormatting>
  <conditionalFormatting sqref="AB10:AB49 P10:P49 AF10:AF49 L10:L49 T10:T49 H10:H49">
    <cfRule type="expression" dxfId="14" priority="21" stopIfTrue="1">
      <formula>MAX(E10:H10)-MIN(E10:H10)&gt;13</formula>
    </cfRule>
  </conditionalFormatting>
  <conditionalFormatting sqref="AG10:AM49">
    <cfRule type="expression" dxfId="13" priority="22" stopIfTrue="1">
      <formula>(COUNTIF($AG10:$AM10,"&gt;0"))&gt;6</formula>
    </cfRule>
  </conditionalFormatting>
  <dataValidations xWindow="181" yWindow="237" count="5">
    <dataValidation type="list" allowBlank="1" showInputMessage="1" showErrorMessage="1" sqref="B10:B49" xr:uid="{00000000-0002-0000-0000-000000000000}">
      <formula1>"01,02,03,04,08,09,10,12,13"</formula1>
    </dataValidation>
    <dataValidation type="list" allowBlank="1" sqref="E10:AF49" xr:uid="{00000000-0002-0000-0000-000001000000}">
      <formula1>"F,P,MAL,L.104,INF,RIP"</formula1>
    </dataValidation>
    <dataValidation type="list" allowBlank="1" showInputMessage="1" showErrorMessage="1" prompt="SELEZIONA LA DATA CLICCANDO SULLA FINESTRA A TENDINA" sqref="C2" xr:uid="{00000000-0002-0000-0000-000002000000}">
      <formula1>$C$78:$C$97</formula1>
    </dataValidation>
    <dataValidation type="list" allowBlank="1" prompt="Indica i reparti della pianificazione" sqref="G5:K5" xr:uid="{00000000-0002-0000-0000-000003000000}">
      <formula1>$AW$11:$AW$20</formula1>
    </dataValidation>
    <dataValidation type="list" allowBlank="1" showInputMessage="1" showErrorMessage="1" error="***ATTENZIONE***_x000a_LA SETTIMANA LAVORATIVA INIZIA CON LA DOMENICA!_x000a_SELEZIONA CORRETTAMENTE LA DATA." sqref="E8:H8" xr:uid="{00000000-0002-0000-0000-000004000000}">
      <formula1>"DOMENICA"</formula1>
    </dataValidation>
  </dataValidations>
  <hyperlinks>
    <hyperlink ref="E8:H8" location="DOM!H6" display="DOM!H6" xr:uid="{00000000-0004-0000-0000-000000000000}"/>
    <hyperlink ref="I8:L8" location="LUN!H6" display="LUN!H6" xr:uid="{00000000-0004-0000-0000-000001000000}"/>
    <hyperlink ref="M8:P8" location="MAR!H6" display="MAR!H6" xr:uid="{00000000-0004-0000-0000-000002000000}"/>
    <hyperlink ref="Q8:T8" location="MER!H6" display="MER!H6" xr:uid="{00000000-0004-0000-0000-000003000000}"/>
    <hyperlink ref="U8:X8" location="GIO!H6" display="GIO!H6" xr:uid="{00000000-0004-0000-0000-000004000000}"/>
    <hyperlink ref="Y8:AB8" location="VEN!H6" display="VEN!H6" xr:uid="{00000000-0004-0000-0000-000005000000}"/>
    <hyperlink ref="AC8:AF8" location="SAB!H6" display="SAB!H6" xr:uid="{00000000-0004-0000-0000-000006000000}"/>
  </hyperlinks>
  <printOptions horizontalCentered="1"/>
  <pageMargins left="3.937007874015748E-2" right="3.937007874015748E-2" top="0.55118110236220474" bottom="0.55118110236220474" header="0.11811023622047245" footer="0.11811023622047245"/>
  <pageSetup paperSize="8" scale="69" orientation="landscape" r:id="rId1"/>
  <headerFooter>
    <oddFooter>&amp;L&amp;D - &amp;T&amp;R&amp;F</oddFooter>
  </headerFooter>
  <drawing r:id="rId2"/>
  <legacyDrawing r:id="rId3"/>
  <controls>
    <mc:AlternateContent xmlns:mc="http://schemas.openxmlformats.org/markup-compatibility/2006">
      <mc:Choice Requires="x14">
        <control shapeId="2665" r:id="rId4" name="Image1">
          <controlPr locked="0" defaultSize="0" autoLine="0" r:id="rId5">
            <anchor moveWithCells="1">
              <from>
                <xdr:col>2</xdr:col>
                <xdr:colOff>238125</xdr:colOff>
                <xdr:row>3</xdr:row>
                <xdr:rowOff>19050</xdr:rowOff>
              </from>
              <to>
                <xdr:col>2</xdr:col>
                <xdr:colOff>704850</xdr:colOff>
                <xdr:row>5</xdr:row>
                <xdr:rowOff>38100</xdr:rowOff>
              </to>
            </anchor>
          </controlPr>
        </control>
      </mc:Choice>
      <mc:Fallback>
        <control shapeId="2665" r:id="rId4" name="Image1"/>
      </mc:Fallback>
    </mc:AlternateContent>
    <mc:AlternateContent xmlns:mc="http://schemas.openxmlformats.org/markup-compatibility/2006">
      <mc:Choice Requires="x14">
        <control shapeId="2662" r:id="rId6" name="CommandButton2">
          <controlPr defaultSize="0" autoLine="0" r:id="rId7">
            <anchor moveWithCells="1">
              <from>
                <xdr:col>42</xdr:col>
                <xdr:colOff>857250</xdr:colOff>
                <xdr:row>3</xdr:row>
                <xdr:rowOff>66675</xdr:rowOff>
              </from>
              <to>
                <xdr:col>42</xdr:col>
                <xdr:colOff>1333500</xdr:colOff>
                <xdr:row>5</xdr:row>
                <xdr:rowOff>0</xdr:rowOff>
              </to>
            </anchor>
          </controlPr>
        </control>
      </mc:Choice>
      <mc:Fallback>
        <control shapeId="2662" r:id="rId6" name="CommandButton2"/>
      </mc:Fallback>
    </mc:AlternateContent>
    <mc:AlternateContent xmlns:mc="http://schemas.openxmlformats.org/markup-compatibility/2006">
      <mc:Choice Requires="x14">
        <control shapeId="2659" r:id="rId8" name="CommandButton1">
          <controlPr defaultSize="0" autoLine="0" r:id="rId9">
            <anchor moveWithCells="1">
              <from>
                <xdr:col>2</xdr:col>
                <xdr:colOff>809625</xdr:colOff>
                <xdr:row>3</xdr:row>
                <xdr:rowOff>19050</xdr:rowOff>
              </from>
              <to>
                <xdr:col>2</xdr:col>
                <xdr:colOff>1276350</xdr:colOff>
                <xdr:row>5</xdr:row>
                <xdr:rowOff>38100</xdr:rowOff>
              </to>
            </anchor>
          </controlPr>
        </control>
      </mc:Choice>
      <mc:Fallback>
        <control shapeId="2659" r:id="rId8" name="CommandButton1"/>
      </mc:Fallback>
    </mc:AlternateContent>
    <mc:AlternateContent xmlns:mc="http://schemas.openxmlformats.org/markup-compatibility/2006">
      <mc:Choice Requires="x14">
        <control shapeId="2637" r:id="rId10" name="cmdapri">
          <controlPr defaultSize="0" print="0" autoLine="0" r:id="rId11">
            <anchor moveWithCells="1">
              <from>
                <xdr:col>3</xdr:col>
                <xdr:colOff>19050</xdr:colOff>
                <xdr:row>4</xdr:row>
                <xdr:rowOff>0</xdr:rowOff>
              </from>
              <to>
                <xdr:col>3</xdr:col>
                <xdr:colOff>333375</xdr:colOff>
                <xdr:row>5</xdr:row>
                <xdr:rowOff>38100</xdr:rowOff>
              </to>
            </anchor>
          </controlPr>
        </control>
      </mc:Choice>
      <mc:Fallback>
        <control shapeId="2637" r:id="rId10" name="cmdapri"/>
      </mc:Fallback>
    </mc:AlternateContent>
    <mc:AlternateContent xmlns:mc="http://schemas.openxmlformats.org/markup-compatibility/2006">
      <mc:Choice Requires="x14">
        <control shapeId="2635" r:id="rId12" name="CMDCHIUDI">
          <controlPr defaultSize="0" print="0" autoLine="0" r:id="rId13">
            <anchor moveWithCells="1">
              <from>
                <xdr:col>3</xdr:col>
                <xdr:colOff>19050</xdr:colOff>
                <xdr:row>3</xdr:row>
                <xdr:rowOff>9525</xdr:rowOff>
              </from>
              <to>
                <xdr:col>3</xdr:col>
                <xdr:colOff>333375</xdr:colOff>
                <xdr:row>3</xdr:row>
                <xdr:rowOff>238125</xdr:rowOff>
              </to>
            </anchor>
          </controlPr>
        </control>
      </mc:Choice>
      <mc:Fallback>
        <control shapeId="2635" r:id="rId12" name="CMDCHIUDI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81" yWindow="237" count="1">
        <x14:dataValidation type="list" allowBlank="1" showInputMessage="1" showErrorMessage="1" xr:uid="{50703977-CB84-4EF0-A5A2-89295F8629D9}">
          <x14:formula1>
            <xm:f>Incassi!$B$11:$B$135</xm:f>
          </x14:formula1>
          <xm:sqref>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2">
    <pageSetUpPr fitToPage="1"/>
  </sheetPr>
  <dimension ref="A1:L34"/>
  <sheetViews>
    <sheetView workbookViewId="0">
      <pane ySplit="11" topLeftCell="A12" activePane="bottomLeft" state="frozen"/>
      <selection pane="bottomLeft" activeCell="K7" sqref="K7"/>
    </sheetView>
  </sheetViews>
  <sheetFormatPr defaultColWidth="9.140625" defaultRowHeight="12.75"/>
  <cols>
    <col min="1" max="1" width="1.140625" style="274" customWidth="1"/>
    <col min="2" max="2" width="14.7109375" style="274" customWidth="1"/>
    <col min="3" max="3" width="14.42578125" style="274" customWidth="1"/>
    <col min="4" max="4" width="14.28515625" style="274" customWidth="1"/>
    <col min="5" max="5" width="14.42578125" style="274" customWidth="1"/>
    <col min="6" max="6" width="14.28515625" style="274" customWidth="1"/>
    <col min="7" max="7" width="14.42578125" style="274" customWidth="1"/>
    <col min="8" max="8" width="14.28515625" style="274" customWidth="1"/>
    <col min="9" max="9" width="14.42578125" style="274" customWidth="1"/>
    <col min="10" max="10" width="6" style="274" customWidth="1"/>
    <col min="11" max="11" width="22.7109375" style="274" customWidth="1"/>
    <col min="12" max="12" width="0.7109375" style="274" customWidth="1"/>
    <col min="13" max="16384" width="9.140625" style="274"/>
  </cols>
  <sheetData>
    <row r="1" spans="1:12" ht="7.5" customHeight="1">
      <c r="A1" s="228"/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</row>
    <row r="2" spans="1:12" s="275" customFormat="1" ht="32.25" customHeight="1">
      <c r="A2" s="266"/>
      <c r="B2" s="280"/>
      <c r="C2" s="350" t="str">
        <f>+TABELLA!E4&amp;" - "&amp;TABELLA!B7&amp;" 
 "&amp;TABELLA!G5</f>
        <v xml:space="preserve"> - Settimana n° 47 
 </v>
      </c>
      <c r="D2" s="351"/>
      <c r="E2" s="351"/>
      <c r="F2" s="351"/>
      <c r="G2" s="351"/>
      <c r="H2" s="351"/>
      <c r="I2" s="351"/>
      <c r="J2" s="352"/>
      <c r="K2" s="284">
        <f>K34*0.1/100</f>
        <v>0</v>
      </c>
      <c r="L2" s="266"/>
    </row>
    <row r="3" spans="1:12" ht="3.75" customHeight="1">
      <c r="A3" s="228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</row>
    <row r="4" spans="1:12" s="276" customFormat="1" ht="12.75" customHeight="1">
      <c r="A4" s="229"/>
      <c r="B4" s="229" t="str">
        <f>IF(K4&gt;0,"RN Storici","")</f>
        <v/>
      </c>
      <c r="C4" s="230" t="str">
        <f>IF(C7=VL!C67,"",VL!C67)</f>
        <v/>
      </c>
      <c r="D4" s="230" t="str">
        <f>IF(D7=VL!D67,"",VL!D67)</f>
        <v/>
      </c>
      <c r="E4" s="230" t="str">
        <f>IF(E7=VL!E67,"",VL!E67)</f>
        <v/>
      </c>
      <c r="F4" s="230" t="str">
        <f>IF(F7=VL!F67,"",VL!F67)</f>
        <v/>
      </c>
      <c r="G4" s="230" t="str">
        <f>IF(G7=VL!G67,"",VL!G67)</f>
        <v/>
      </c>
      <c r="H4" s="230" t="str">
        <f>IF(H7=VL!H67,"",VL!H67)</f>
        <v/>
      </c>
      <c r="I4" s="230" t="str">
        <f>IF(I7=VL!I67,"",VL!I67)</f>
        <v/>
      </c>
      <c r="J4" s="230"/>
      <c r="K4" s="229">
        <f>SUM(C4:J4)</f>
        <v>0</v>
      </c>
      <c r="L4" s="229"/>
    </row>
    <row r="5" spans="1:12" s="276" customFormat="1">
      <c r="A5" s="229"/>
      <c r="B5" s="236" t="s">
        <v>51</v>
      </c>
      <c r="C5" s="260"/>
      <c r="D5" s="248"/>
      <c r="E5" s="248"/>
      <c r="F5" s="248"/>
      <c r="G5" s="248"/>
      <c r="H5" s="248"/>
      <c r="I5" s="249"/>
      <c r="J5" s="230"/>
      <c r="K5" s="237">
        <f>SUM(C5:J5)</f>
        <v>0</v>
      </c>
      <c r="L5" s="229"/>
    </row>
    <row r="6" spans="1:12" s="277" customFormat="1">
      <c r="A6" s="231"/>
      <c r="B6" s="244"/>
      <c r="C6" s="261" t="s">
        <v>41</v>
      </c>
      <c r="D6" s="250" t="s">
        <v>42</v>
      </c>
      <c r="E6" s="250" t="s">
        <v>43</v>
      </c>
      <c r="F6" s="250" t="s">
        <v>44</v>
      </c>
      <c r="G6" s="250" t="s">
        <v>45</v>
      </c>
      <c r="H6" s="250" t="s">
        <v>46</v>
      </c>
      <c r="I6" s="251" t="s">
        <v>47</v>
      </c>
      <c r="J6" s="231"/>
      <c r="K6" s="245" t="s">
        <v>5</v>
      </c>
      <c r="L6" s="231"/>
    </row>
    <row r="7" spans="1:12" s="276" customFormat="1">
      <c r="A7" s="229"/>
      <c r="B7" s="238" t="s">
        <v>48</v>
      </c>
      <c r="C7" s="262">
        <f>IF(C5&lt;&gt;"",C5,VL!C67)</f>
        <v>0</v>
      </c>
      <c r="D7" s="252">
        <f>IF(D5&lt;&gt;"",D5,VL!D67)</f>
        <v>0</v>
      </c>
      <c r="E7" s="252">
        <f>IF(E5&lt;&gt;"",E5,VL!E67)</f>
        <v>0</v>
      </c>
      <c r="F7" s="252">
        <f>IF(F5&lt;&gt;"",F5,VL!F67)</f>
        <v>0</v>
      </c>
      <c r="G7" s="252">
        <f>IF(G5&lt;&gt;"",G5,VL!G67)</f>
        <v>0</v>
      </c>
      <c r="H7" s="252">
        <f>IF(H5&lt;&gt;"",H5,VL!H67)</f>
        <v>0</v>
      </c>
      <c r="I7" s="253">
        <f>IF(I5&lt;&gt;"",I5,VL!I67)</f>
        <v>0</v>
      </c>
      <c r="J7" s="230"/>
      <c r="K7" s="241">
        <f>SUM(C7:J7)</f>
        <v>0</v>
      </c>
      <c r="L7" s="229"/>
    </row>
    <row r="8" spans="1:12" s="277" customFormat="1">
      <c r="A8" s="231"/>
      <c r="B8" s="246" t="s">
        <v>49</v>
      </c>
      <c r="C8" s="263" t="str">
        <f t="shared" ref="C8:I8" si="0">IF(ISERROR(C7/$K$7*100),"",C7/$K$7*100)</f>
        <v/>
      </c>
      <c r="D8" s="254" t="str">
        <f t="shared" si="0"/>
        <v/>
      </c>
      <c r="E8" s="254" t="str">
        <f t="shared" si="0"/>
        <v/>
      </c>
      <c r="F8" s="254" t="str">
        <f t="shared" si="0"/>
        <v/>
      </c>
      <c r="G8" s="254" t="str">
        <f t="shared" si="0"/>
        <v/>
      </c>
      <c r="H8" s="254" t="str">
        <f t="shared" si="0"/>
        <v/>
      </c>
      <c r="I8" s="255" t="str">
        <f t="shared" si="0"/>
        <v/>
      </c>
      <c r="J8" s="232">
        <f>MAX(C8:I8)</f>
        <v>0</v>
      </c>
      <c r="K8" s="247" t="str">
        <f>IF(ISERROR(K7/$K$7*100),"",K7/$K$7*100)</f>
        <v/>
      </c>
      <c r="L8" s="231"/>
    </row>
    <row r="9" spans="1:12" s="278" customFormat="1">
      <c r="A9" s="233"/>
      <c r="B9" s="239" t="s">
        <v>50</v>
      </c>
      <c r="C9" s="264">
        <f>TABELLA!AG60</f>
        <v>22.499999999999996</v>
      </c>
      <c r="D9" s="256">
        <f>TABELLA!AH60</f>
        <v>29.5</v>
      </c>
      <c r="E9" s="256">
        <f>TABELLA!AI60</f>
        <v>31.249999999999993</v>
      </c>
      <c r="F9" s="256">
        <f>TABELLA!AJ60</f>
        <v>30.250000000000004</v>
      </c>
      <c r="G9" s="256">
        <f>TABELLA!AK60</f>
        <v>34.75</v>
      </c>
      <c r="H9" s="256">
        <f>TABELLA!AL60</f>
        <v>41.75</v>
      </c>
      <c r="I9" s="257">
        <f>TABELLA!AM60</f>
        <v>37.249999999999986</v>
      </c>
      <c r="J9" s="234"/>
      <c r="K9" s="242">
        <f>SUM(C9:J9)</f>
        <v>227.25</v>
      </c>
      <c r="L9" s="233"/>
    </row>
    <row r="10" spans="1:12" s="277" customFormat="1">
      <c r="A10" s="231"/>
      <c r="B10" s="246" t="s">
        <v>49</v>
      </c>
      <c r="C10" s="263">
        <f>IF(ISERROR(C9/$K$9*100),"",C9/$K$9*100)</f>
        <v>9.9009900990099009</v>
      </c>
      <c r="D10" s="254">
        <f t="shared" ref="D10:K10" si="1">IF(ISERROR(D9/$K$9*100),"",D9/$K$9*100)</f>
        <v>12.981298129812982</v>
      </c>
      <c r="E10" s="254">
        <f t="shared" si="1"/>
        <v>13.751375137513749</v>
      </c>
      <c r="F10" s="254">
        <f t="shared" si="1"/>
        <v>13.311331133113313</v>
      </c>
      <c r="G10" s="254">
        <f t="shared" si="1"/>
        <v>15.291529152915292</v>
      </c>
      <c r="H10" s="254">
        <f t="shared" si="1"/>
        <v>18.371837183718373</v>
      </c>
      <c r="I10" s="255">
        <f t="shared" si="1"/>
        <v>16.391639163916384</v>
      </c>
      <c r="J10" s="232">
        <f>MAX(C10:I10)</f>
        <v>18.371837183718373</v>
      </c>
      <c r="K10" s="247">
        <f t="shared" si="1"/>
        <v>100</v>
      </c>
      <c r="L10" s="231"/>
    </row>
    <row r="11" spans="1:12" s="279" customFormat="1">
      <c r="A11" s="235"/>
      <c r="B11" s="240" t="s">
        <v>36</v>
      </c>
      <c r="C11" s="265">
        <f>IF(ISERROR(C7/C9),"",C7/C9)</f>
        <v>0</v>
      </c>
      <c r="D11" s="258">
        <f t="shared" ref="D11:K11" si="2">IF(ISERROR(D7/D9),"",D7/D9)</f>
        <v>0</v>
      </c>
      <c r="E11" s="258">
        <f t="shared" si="2"/>
        <v>0</v>
      </c>
      <c r="F11" s="258">
        <f t="shared" si="2"/>
        <v>0</v>
      </c>
      <c r="G11" s="258">
        <f t="shared" si="2"/>
        <v>0</v>
      </c>
      <c r="H11" s="258">
        <f t="shared" si="2"/>
        <v>0</v>
      </c>
      <c r="I11" s="259">
        <f t="shared" si="2"/>
        <v>0</v>
      </c>
      <c r="J11" s="232"/>
      <c r="K11" s="243">
        <f t="shared" si="2"/>
        <v>0</v>
      </c>
      <c r="L11" s="235"/>
    </row>
    <row r="12" spans="1:12" s="276" customFormat="1">
      <c r="A12" s="229"/>
      <c r="B12" s="229"/>
      <c r="C12" s="230"/>
      <c r="D12" s="230"/>
      <c r="E12" s="230"/>
      <c r="F12" s="230"/>
      <c r="G12" s="230"/>
      <c r="H12" s="230"/>
      <c r="I12" s="230"/>
      <c r="J12" s="230"/>
      <c r="K12" s="230"/>
      <c r="L12" s="229"/>
    </row>
    <row r="13" spans="1:12">
      <c r="A13" s="228"/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</row>
    <row r="14" spans="1:12">
      <c r="A14" s="228"/>
      <c r="B14" s="228"/>
      <c r="C14" s="228"/>
      <c r="D14" s="228"/>
      <c r="E14" s="228"/>
      <c r="F14" s="228"/>
      <c r="G14" s="228"/>
      <c r="H14" s="228"/>
      <c r="I14" s="228"/>
      <c r="J14" s="228"/>
      <c r="K14" s="228"/>
      <c r="L14" s="228"/>
    </row>
    <row r="15" spans="1:12">
      <c r="A15" s="228"/>
      <c r="B15" s="228"/>
      <c r="C15" s="228"/>
      <c r="D15" s="228"/>
      <c r="E15" s="228"/>
      <c r="F15" s="228"/>
      <c r="G15" s="228"/>
      <c r="H15" s="228"/>
      <c r="I15" s="228"/>
      <c r="J15" s="228"/>
      <c r="K15" s="228"/>
      <c r="L15" s="228"/>
    </row>
    <row r="16" spans="1:12">
      <c r="A16" s="228"/>
      <c r="B16" s="228"/>
      <c r="C16" s="228"/>
      <c r="D16" s="228"/>
      <c r="E16" s="228"/>
      <c r="F16" s="228"/>
      <c r="G16" s="228"/>
      <c r="H16" s="228"/>
      <c r="I16" s="228"/>
      <c r="J16" s="228"/>
      <c r="K16" s="228"/>
      <c r="L16" s="228"/>
    </row>
    <row r="17" spans="1:12">
      <c r="A17" s="228"/>
      <c r="B17" s="228"/>
      <c r="C17" s="228"/>
      <c r="D17" s="228"/>
      <c r="E17" s="228"/>
      <c r="F17" s="228"/>
      <c r="G17" s="228"/>
      <c r="H17" s="228"/>
      <c r="I17" s="228"/>
      <c r="J17" s="228"/>
      <c r="K17" s="228"/>
      <c r="L17" s="228"/>
    </row>
    <row r="18" spans="1:12">
      <c r="A18" s="228"/>
      <c r="B18" s="228"/>
      <c r="C18" s="228"/>
      <c r="D18" s="228"/>
      <c r="E18" s="228"/>
      <c r="F18" s="228"/>
      <c r="G18" s="228"/>
      <c r="H18" s="228"/>
      <c r="I18" s="228"/>
      <c r="J18" s="228"/>
      <c r="K18" s="228"/>
      <c r="L18" s="228"/>
    </row>
    <row r="19" spans="1:12">
      <c r="A19" s="228"/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</row>
    <row r="20" spans="1:12">
      <c r="A20" s="228"/>
      <c r="B20" s="228"/>
      <c r="C20" s="228"/>
      <c r="D20" s="228"/>
      <c r="E20" s="228"/>
      <c r="F20" s="228"/>
      <c r="G20" s="228"/>
      <c r="H20" s="228"/>
      <c r="I20" s="228"/>
      <c r="J20" s="228"/>
      <c r="K20" s="228"/>
      <c r="L20" s="228"/>
    </row>
    <row r="21" spans="1:12">
      <c r="A21" s="228"/>
      <c r="B21" s="228"/>
      <c r="C21" s="228"/>
      <c r="D21" s="228"/>
      <c r="E21" s="228"/>
      <c r="F21" s="228"/>
      <c r="G21" s="228"/>
      <c r="H21" s="228"/>
      <c r="I21" s="228"/>
      <c r="J21" s="228"/>
      <c r="K21" s="228"/>
      <c r="L21" s="228"/>
    </row>
    <row r="22" spans="1:12">
      <c r="A22" s="228"/>
      <c r="B22" s="228"/>
      <c r="C22" s="228"/>
      <c r="D22" s="228"/>
      <c r="E22" s="228"/>
      <c r="F22" s="228"/>
      <c r="G22" s="228"/>
      <c r="H22" s="228"/>
      <c r="I22" s="228"/>
      <c r="J22" s="228"/>
      <c r="K22" s="228"/>
      <c r="L22" s="228"/>
    </row>
    <row r="23" spans="1:12">
      <c r="A23" s="228"/>
      <c r="B23" s="228"/>
      <c r="C23" s="228"/>
      <c r="D23" s="228"/>
      <c r="E23" s="228"/>
      <c r="F23" s="228"/>
      <c r="G23" s="228"/>
      <c r="H23" s="228"/>
      <c r="I23" s="228"/>
      <c r="J23" s="228"/>
      <c r="K23" s="228"/>
      <c r="L23" s="228"/>
    </row>
    <row r="24" spans="1:12">
      <c r="A24" s="228"/>
      <c r="B24" s="228"/>
      <c r="C24" s="228"/>
      <c r="D24" s="228"/>
      <c r="E24" s="228"/>
      <c r="F24" s="228"/>
      <c r="G24" s="228"/>
      <c r="H24" s="228"/>
      <c r="I24" s="228"/>
      <c r="J24" s="228"/>
      <c r="K24" s="228"/>
      <c r="L24" s="228"/>
    </row>
    <row r="25" spans="1:12">
      <c r="A25" s="228"/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</row>
    <row r="26" spans="1:12">
      <c r="A26" s="228"/>
      <c r="B26" s="228"/>
      <c r="C26" s="228"/>
      <c r="D26" s="228"/>
      <c r="E26" s="228"/>
      <c r="F26" s="228"/>
      <c r="G26" s="228"/>
      <c r="H26" s="228"/>
      <c r="I26" s="228"/>
      <c r="J26" s="228"/>
      <c r="K26" s="228"/>
      <c r="L26" s="228"/>
    </row>
    <row r="27" spans="1:12">
      <c r="A27" s="228"/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</row>
    <row r="28" spans="1:12">
      <c r="A28" s="228"/>
      <c r="B28" s="228"/>
      <c r="C28" s="228"/>
      <c r="D28" s="228"/>
      <c r="E28" s="228"/>
      <c r="F28" s="228"/>
      <c r="G28" s="228"/>
      <c r="H28" s="228"/>
      <c r="I28" s="228"/>
      <c r="J28" s="228"/>
      <c r="K28" s="228"/>
      <c r="L28" s="228"/>
    </row>
    <row r="29" spans="1:12">
      <c r="A29" s="228"/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</row>
    <row r="30" spans="1:12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</row>
    <row r="31" spans="1:12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</row>
    <row r="32" spans="1:12" ht="6" customHeight="1"/>
    <row r="34" spans="11:11" hidden="1">
      <c r="K34" s="289">
        <v>0</v>
      </c>
    </row>
  </sheetData>
  <mergeCells count="1">
    <mergeCell ref="C2:J2"/>
  </mergeCells>
  <phoneticPr fontId="0" type="noConversion"/>
  <conditionalFormatting sqref="C8:I8 C10:I10">
    <cfRule type="cellIs" dxfId="12" priority="1" stopIfTrue="1" operator="equal">
      <formula>$J8</formula>
    </cfRule>
  </conditionalFormatting>
  <conditionalFormatting sqref="B4">
    <cfRule type="expression" dxfId="11" priority="2" stopIfTrue="1">
      <formula>$K$5&gt;0</formula>
    </cfRule>
  </conditionalFormatting>
  <conditionalFormatting sqref="C4:H4">
    <cfRule type="expression" dxfId="10" priority="3" stopIfTrue="1">
      <formula>$K$5&gt;0</formula>
    </cfRule>
  </conditionalFormatting>
  <conditionalFormatting sqref="I4">
    <cfRule type="expression" dxfId="9" priority="4" stopIfTrue="1">
      <formula>$K$5&gt;0</formula>
    </cfRule>
  </conditionalFormatting>
  <conditionalFormatting sqref="K4">
    <cfRule type="expression" dxfId="8" priority="5" stopIfTrue="1">
      <formula>$K$5&gt;0</formula>
    </cfRule>
    <cfRule type="cellIs" dxfId="7" priority="6" stopIfTrue="1" operator="equal">
      <formula>0</formula>
    </cfRule>
  </conditionalFormatting>
  <dataValidations count="1">
    <dataValidation allowBlank="1" showInputMessage="1" showErrorMessage="1" prompt="Inserisci l'IVA MEDIA per il calcolo della POL._x000a_Aiutati con il file settimanale dei Margini di Reparto._x000a_" sqref="K2" xr:uid="{00000000-0002-0000-0100-000000000000}"/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90" orientation="landscape" r:id="rId1"/>
  <headerFooter alignWithMargins="0">
    <oddFooter>&amp;L&amp;F&amp;R&amp;D -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81" r:id="rId4" name="Scroll Bar 17">
              <controlPr locked="0" defaultSize="0" print="0" autoPict="0">
                <anchor moveWithCells="1">
                  <from>
                    <xdr:col>10</xdr:col>
                    <xdr:colOff>28575</xdr:colOff>
                    <xdr:row>1</xdr:row>
                    <xdr:rowOff>47625</xdr:rowOff>
                  </from>
                  <to>
                    <xdr:col>10</xdr:col>
                    <xdr:colOff>1504950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CI132"/>
  <sheetViews>
    <sheetView topLeftCell="E1" zoomScaleNormal="100" workbookViewId="0">
      <pane xSplit="3" ySplit="5" topLeftCell="H6" activePane="bottomRight" state="frozen"/>
      <selection activeCell="H6" sqref="H6"/>
      <selection pane="topRight" activeCell="H6" sqref="H6"/>
      <selection pane="bottomLeft" activeCell="H6" sqref="H6"/>
      <selection pane="bottomRight" activeCell="H15" sqref="H15"/>
    </sheetView>
  </sheetViews>
  <sheetFormatPr defaultColWidth="9.140625" defaultRowHeight="20.100000000000001" customHeight="1"/>
  <cols>
    <col min="1" max="1" width="6.42578125" style="11" hidden="1" customWidth="1"/>
    <col min="2" max="4" width="7.5703125" style="11" hidden="1" customWidth="1"/>
    <col min="5" max="5" width="1" style="11" customWidth="1"/>
    <col min="6" max="6" width="5" style="12" bestFit="1" customWidth="1"/>
    <col min="7" max="7" width="21.85546875" style="12" customWidth="1"/>
    <col min="8" max="83" width="2.7109375" style="12" customWidth="1"/>
    <col min="84" max="84" width="3.5703125" style="12" bestFit="1" customWidth="1"/>
    <col min="85" max="16384" width="9.140625" style="12"/>
  </cols>
  <sheetData>
    <row r="1" spans="1:87" ht="3.75" customHeight="1"/>
    <row r="2" spans="1:87" s="44" customFormat="1" ht="23.25" customHeight="1">
      <c r="A2" s="43"/>
      <c r="B2" s="43"/>
      <c r="C2" s="148">
        <v>39742</v>
      </c>
      <c r="D2" s="43"/>
      <c r="E2" s="43"/>
      <c r="F2" s="30" t="str">
        <f>+TABELLA!E4&amp;" - "&amp;"DOMENICA"</f>
        <v xml:space="preserve"> - DOMENICA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2" t="str">
        <f>+TABELLA!E5&amp;" "&amp;TABELLA!G5&amp;"-"&amp;TABELLA!B7</f>
        <v>REPARTO -Settimana n° 47</v>
      </c>
    </row>
    <row r="3" spans="1:87" s="23" customFormat="1" ht="36" customHeight="1">
      <c r="G3" s="24">
        <v>5</v>
      </c>
      <c r="H3" s="33">
        <f>G3+0.15</f>
        <v>5.15</v>
      </c>
      <c r="I3" s="33">
        <f>H3+0.15</f>
        <v>5.3000000000000007</v>
      </c>
      <c r="J3" s="33">
        <f>I3+0.15</f>
        <v>5.4500000000000011</v>
      </c>
      <c r="K3" s="25">
        <f>G3+1</f>
        <v>6</v>
      </c>
      <c r="L3" s="33">
        <f>K3+0.15</f>
        <v>6.15</v>
      </c>
      <c r="M3" s="33">
        <f>L3+0.15</f>
        <v>6.3000000000000007</v>
      </c>
      <c r="N3" s="33">
        <f>M3+0.15</f>
        <v>6.4500000000000011</v>
      </c>
      <c r="O3" s="25">
        <f>K3+1</f>
        <v>7</v>
      </c>
      <c r="P3" s="33">
        <f>O3+0.15</f>
        <v>7.15</v>
      </c>
      <c r="Q3" s="33">
        <f>P3+0.15</f>
        <v>7.3000000000000007</v>
      </c>
      <c r="R3" s="33">
        <f>Q3+0.15</f>
        <v>7.4500000000000011</v>
      </c>
      <c r="S3" s="25">
        <f>O3+1</f>
        <v>8</v>
      </c>
      <c r="T3" s="33">
        <f>S3+0.15</f>
        <v>8.15</v>
      </c>
      <c r="U3" s="33">
        <f>T3+0.15</f>
        <v>8.3000000000000007</v>
      </c>
      <c r="V3" s="33">
        <f>U3+0.15</f>
        <v>8.4500000000000011</v>
      </c>
      <c r="W3" s="25">
        <f>S3+1</f>
        <v>9</v>
      </c>
      <c r="X3" s="33">
        <f>W3+0.15</f>
        <v>9.15</v>
      </c>
      <c r="Y3" s="33">
        <f>X3+0.15</f>
        <v>9.3000000000000007</v>
      </c>
      <c r="Z3" s="33">
        <f>Y3+0.15</f>
        <v>9.4500000000000011</v>
      </c>
      <c r="AA3" s="25">
        <f>W3+1</f>
        <v>10</v>
      </c>
      <c r="AB3" s="33">
        <f>AA3+0.15</f>
        <v>10.15</v>
      </c>
      <c r="AC3" s="33">
        <f>AB3+0.15</f>
        <v>10.3</v>
      </c>
      <c r="AD3" s="33">
        <f>AC3+0.15</f>
        <v>10.450000000000001</v>
      </c>
      <c r="AE3" s="25">
        <f>AA3+1</f>
        <v>11</v>
      </c>
      <c r="AF3" s="33">
        <f>AE3+0.15</f>
        <v>11.15</v>
      </c>
      <c r="AG3" s="33">
        <f>AF3+0.15</f>
        <v>11.3</v>
      </c>
      <c r="AH3" s="33">
        <f>AG3+0.15</f>
        <v>11.450000000000001</v>
      </c>
      <c r="AI3" s="25">
        <f>AE3+1</f>
        <v>12</v>
      </c>
      <c r="AJ3" s="33">
        <f>AI3+0.15</f>
        <v>12.15</v>
      </c>
      <c r="AK3" s="33">
        <f>AJ3+0.15</f>
        <v>12.3</v>
      </c>
      <c r="AL3" s="33">
        <f>AK3+0.15</f>
        <v>12.450000000000001</v>
      </c>
      <c r="AM3" s="25">
        <f>AI3+1</f>
        <v>13</v>
      </c>
      <c r="AN3" s="33">
        <f>AM3+0.15</f>
        <v>13.15</v>
      </c>
      <c r="AO3" s="33">
        <f>AN3+0.15</f>
        <v>13.3</v>
      </c>
      <c r="AP3" s="33">
        <f>AO3+0.15</f>
        <v>13.450000000000001</v>
      </c>
      <c r="AQ3" s="25">
        <f>AM3+1</f>
        <v>14</v>
      </c>
      <c r="AR3" s="33">
        <f>AQ3+0.15</f>
        <v>14.15</v>
      </c>
      <c r="AS3" s="33">
        <f>AR3+0.15</f>
        <v>14.3</v>
      </c>
      <c r="AT3" s="33">
        <f>AS3+0.15</f>
        <v>14.450000000000001</v>
      </c>
      <c r="AU3" s="25">
        <f>AQ3+1</f>
        <v>15</v>
      </c>
      <c r="AV3" s="33">
        <f>AU3+0.15</f>
        <v>15.15</v>
      </c>
      <c r="AW3" s="33">
        <f>AV3+0.15</f>
        <v>15.3</v>
      </c>
      <c r="AX3" s="33">
        <f>AW3+0.15</f>
        <v>15.450000000000001</v>
      </c>
      <c r="AY3" s="25">
        <f>AU3+1</f>
        <v>16</v>
      </c>
      <c r="AZ3" s="33">
        <f>AY3+0.15</f>
        <v>16.149999999999999</v>
      </c>
      <c r="BA3" s="33">
        <f>AZ3+0.15</f>
        <v>16.299999999999997</v>
      </c>
      <c r="BB3" s="33">
        <f>BA3+0.15</f>
        <v>16.449999999999996</v>
      </c>
      <c r="BC3" s="25">
        <f>AY3+1</f>
        <v>17</v>
      </c>
      <c r="BD3" s="33">
        <f>BC3+0.15</f>
        <v>17.149999999999999</v>
      </c>
      <c r="BE3" s="33">
        <f>BD3+0.15</f>
        <v>17.299999999999997</v>
      </c>
      <c r="BF3" s="33">
        <f>BE3+0.15</f>
        <v>17.449999999999996</v>
      </c>
      <c r="BG3" s="25">
        <f>BC3+1</f>
        <v>18</v>
      </c>
      <c r="BH3" s="33">
        <f>BG3+0.15</f>
        <v>18.149999999999999</v>
      </c>
      <c r="BI3" s="33">
        <f>BH3+0.15</f>
        <v>18.299999999999997</v>
      </c>
      <c r="BJ3" s="33">
        <f>BI3+0.15</f>
        <v>18.449999999999996</v>
      </c>
      <c r="BK3" s="25">
        <f>BG3+1</f>
        <v>19</v>
      </c>
      <c r="BL3" s="33">
        <f>BK3+0.15</f>
        <v>19.149999999999999</v>
      </c>
      <c r="BM3" s="33">
        <f>BL3+0.15</f>
        <v>19.299999999999997</v>
      </c>
      <c r="BN3" s="33">
        <f>BM3+0.15</f>
        <v>19.449999999999996</v>
      </c>
      <c r="BO3" s="25">
        <f>BK3+1</f>
        <v>20</v>
      </c>
      <c r="BP3" s="33">
        <f>BO3+0.15</f>
        <v>20.149999999999999</v>
      </c>
      <c r="BQ3" s="33">
        <f>BP3+0.15</f>
        <v>20.299999999999997</v>
      </c>
      <c r="BR3" s="33">
        <f>BQ3+0.15</f>
        <v>20.449999999999996</v>
      </c>
      <c r="BS3" s="25">
        <f>BO3+1</f>
        <v>21</v>
      </c>
      <c r="BT3" s="33">
        <f>BS3+0.15</f>
        <v>21.15</v>
      </c>
      <c r="BU3" s="33">
        <f>BT3+0.15</f>
        <v>21.299999999999997</v>
      </c>
      <c r="BV3" s="33">
        <f>BU3+0.15</f>
        <v>21.449999999999996</v>
      </c>
      <c r="BW3" s="25">
        <f>BS3+1</f>
        <v>22</v>
      </c>
      <c r="BX3" s="33">
        <f>BW3+0.15</f>
        <v>22.15</v>
      </c>
      <c r="BY3" s="33">
        <f>BX3+0.15</f>
        <v>22.299999999999997</v>
      </c>
      <c r="BZ3" s="33">
        <f>BY3+0.15</f>
        <v>22.449999999999996</v>
      </c>
      <c r="CA3" s="25">
        <f>BW3+1</f>
        <v>23</v>
      </c>
      <c r="CB3" s="33">
        <f>CA3+0.15</f>
        <v>23.15</v>
      </c>
      <c r="CC3" s="33">
        <f>CB3+0.15</f>
        <v>23.299999999999997</v>
      </c>
      <c r="CD3" s="33">
        <f>CC3+0.15</f>
        <v>23.449999999999996</v>
      </c>
      <c r="CE3" s="25">
        <f>CA3+1</f>
        <v>24</v>
      </c>
      <c r="CF3" s="34"/>
      <c r="CG3" s="34"/>
      <c r="CH3" s="34"/>
      <c r="CI3" s="34"/>
    </row>
    <row r="4" spans="1:87" ht="4.5" customHeight="1">
      <c r="H4" s="14"/>
      <c r="I4" s="15"/>
      <c r="J4" s="15"/>
      <c r="K4" s="15"/>
      <c r="L4" s="14"/>
      <c r="M4" s="15"/>
      <c r="N4" s="15"/>
      <c r="O4" s="15"/>
      <c r="P4" s="14"/>
      <c r="Q4" s="15"/>
      <c r="R4" s="15"/>
      <c r="S4" s="15"/>
      <c r="T4" s="14"/>
      <c r="U4" s="15"/>
      <c r="V4" s="15"/>
      <c r="W4" s="15"/>
      <c r="X4" s="14"/>
      <c r="Y4" s="15"/>
      <c r="Z4" s="15"/>
      <c r="AA4" s="15"/>
      <c r="AB4" s="14"/>
      <c r="AC4" s="15"/>
      <c r="AD4" s="15"/>
      <c r="AE4" s="15"/>
      <c r="AF4" s="14"/>
      <c r="AG4" s="15"/>
      <c r="AH4" s="15"/>
      <c r="AI4" s="15"/>
      <c r="AJ4" s="14"/>
      <c r="AK4" s="15"/>
      <c r="AL4" s="15"/>
      <c r="AM4" s="15"/>
      <c r="AN4" s="14"/>
      <c r="AO4" s="15"/>
      <c r="AP4" s="15"/>
      <c r="AQ4" s="15"/>
      <c r="AR4" s="14"/>
      <c r="AS4" s="15"/>
      <c r="AT4" s="15"/>
      <c r="AU4" s="15"/>
      <c r="AV4" s="14"/>
      <c r="AW4" s="15"/>
      <c r="AX4" s="15"/>
      <c r="AY4" s="15"/>
      <c r="AZ4" s="14"/>
      <c r="BA4" s="15"/>
      <c r="BB4" s="15"/>
      <c r="BC4" s="15"/>
      <c r="BD4" s="14"/>
      <c r="BE4" s="15"/>
      <c r="BF4" s="15"/>
      <c r="BG4" s="15"/>
      <c r="BH4" s="14"/>
      <c r="BI4" s="15"/>
      <c r="BJ4" s="15"/>
      <c r="BK4" s="15"/>
      <c r="BL4" s="14"/>
      <c r="BM4" s="15"/>
      <c r="BN4" s="15"/>
      <c r="BO4" s="15"/>
      <c r="BP4" s="14"/>
      <c r="BQ4" s="15"/>
      <c r="BR4" s="15"/>
      <c r="BS4" s="15"/>
      <c r="BT4" s="14"/>
      <c r="BU4" s="15"/>
      <c r="BV4" s="15"/>
      <c r="BW4" s="15"/>
      <c r="BX4" s="15"/>
      <c r="BY4" s="15"/>
      <c r="BZ4" s="15"/>
      <c r="CA4" s="15"/>
      <c r="CB4" s="14"/>
      <c r="CC4" s="15"/>
      <c r="CD4" s="15"/>
      <c r="CE4" s="15"/>
      <c r="CF4" s="13"/>
      <c r="CG4" s="13"/>
      <c r="CH4" s="13"/>
      <c r="CI4" s="13"/>
    </row>
    <row r="5" spans="1:87" s="29" customFormat="1" ht="49.5" customHeight="1">
      <c r="A5" s="35" t="s">
        <v>0</v>
      </c>
      <c r="B5" s="35" t="s">
        <v>1</v>
      </c>
      <c r="C5" s="35" t="s">
        <v>0</v>
      </c>
      <c r="D5" s="35" t="s">
        <v>1</v>
      </c>
      <c r="E5" s="35"/>
      <c r="F5" s="36" t="str">
        <f>+TABELLA!B8</f>
        <v>REP.</v>
      </c>
      <c r="G5" s="36" t="str">
        <f>+TABELLA!C8</f>
        <v>NOMINATIVO</v>
      </c>
      <c r="H5" s="37">
        <f>SUM(H6:H45)</f>
        <v>0</v>
      </c>
      <c r="I5" s="38">
        <f t="shared" ref="I5:BP5" si="0">SUM(I6:I45)</f>
        <v>0</v>
      </c>
      <c r="J5" s="38">
        <f t="shared" si="0"/>
        <v>0</v>
      </c>
      <c r="K5" s="39">
        <f t="shared" si="0"/>
        <v>0</v>
      </c>
      <c r="L5" s="37">
        <f t="shared" si="0"/>
        <v>0</v>
      </c>
      <c r="M5" s="38">
        <f t="shared" si="0"/>
        <v>0</v>
      </c>
      <c r="N5" s="38">
        <f t="shared" si="0"/>
        <v>0</v>
      </c>
      <c r="O5" s="39">
        <f t="shared" si="0"/>
        <v>0</v>
      </c>
      <c r="P5" s="37">
        <f t="shared" si="0"/>
        <v>1</v>
      </c>
      <c r="Q5" s="38">
        <f t="shared" si="0"/>
        <v>1</v>
      </c>
      <c r="R5" s="38">
        <f t="shared" si="0"/>
        <v>1</v>
      </c>
      <c r="S5" s="39">
        <f t="shared" si="0"/>
        <v>1</v>
      </c>
      <c r="T5" s="37">
        <f>SUM(T6:T45)</f>
        <v>1</v>
      </c>
      <c r="U5" s="38">
        <f t="shared" si="0"/>
        <v>1</v>
      </c>
      <c r="V5" s="38">
        <f t="shared" si="0"/>
        <v>1</v>
      </c>
      <c r="W5" s="39">
        <f t="shared" si="0"/>
        <v>1</v>
      </c>
      <c r="X5" s="37">
        <f t="shared" si="0"/>
        <v>2</v>
      </c>
      <c r="Y5" s="38">
        <f t="shared" si="0"/>
        <v>2</v>
      </c>
      <c r="Z5" s="38">
        <f t="shared" si="0"/>
        <v>3</v>
      </c>
      <c r="AA5" s="39">
        <f t="shared" si="0"/>
        <v>3</v>
      </c>
      <c r="AB5" s="37">
        <f t="shared" si="0"/>
        <v>4</v>
      </c>
      <c r="AC5" s="38">
        <f t="shared" si="0"/>
        <v>4</v>
      </c>
      <c r="AD5" s="38">
        <f t="shared" si="0"/>
        <v>4</v>
      </c>
      <c r="AE5" s="39">
        <f t="shared" si="0"/>
        <v>4</v>
      </c>
      <c r="AF5" s="37">
        <f t="shared" si="0"/>
        <v>3</v>
      </c>
      <c r="AG5" s="38">
        <f t="shared" si="0"/>
        <v>3</v>
      </c>
      <c r="AH5" s="38">
        <f t="shared" si="0"/>
        <v>3</v>
      </c>
      <c r="AI5" s="39">
        <f t="shared" si="0"/>
        <v>3</v>
      </c>
      <c r="AJ5" s="37">
        <f t="shared" si="0"/>
        <v>3</v>
      </c>
      <c r="AK5" s="38">
        <f t="shared" si="0"/>
        <v>3</v>
      </c>
      <c r="AL5" s="38">
        <f t="shared" si="0"/>
        <v>3</v>
      </c>
      <c r="AM5" s="39">
        <f t="shared" si="0"/>
        <v>3</v>
      </c>
      <c r="AN5" s="37">
        <f t="shared" si="0"/>
        <v>3</v>
      </c>
      <c r="AO5" s="38">
        <f t="shared" si="0"/>
        <v>3</v>
      </c>
      <c r="AP5" s="38">
        <f t="shared" si="0"/>
        <v>1</v>
      </c>
      <c r="AQ5" s="39">
        <f t="shared" si="0"/>
        <v>1</v>
      </c>
      <c r="AR5" s="37">
        <f t="shared" si="0"/>
        <v>1</v>
      </c>
      <c r="AS5" s="38">
        <f t="shared" si="0"/>
        <v>1</v>
      </c>
      <c r="AT5" s="38">
        <f t="shared" si="0"/>
        <v>1</v>
      </c>
      <c r="AU5" s="39">
        <f t="shared" si="0"/>
        <v>1</v>
      </c>
      <c r="AV5" s="37">
        <f t="shared" si="0"/>
        <v>0</v>
      </c>
      <c r="AW5" s="38">
        <f t="shared" si="0"/>
        <v>0</v>
      </c>
      <c r="AX5" s="38">
        <f t="shared" si="0"/>
        <v>1</v>
      </c>
      <c r="AY5" s="39">
        <f t="shared" si="0"/>
        <v>1</v>
      </c>
      <c r="AZ5" s="37">
        <f t="shared" si="0"/>
        <v>2</v>
      </c>
      <c r="BA5" s="38">
        <f t="shared" si="0"/>
        <v>2</v>
      </c>
      <c r="BB5" s="38">
        <f t="shared" si="0"/>
        <v>2</v>
      </c>
      <c r="BC5" s="39">
        <f t="shared" si="0"/>
        <v>2</v>
      </c>
      <c r="BD5" s="37">
        <f t="shared" si="0"/>
        <v>2</v>
      </c>
      <c r="BE5" s="38">
        <f t="shared" si="0"/>
        <v>2</v>
      </c>
      <c r="BF5" s="38">
        <f t="shared" si="0"/>
        <v>3</v>
      </c>
      <c r="BG5" s="39">
        <f t="shared" si="0"/>
        <v>3</v>
      </c>
      <c r="BH5" s="37">
        <f t="shared" si="0"/>
        <v>3</v>
      </c>
      <c r="BI5" s="38">
        <f t="shared" si="0"/>
        <v>3</v>
      </c>
      <c r="BJ5" s="38">
        <f t="shared" si="0"/>
        <v>3</v>
      </c>
      <c r="BK5" s="39">
        <f t="shared" si="0"/>
        <v>3</v>
      </c>
      <c r="BL5" s="37">
        <f t="shared" si="0"/>
        <v>3</v>
      </c>
      <c r="BM5" s="38">
        <f t="shared" si="0"/>
        <v>3</v>
      </c>
      <c r="BN5" s="38">
        <f t="shared" si="0"/>
        <v>2</v>
      </c>
      <c r="BO5" s="39">
        <f t="shared" si="0"/>
        <v>2</v>
      </c>
      <c r="BP5" s="37">
        <f t="shared" si="0"/>
        <v>2</v>
      </c>
      <c r="BQ5" s="38">
        <f t="shared" ref="BQ5:CE5" si="1">SUM(BQ6:BQ45)</f>
        <v>0</v>
      </c>
      <c r="BR5" s="38">
        <f t="shared" si="1"/>
        <v>0</v>
      </c>
      <c r="BS5" s="39">
        <f t="shared" si="1"/>
        <v>0</v>
      </c>
      <c r="BT5" s="37">
        <f t="shared" si="1"/>
        <v>0</v>
      </c>
      <c r="BU5" s="38">
        <f t="shared" si="1"/>
        <v>0</v>
      </c>
      <c r="BV5" s="38">
        <f t="shared" si="1"/>
        <v>0</v>
      </c>
      <c r="BW5" s="39">
        <f t="shared" si="1"/>
        <v>0</v>
      </c>
      <c r="BX5" s="37">
        <f t="shared" si="1"/>
        <v>0</v>
      </c>
      <c r="BY5" s="38">
        <f t="shared" si="1"/>
        <v>0</v>
      </c>
      <c r="BZ5" s="38">
        <f t="shared" si="1"/>
        <v>0</v>
      </c>
      <c r="CA5" s="39">
        <f t="shared" si="1"/>
        <v>0</v>
      </c>
      <c r="CB5" s="37">
        <f t="shared" si="1"/>
        <v>0</v>
      </c>
      <c r="CC5" s="38">
        <f t="shared" si="1"/>
        <v>0</v>
      </c>
      <c r="CD5" s="38">
        <f t="shared" si="1"/>
        <v>0</v>
      </c>
      <c r="CE5" s="39">
        <f t="shared" si="1"/>
        <v>0</v>
      </c>
      <c r="CF5" s="174">
        <f>SUM(H5:CE5)</f>
        <v>114</v>
      </c>
      <c r="CG5" s="40"/>
      <c r="CH5" s="40"/>
      <c r="CI5" s="40"/>
    </row>
    <row r="6" spans="1:87" s="18" customFormat="1" ht="18" customHeight="1">
      <c r="A6" s="22">
        <f>+TABELLA!E10</f>
        <v>0</v>
      </c>
      <c r="B6" s="22">
        <f>+TABELLA!F10</f>
        <v>0</v>
      </c>
      <c r="C6" s="22">
        <f>+TABELLA!G10</f>
        <v>0</v>
      </c>
      <c r="D6" s="22">
        <f>+TABELLA!H10</f>
        <v>0</v>
      </c>
      <c r="E6" s="22"/>
      <c r="F6" s="26">
        <f>IF(TABELLA!B10="","",TABELLA!B10)</f>
        <v>12</v>
      </c>
      <c r="G6" s="27" t="str">
        <f>IF(TABELLA!C10="","",TABELLA!C10)</f>
        <v>RUSSO ANTONELLA</v>
      </c>
      <c r="H6" s="203" t="str">
        <f t="shared" ref="H6:H45" si="2">IF(AND(G$3&gt;=$A6,G$3&lt;$B6),1,IF(AND(G$3&gt;=$C6,G$3&lt;$D6),1,""))</f>
        <v/>
      </c>
      <c r="I6" s="203" t="str">
        <f t="shared" ref="I6:BO7" si="3">IF(AND(H$3&gt;=$A6,H$3&lt;$B6),1,IF(AND(H$3&gt;=$C6,H$3&lt;$D6),1,""))</f>
        <v/>
      </c>
      <c r="J6" s="203" t="str">
        <f t="shared" si="3"/>
        <v/>
      </c>
      <c r="K6" s="204" t="str">
        <f t="shared" si="3"/>
        <v/>
      </c>
      <c r="L6" s="205" t="str">
        <f t="shared" si="3"/>
        <v/>
      </c>
      <c r="M6" s="203" t="str">
        <f t="shared" si="3"/>
        <v/>
      </c>
      <c r="N6" s="203" t="str">
        <f t="shared" si="3"/>
        <v/>
      </c>
      <c r="O6" s="204" t="str">
        <f t="shared" si="3"/>
        <v/>
      </c>
      <c r="P6" s="205" t="str">
        <f t="shared" si="3"/>
        <v/>
      </c>
      <c r="Q6" s="203" t="str">
        <f t="shared" si="3"/>
        <v/>
      </c>
      <c r="R6" s="203" t="str">
        <f t="shared" si="3"/>
        <v/>
      </c>
      <c r="S6" s="204" t="str">
        <f t="shared" si="3"/>
        <v/>
      </c>
      <c r="T6" s="205" t="str">
        <f t="shared" si="3"/>
        <v/>
      </c>
      <c r="U6" s="203" t="str">
        <f t="shared" si="3"/>
        <v/>
      </c>
      <c r="V6" s="203" t="str">
        <f t="shared" si="3"/>
        <v/>
      </c>
      <c r="W6" s="204" t="str">
        <f t="shared" si="3"/>
        <v/>
      </c>
      <c r="X6" s="205" t="str">
        <f t="shared" si="3"/>
        <v/>
      </c>
      <c r="Y6" s="203" t="str">
        <f t="shared" si="3"/>
        <v/>
      </c>
      <c r="Z6" s="203" t="str">
        <f t="shared" si="3"/>
        <v/>
      </c>
      <c r="AA6" s="204" t="str">
        <f t="shared" si="3"/>
        <v/>
      </c>
      <c r="AB6" s="205" t="str">
        <f t="shared" si="3"/>
        <v/>
      </c>
      <c r="AC6" s="203" t="str">
        <f t="shared" si="3"/>
        <v/>
      </c>
      <c r="AD6" s="203" t="str">
        <f t="shared" si="3"/>
        <v/>
      </c>
      <c r="AE6" s="204" t="str">
        <f t="shared" si="3"/>
        <v/>
      </c>
      <c r="AF6" s="205" t="str">
        <f t="shared" si="3"/>
        <v/>
      </c>
      <c r="AG6" s="203" t="str">
        <f t="shared" si="3"/>
        <v/>
      </c>
      <c r="AH6" s="203" t="str">
        <f t="shared" si="3"/>
        <v/>
      </c>
      <c r="AI6" s="204" t="str">
        <f t="shared" si="3"/>
        <v/>
      </c>
      <c r="AJ6" s="205" t="str">
        <f t="shared" si="3"/>
        <v/>
      </c>
      <c r="AK6" s="203" t="str">
        <f t="shared" si="3"/>
        <v/>
      </c>
      <c r="AL6" s="203" t="str">
        <f t="shared" si="3"/>
        <v/>
      </c>
      <c r="AM6" s="204" t="str">
        <f t="shared" si="3"/>
        <v/>
      </c>
      <c r="AN6" s="205" t="str">
        <f t="shared" si="3"/>
        <v/>
      </c>
      <c r="AO6" s="203" t="str">
        <f t="shared" si="3"/>
        <v/>
      </c>
      <c r="AP6" s="203" t="str">
        <f t="shared" si="3"/>
        <v/>
      </c>
      <c r="AQ6" s="204" t="str">
        <f t="shared" si="3"/>
        <v/>
      </c>
      <c r="AR6" s="205" t="str">
        <f t="shared" si="3"/>
        <v/>
      </c>
      <c r="AS6" s="203" t="str">
        <f t="shared" si="3"/>
        <v/>
      </c>
      <c r="AT6" s="203" t="str">
        <f t="shared" si="3"/>
        <v/>
      </c>
      <c r="AU6" s="204" t="str">
        <f t="shared" si="3"/>
        <v/>
      </c>
      <c r="AV6" s="205" t="str">
        <f t="shared" si="3"/>
        <v/>
      </c>
      <c r="AW6" s="203" t="str">
        <f t="shared" si="3"/>
        <v/>
      </c>
      <c r="AX6" s="203" t="str">
        <f t="shared" si="3"/>
        <v/>
      </c>
      <c r="AY6" s="204" t="str">
        <f t="shared" si="3"/>
        <v/>
      </c>
      <c r="AZ6" s="205" t="str">
        <f t="shared" si="3"/>
        <v/>
      </c>
      <c r="BA6" s="203" t="str">
        <f t="shared" si="3"/>
        <v/>
      </c>
      <c r="BB6" s="203" t="str">
        <f t="shared" si="3"/>
        <v/>
      </c>
      <c r="BC6" s="204" t="str">
        <f t="shared" si="3"/>
        <v/>
      </c>
      <c r="BD6" s="205" t="str">
        <f t="shared" si="3"/>
        <v/>
      </c>
      <c r="BE6" s="203" t="str">
        <f t="shared" si="3"/>
        <v/>
      </c>
      <c r="BF6" s="203" t="str">
        <f t="shared" si="3"/>
        <v/>
      </c>
      <c r="BG6" s="204" t="str">
        <f t="shared" si="3"/>
        <v/>
      </c>
      <c r="BH6" s="205" t="str">
        <f t="shared" si="3"/>
        <v/>
      </c>
      <c r="BI6" s="203" t="str">
        <f t="shared" si="3"/>
        <v/>
      </c>
      <c r="BJ6" s="203" t="str">
        <f t="shared" si="3"/>
        <v/>
      </c>
      <c r="BK6" s="204" t="str">
        <f t="shared" si="3"/>
        <v/>
      </c>
      <c r="BL6" s="205" t="str">
        <f t="shared" si="3"/>
        <v/>
      </c>
      <c r="BM6" s="203" t="str">
        <f t="shared" si="3"/>
        <v/>
      </c>
      <c r="BN6" s="203" t="str">
        <f t="shared" si="3"/>
        <v/>
      </c>
      <c r="BO6" s="204" t="str">
        <f t="shared" si="3"/>
        <v/>
      </c>
      <c r="BP6" s="205" t="str">
        <f t="shared" ref="BP6:CE7" si="4">IF(AND(BO$3&gt;=$A6,BO$3&lt;$B6),1,IF(AND(BO$3&gt;=$C6,BO$3&lt;$D6),1,""))</f>
        <v/>
      </c>
      <c r="BQ6" s="203" t="str">
        <f t="shared" si="4"/>
        <v/>
      </c>
      <c r="BR6" s="203" t="str">
        <f t="shared" si="4"/>
        <v/>
      </c>
      <c r="BS6" s="204" t="str">
        <f t="shared" si="4"/>
        <v/>
      </c>
      <c r="BT6" s="205" t="str">
        <f t="shared" si="4"/>
        <v/>
      </c>
      <c r="BU6" s="203" t="str">
        <f t="shared" si="4"/>
        <v/>
      </c>
      <c r="BV6" s="203" t="str">
        <f t="shared" si="4"/>
        <v/>
      </c>
      <c r="BW6" s="204" t="str">
        <f t="shared" si="4"/>
        <v/>
      </c>
      <c r="BX6" s="205" t="str">
        <f t="shared" si="4"/>
        <v/>
      </c>
      <c r="BY6" s="203" t="str">
        <f t="shared" si="4"/>
        <v/>
      </c>
      <c r="BZ6" s="203" t="str">
        <f t="shared" si="4"/>
        <v/>
      </c>
      <c r="CA6" s="204" t="str">
        <f t="shared" si="4"/>
        <v/>
      </c>
      <c r="CB6" s="205" t="str">
        <f t="shared" si="4"/>
        <v/>
      </c>
      <c r="CC6" s="203" t="str">
        <f t="shared" si="4"/>
        <v/>
      </c>
      <c r="CD6" s="203" t="str">
        <f t="shared" si="4"/>
        <v/>
      </c>
      <c r="CE6" s="204" t="str">
        <f t="shared" si="4"/>
        <v/>
      </c>
      <c r="CF6" s="17"/>
      <c r="CG6" s="16"/>
      <c r="CH6" s="13"/>
      <c r="CI6" s="16"/>
    </row>
    <row r="7" spans="1:87" s="21" customFormat="1" ht="18" customHeight="1">
      <c r="A7" s="22">
        <f>+TABELLA!E11</f>
        <v>0</v>
      </c>
      <c r="B7" s="22">
        <f>+TABELLA!F11</f>
        <v>0</v>
      </c>
      <c r="C7" s="22">
        <f>+TABELLA!G11</f>
        <v>0</v>
      </c>
      <c r="D7" s="22">
        <f>+TABELLA!H11</f>
        <v>0</v>
      </c>
      <c r="E7" s="22"/>
      <c r="F7" s="41" t="str">
        <f>IF(TABELLA!B11="","",TABELLA!B11)</f>
        <v/>
      </c>
      <c r="G7" s="42" t="str">
        <f>IF(TABELLA!C11="","",TABELLA!C11)</f>
        <v/>
      </c>
      <c r="H7" s="206" t="str">
        <f t="shared" si="2"/>
        <v/>
      </c>
      <c r="I7" s="206" t="str">
        <f t="shared" si="3"/>
        <v/>
      </c>
      <c r="J7" s="206" t="str">
        <f t="shared" si="3"/>
        <v/>
      </c>
      <c r="K7" s="207" t="str">
        <f t="shared" si="3"/>
        <v/>
      </c>
      <c r="L7" s="208" t="str">
        <f t="shared" si="3"/>
        <v/>
      </c>
      <c r="M7" s="206" t="str">
        <f t="shared" si="3"/>
        <v/>
      </c>
      <c r="N7" s="206" t="str">
        <f t="shared" si="3"/>
        <v/>
      </c>
      <c r="O7" s="207" t="str">
        <f t="shared" si="3"/>
        <v/>
      </c>
      <c r="P7" s="208" t="str">
        <f t="shared" si="3"/>
        <v/>
      </c>
      <c r="Q7" s="206" t="str">
        <f t="shared" si="3"/>
        <v/>
      </c>
      <c r="R7" s="206" t="str">
        <f t="shared" si="3"/>
        <v/>
      </c>
      <c r="S7" s="207" t="str">
        <f t="shared" si="3"/>
        <v/>
      </c>
      <c r="T7" s="208" t="str">
        <f t="shared" si="3"/>
        <v/>
      </c>
      <c r="U7" s="206" t="str">
        <f t="shared" si="3"/>
        <v/>
      </c>
      <c r="V7" s="206" t="str">
        <f t="shared" si="3"/>
        <v/>
      </c>
      <c r="W7" s="207" t="str">
        <f t="shared" si="3"/>
        <v/>
      </c>
      <c r="X7" s="208" t="str">
        <f t="shared" si="3"/>
        <v/>
      </c>
      <c r="Y7" s="206" t="str">
        <f t="shared" si="3"/>
        <v/>
      </c>
      <c r="Z7" s="206" t="str">
        <f t="shared" si="3"/>
        <v/>
      </c>
      <c r="AA7" s="207" t="str">
        <f t="shared" si="3"/>
        <v/>
      </c>
      <c r="AB7" s="208" t="str">
        <f t="shared" si="3"/>
        <v/>
      </c>
      <c r="AC7" s="206" t="str">
        <f t="shared" si="3"/>
        <v/>
      </c>
      <c r="AD7" s="206" t="str">
        <f t="shared" si="3"/>
        <v/>
      </c>
      <c r="AE7" s="207" t="str">
        <f t="shared" si="3"/>
        <v/>
      </c>
      <c r="AF7" s="208" t="str">
        <f t="shared" si="3"/>
        <v/>
      </c>
      <c r="AG7" s="206" t="str">
        <f t="shared" si="3"/>
        <v/>
      </c>
      <c r="AH7" s="206" t="str">
        <f t="shared" si="3"/>
        <v/>
      </c>
      <c r="AI7" s="207" t="str">
        <f t="shared" si="3"/>
        <v/>
      </c>
      <c r="AJ7" s="208" t="str">
        <f t="shared" si="3"/>
        <v/>
      </c>
      <c r="AK7" s="206" t="str">
        <f t="shared" si="3"/>
        <v/>
      </c>
      <c r="AL7" s="206" t="str">
        <f t="shared" si="3"/>
        <v/>
      </c>
      <c r="AM7" s="207" t="str">
        <f t="shared" si="3"/>
        <v/>
      </c>
      <c r="AN7" s="208" t="str">
        <f t="shared" si="3"/>
        <v/>
      </c>
      <c r="AO7" s="206" t="str">
        <f t="shared" si="3"/>
        <v/>
      </c>
      <c r="AP7" s="206" t="str">
        <f t="shared" si="3"/>
        <v/>
      </c>
      <c r="AQ7" s="207" t="str">
        <f t="shared" si="3"/>
        <v/>
      </c>
      <c r="AR7" s="208" t="str">
        <f t="shared" si="3"/>
        <v/>
      </c>
      <c r="AS7" s="206" t="str">
        <f t="shared" si="3"/>
        <v/>
      </c>
      <c r="AT7" s="206" t="str">
        <f t="shared" si="3"/>
        <v/>
      </c>
      <c r="AU7" s="207" t="str">
        <f t="shared" si="3"/>
        <v/>
      </c>
      <c r="AV7" s="208" t="str">
        <f t="shared" si="3"/>
        <v/>
      </c>
      <c r="AW7" s="206" t="str">
        <f t="shared" si="3"/>
        <v/>
      </c>
      <c r="AX7" s="206" t="str">
        <f t="shared" si="3"/>
        <v/>
      </c>
      <c r="AY7" s="207" t="str">
        <f t="shared" si="3"/>
        <v/>
      </c>
      <c r="AZ7" s="208" t="str">
        <f t="shared" si="3"/>
        <v/>
      </c>
      <c r="BA7" s="206" t="str">
        <f t="shared" si="3"/>
        <v/>
      </c>
      <c r="BB7" s="206" t="str">
        <f t="shared" si="3"/>
        <v/>
      </c>
      <c r="BC7" s="207" t="str">
        <f t="shared" si="3"/>
        <v/>
      </c>
      <c r="BD7" s="208" t="str">
        <f t="shared" si="3"/>
        <v/>
      </c>
      <c r="BE7" s="206" t="str">
        <f t="shared" si="3"/>
        <v/>
      </c>
      <c r="BF7" s="206" t="str">
        <f t="shared" si="3"/>
        <v/>
      </c>
      <c r="BG7" s="207" t="str">
        <f t="shared" si="3"/>
        <v/>
      </c>
      <c r="BH7" s="208" t="str">
        <f t="shared" si="3"/>
        <v/>
      </c>
      <c r="BI7" s="206" t="str">
        <f t="shared" si="3"/>
        <v/>
      </c>
      <c r="BJ7" s="206" t="str">
        <f t="shared" si="3"/>
        <v/>
      </c>
      <c r="BK7" s="207" t="str">
        <f t="shared" si="3"/>
        <v/>
      </c>
      <c r="BL7" s="208" t="str">
        <f t="shared" si="3"/>
        <v/>
      </c>
      <c r="BM7" s="206" t="str">
        <f t="shared" si="3"/>
        <v/>
      </c>
      <c r="BN7" s="206" t="str">
        <f t="shared" si="3"/>
        <v/>
      </c>
      <c r="BO7" s="207" t="str">
        <f t="shared" si="3"/>
        <v/>
      </c>
      <c r="BP7" s="208" t="str">
        <f t="shared" si="4"/>
        <v/>
      </c>
      <c r="BQ7" s="206" t="str">
        <f t="shared" si="4"/>
        <v/>
      </c>
      <c r="BR7" s="206" t="str">
        <f t="shared" si="4"/>
        <v/>
      </c>
      <c r="BS7" s="207" t="str">
        <f t="shared" si="4"/>
        <v/>
      </c>
      <c r="BT7" s="208" t="str">
        <f t="shared" si="4"/>
        <v/>
      </c>
      <c r="BU7" s="206" t="str">
        <f t="shared" si="4"/>
        <v/>
      </c>
      <c r="BV7" s="206" t="str">
        <f t="shared" si="4"/>
        <v/>
      </c>
      <c r="BW7" s="207" t="str">
        <f t="shared" si="4"/>
        <v/>
      </c>
      <c r="BX7" s="208" t="str">
        <f t="shared" si="4"/>
        <v/>
      </c>
      <c r="BY7" s="206" t="str">
        <f t="shared" si="4"/>
        <v/>
      </c>
      <c r="BZ7" s="206" t="str">
        <f t="shared" si="4"/>
        <v/>
      </c>
      <c r="CA7" s="207" t="str">
        <f t="shared" si="4"/>
        <v/>
      </c>
      <c r="CB7" s="208" t="str">
        <f t="shared" si="4"/>
        <v/>
      </c>
      <c r="CC7" s="206" t="str">
        <f t="shared" si="4"/>
        <v/>
      </c>
      <c r="CD7" s="206" t="str">
        <f t="shared" si="4"/>
        <v/>
      </c>
      <c r="CE7" s="207" t="str">
        <f t="shared" si="4"/>
        <v/>
      </c>
      <c r="CF7" s="19"/>
      <c r="CG7" s="20"/>
      <c r="CH7" s="13"/>
      <c r="CI7" s="20"/>
    </row>
    <row r="8" spans="1:87" s="18" customFormat="1" ht="18" customHeight="1">
      <c r="A8" s="22">
        <f>+TABELLA!E12</f>
        <v>0</v>
      </c>
      <c r="B8" s="22">
        <f>+TABELLA!F12</f>
        <v>0</v>
      </c>
      <c r="C8" s="22">
        <f>+TABELLA!G12</f>
        <v>0</v>
      </c>
      <c r="D8" s="22">
        <f>+TABELLA!H12</f>
        <v>0</v>
      </c>
      <c r="E8" s="22"/>
      <c r="F8" s="26">
        <f>IF(TABELLA!B12="","",TABELLA!B12)</f>
        <v>10</v>
      </c>
      <c r="G8" s="27" t="str">
        <f>IF(TABELLA!C12="","",TABELLA!C12)</f>
        <v/>
      </c>
      <c r="H8" s="203" t="str">
        <f t="shared" si="2"/>
        <v/>
      </c>
      <c r="I8" s="203" t="str">
        <f t="shared" ref="I8:BO8" si="5">IF(AND(H$3&gt;=$A8,H$3&lt;$B8),1,IF(AND(H$3&gt;=$C8,H$3&lt;$D8),1,""))</f>
        <v/>
      </c>
      <c r="J8" s="203" t="str">
        <f t="shared" si="5"/>
        <v/>
      </c>
      <c r="K8" s="204" t="str">
        <f t="shared" si="5"/>
        <v/>
      </c>
      <c r="L8" s="205" t="str">
        <f t="shared" si="5"/>
        <v/>
      </c>
      <c r="M8" s="203" t="str">
        <f t="shared" si="5"/>
        <v/>
      </c>
      <c r="N8" s="203" t="str">
        <f t="shared" si="5"/>
        <v/>
      </c>
      <c r="O8" s="204" t="str">
        <f t="shared" si="5"/>
        <v/>
      </c>
      <c r="P8" s="205" t="str">
        <f t="shared" si="5"/>
        <v/>
      </c>
      <c r="Q8" s="203" t="str">
        <f t="shared" si="5"/>
        <v/>
      </c>
      <c r="R8" s="203" t="str">
        <f t="shared" si="5"/>
        <v/>
      </c>
      <c r="S8" s="204" t="str">
        <f t="shared" si="5"/>
        <v/>
      </c>
      <c r="T8" s="205" t="str">
        <f t="shared" si="5"/>
        <v/>
      </c>
      <c r="U8" s="203" t="str">
        <f t="shared" si="5"/>
        <v/>
      </c>
      <c r="V8" s="203" t="str">
        <f t="shared" si="5"/>
        <v/>
      </c>
      <c r="W8" s="204" t="str">
        <f t="shared" si="5"/>
        <v/>
      </c>
      <c r="X8" s="205" t="str">
        <f t="shared" si="5"/>
        <v/>
      </c>
      <c r="Y8" s="203" t="str">
        <f t="shared" si="5"/>
        <v/>
      </c>
      <c r="Z8" s="203" t="str">
        <f t="shared" si="5"/>
        <v/>
      </c>
      <c r="AA8" s="204" t="str">
        <f t="shared" si="5"/>
        <v/>
      </c>
      <c r="AB8" s="205" t="str">
        <f t="shared" si="5"/>
        <v/>
      </c>
      <c r="AC8" s="203" t="str">
        <f t="shared" si="5"/>
        <v/>
      </c>
      <c r="AD8" s="203" t="str">
        <f t="shared" si="5"/>
        <v/>
      </c>
      <c r="AE8" s="204" t="str">
        <f t="shared" si="5"/>
        <v/>
      </c>
      <c r="AF8" s="205" t="str">
        <f t="shared" si="5"/>
        <v/>
      </c>
      <c r="AG8" s="203" t="str">
        <f t="shared" si="5"/>
        <v/>
      </c>
      <c r="AH8" s="203" t="str">
        <f t="shared" si="5"/>
        <v/>
      </c>
      <c r="AI8" s="204" t="str">
        <f t="shared" si="5"/>
        <v/>
      </c>
      <c r="AJ8" s="205" t="str">
        <f t="shared" si="5"/>
        <v/>
      </c>
      <c r="AK8" s="203" t="str">
        <f t="shared" si="5"/>
        <v/>
      </c>
      <c r="AL8" s="203" t="str">
        <f t="shared" si="5"/>
        <v/>
      </c>
      <c r="AM8" s="204" t="str">
        <f t="shared" si="5"/>
        <v/>
      </c>
      <c r="AN8" s="205" t="str">
        <f t="shared" si="5"/>
        <v/>
      </c>
      <c r="AO8" s="203" t="str">
        <f t="shared" si="5"/>
        <v/>
      </c>
      <c r="AP8" s="203" t="str">
        <f t="shared" si="5"/>
        <v/>
      </c>
      <c r="AQ8" s="204" t="str">
        <f t="shared" si="5"/>
        <v/>
      </c>
      <c r="AR8" s="205" t="str">
        <f t="shared" si="5"/>
        <v/>
      </c>
      <c r="AS8" s="203" t="str">
        <f t="shared" si="5"/>
        <v/>
      </c>
      <c r="AT8" s="203" t="str">
        <f t="shared" si="5"/>
        <v/>
      </c>
      <c r="AU8" s="204" t="str">
        <f t="shared" si="5"/>
        <v/>
      </c>
      <c r="AV8" s="205" t="str">
        <f t="shared" si="5"/>
        <v/>
      </c>
      <c r="AW8" s="203" t="str">
        <f t="shared" si="5"/>
        <v/>
      </c>
      <c r="AX8" s="203" t="str">
        <f t="shared" si="5"/>
        <v/>
      </c>
      <c r="AY8" s="204" t="str">
        <f t="shared" si="5"/>
        <v/>
      </c>
      <c r="AZ8" s="205" t="str">
        <f t="shared" si="5"/>
        <v/>
      </c>
      <c r="BA8" s="203" t="str">
        <f t="shared" si="5"/>
        <v/>
      </c>
      <c r="BB8" s="203" t="str">
        <f t="shared" si="5"/>
        <v/>
      </c>
      <c r="BC8" s="204" t="str">
        <f t="shared" si="5"/>
        <v/>
      </c>
      <c r="BD8" s="205" t="str">
        <f t="shared" si="5"/>
        <v/>
      </c>
      <c r="BE8" s="203" t="str">
        <f t="shared" si="5"/>
        <v/>
      </c>
      <c r="BF8" s="203" t="str">
        <f t="shared" si="5"/>
        <v/>
      </c>
      <c r="BG8" s="204" t="str">
        <f t="shared" si="5"/>
        <v/>
      </c>
      <c r="BH8" s="205" t="str">
        <f t="shared" si="5"/>
        <v/>
      </c>
      <c r="BI8" s="203" t="str">
        <f t="shared" si="5"/>
        <v/>
      </c>
      <c r="BJ8" s="203" t="str">
        <f t="shared" si="5"/>
        <v/>
      </c>
      <c r="BK8" s="204" t="str">
        <f t="shared" si="5"/>
        <v/>
      </c>
      <c r="BL8" s="205" t="str">
        <f t="shared" si="5"/>
        <v/>
      </c>
      <c r="BM8" s="203" t="str">
        <f t="shared" si="5"/>
        <v/>
      </c>
      <c r="BN8" s="203" t="str">
        <f t="shared" si="5"/>
        <v/>
      </c>
      <c r="BO8" s="204" t="str">
        <f t="shared" si="5"/>
        <v/>
      </c>
      <c r="BP8" s="205" t="str">
        <f t="shared" ref="BP8:CE8" si="6">IF(AND(BO$3&gt;=$A8,BO$3&lt;$B8),1,IF(AND(BO$3&gt;=$C8,BO$3&lt;$D8),1,""))</f>
        <v/>
      </c>
      <c r="BQ8" s="203" t="str">
        <f t="shared" si="6"/>
        <v/>
      </c>
      <c r="BR8" s="203" t="str">
        <f t="shared" si="6"/>
        <v/>
      </c>
      <c r="BS8" s="204" t="str">
        <f t="shared" si="6"/>
        <v/>
      </c>
      <c r="BT8" s="205" t="str">
        <f t="shared" si="6"/>
        <v/>
      </c>
      <c r="BU8" s="203" t="str">
        <f t="shared" si="6"/>
        <v/>
      </c>
      <c r="BV8" s="203" t="str">
        <f t="shared" si="6"/>
        <v/>
      </c>
      <c r="BW8" s="204" t="str">
        <f t="shared" si="6"/>
        <v/>
      </c>
      <c r="BX8" s="205" t="str">
        <f t="shared" si="6"/>
        <v/>
      </c>
      <c r="BY8" s="203" t="str">
        <f t="shared" si="6"/>
        <v/>
      </c>
      <c r="BZ8" s="203" t="str">
        <f t="shared" si="6"/>
        <v/>
      </c>
      <c r="CA8" s="204" t="str">
        <f t="shared" si="6"/>
        <v/>
      </c>
      <c r="CB8" s="205" t="str">
        <f t="shared" si="6"/>
        <v/>
      </c>
      <c r="CC8" s="203" t="str">
        <f t="shared" si="6"/>
        <v/>
      </c>
      <c r="CD8" s="203" t="str">
        <f t="shared" si="6"/>
        <v/>
      </c>
      <c r="CE8" s="204" t="str">
        <f t="shared" si="6"/>
        <v/>
      </c>
      <c r="CF8" s="17"/>
      <c r="CG8" s="16"/>
      <c r="CH8" s="16"/>
      <c r="CI8" s="16"/>
    </row>
    <row r="9" spans="1:87" ht="18" customHeight="1">
      <c r="A9" s="22">
        <f>+TABELLA!E13</f>
        <v>0</v>
      </c>
      <c r="B9" s="22">
        <f>+TABELLA!F13</f>
        <v>0</v>
      </c>
      <c r="C9" s="22">
        <f>+TABELLA!G13</f>
        <v>0</v>
      </c>
      <c r="D9" s="22">
        <f>+TABELLA!H13</f>
        <v>0</v>
      </c>
      <c r="E9" s="22"/>
      <c r="F9" s="41">
        <f>IF(TABELLA!B13="","",TABELLA!B13)</f>
        <v>10</v>
      </c>
      <c r="G9" s="42" t="str">
        <f>IF(TABELLA!C13="","",TABELLA!C13)</f>
        <v>PIANTA LISA</v>
      </c>
      <c r="H9" s="206" t="str">
        <f t="shared" si="2"/>
        <v/>
      </c>
      <c r="I9" s="206" t="str">
        <f t="shared" ref="I9:BO9" si="7">IF(AND(H$3&gt;=$A9,H$3&lt;$B9),1,IF(AND(H$3&gt;=$C9,H$3&lt;$D9),1,""))</f>
        <v/>
      </c>
      <c r="J9" s="206" t="str">
        <f t="shared" si="7"/>
        <v/>
      </c>
      <c r="K9" s="207" t="str">
        <f t="shared" si="7"/>
        <v/>
      </c>
      <c r="L9" s="208" t="str">
        <f t="shared" si="7"/>
        <v/>
      </c>
      <c r="M9" s="206" t="str">
        <f t="shared" si="7"/>
        <v/>
      </c>
      <c r="N9" s="206" t="str">
        <f t="shared" si="7"/>
        <v/>
      </c>
      <c r="O9" s="207" t="str">
        <f t="shared" si="7"/>
        <v/>
      </c>
      <c r="P9" s="208" t="str">
        <f t="shared" si="7"/>
        <v/>
      </c>
      <c r="Q9" s="206" t="str">
        <f t="shared" si="7"/>
        <v/>
      </c>
      <c r="R9" s="206" t="str">
        <f t="shared" si="7"/>
        <v/>
      </c>
      <c r="S9" s="207" t="str">
        <f t="shared" si="7"/>
        <v/>
      </c>
      <c r="T9" s="208" t="str">
        <f t="shared" si="7"/>
        <v/>
      </c>
      <c r="U9" s="206" t="str">
        <f t="shared" si="7"/>
        <v/>
      </c>
      <c r="V9" s="206" t="str">
        <f t="shared" si="7"/>
        <v/>
      </c>
      <c r="W9" s="207" t="str">
        <f t="shared" si="7"/>
        <v/>
      </c>
      <c r="X9" s="208" t="str">
        <f t="shared" si="7"/>
        <v/>
      </c>
      <c r="Y9" s="206" t="str">
        <f t="shared" si="7"/>
        <v/>
      </c>
      <c r="Z9" s="206" t="str">
        <f t="shared" si="7"/>
        <v/>
      </c>
      <c r="AA9" s="207" t="str">
        <f t="shared" si="7"/>
        <v/>
      </c>
      <c r="AB9" s="208" t="str">
        <f t="shared" si="7"/>
        <v/>
      </c>
      <c r="AC9" s="206" t="str">
        <f t="shared" si="7"/>
        <v/>
      </c>
      <c r="AD9" s="206" t="str">
        <f t="shared" si="7"/>
        <v/>
      </c>
      <c r="AE9" s="207" t="str">
        <f t="shared" si="7"/>
        <v/>
      </c>
      <c r="AF9" s="208" t="str">
        <f t="shared" si="7"/>
        <v/>
      </c>
      <c r="AG9" s="206" t="str">
        <f t="shared" si="7"/>
        <v/>
      </c>
      <c r="AH9" s="206" t="str">
        <f t="shared" si="7"/>
        <v/>
      </c>
      <c r="AI9" s="207" t="str">
        <f t="shared" si="7"/>
        <v/>
      </c>
      <c r="AJ9" s="208" t="str">
        <f t="shared" si="7"/>
        <v/>
      </c>
      <c r="AK9" s="206" t="str">
        <f t="shared" si="7"/>
        <v/>
      </c>
      <c r="AL9" s="206" t="str">
        <f t="shared" si="7"/>
        <v/>
      </c>
      <c r="AM9" s="207" t="str">
        <f t="shared" si="7"/>
        <v/>
      </c>
      <c r="AN9" s="208" t="str">
        <f t="shared" si="7"/>
        <v/>
      </c>
      <c r="AO9" s="206" t="str">
        <f t="shared" si="7"/>
        <v/>
      </c>
      <c r="AP9" s="206" t="str">
        <f t="shared" si="7"/>
        <v/>
      </c>
      <c r="AQ9" s="207" t="str">
        <f t="shared" si="7"/>
        <v/>
      </c>
      <c r="AR9" s="208" t="str">
        <f t="shared" si="7"/>
        <v/>
      </c>
      <c r="AS9" s="206" t="str">
        <f t="shared" si="7"/>
        <v/>
      </c>
      <c r="AT9" s="206" t="str">
        <f t="shared" si="7"/>
        <v/>
      </c>
      <c r="AU9" s="207" t="str">
        <f t="shared" si="7"/>
        <v/>
      </c>
      <c r="AV9" s="208" t="str">
        <f t="shared" si="7"/>
        <v/>
      </c>
      <c r="AW9" s="206" t="str">
        <f t="shared" si="7"/>
        <v/>
      </c>
      <c r="AX9" s="206" t="str">
        <f t="shared" si="7"/>
        <v/>
      </c>
      <c r="AY9" s="207" t="str">
        <f t="shared" si="7"/>
        <v/>
      </c>
      <c r="AZ9" s="208" t="str">
        <f t="shared" si="7"/>
        <v/>
      </c>
      <c r="BA9" s="206" t="str">
        <f t="shared" si="7"/>
        <v/>
      </c>
      <c r="BB9" s="206" t="str">
        <f t="shared" si="7"/>
        <v/>
      </c>
      <c r="BC9" s="207" t="str">
        <f t="shared" si="7"/>
        <v/>
      </c>
      <c r="BD9" s="208" t="str">
        <f t="shared" si="7"/>
        <v/>
      </c>
      <c r="BE9" s="206" t="str">
        <f t="shared" si="7"/>
        <v/>
      </c>
      <c r="BF9" s="206" t="str">
        <f t="shared" si="7"/>
        <v/>
      </c>
      <c r="BG9" s="207" t="str">
        <f t="shared" si="7"/>
        <v/>
      </c>
      <c r="BH9" s="208" t="str">
        <f t="shared" si="7"/>
        <v/>
      </c>
      <c r="BI9" s="206" t="str">
        <f t="shared" si="7"/>
        <v/>
      </c>
      <c r="BJ9" s="206" t="str">
        <f t="shared" si="7"/>
        <v/>
      </c>
      <c r="BK9" s="207" t="str">
        <f t="shared" si="7"/>
        <v/>
      </c>
      <c r="BL9" s="208" t="str">
        <f t="shared" si="7"/>
        <v/>
      </c>
      <c r="BM9" s="206" t="str">
        <f t="shared" si="7"/>
        <v/>
      </c>
      <c r="BN9" s="206" t="str">
        <f t="shared" si="7"/>
        <v/>
      </c>
      <c r="BO9" s="207" t="str">
        <f t="shared" si="7"/>
        <v/>
      </c>
      <c r="BP9" s="208" t="str">
        <f t="shared" ref="BP9:CE9" si="8">IF(AND(BO$3&gt;=$A9,BO$3&lt;$B9),1,IF(AND(BO$3&gt;=$C9,BO$3&lt;$D9),1,""))</f>
        <v/>
      </c>
      <c r="BQ9" s="206" t="str">
        <f t="shared" si="8"/>
        <v/>
      </c>
      <c r="BR9" s="206" t="str">
        <f t="shared" si="8"/>
        <v/>
      </c>
      <c r="BS9" s="207" t="str">
        <f t="shared" si="8"/>
        <v/>
      </c>
      <c r="BT9" s="208" t="str">
        <f t="shared" si="8"/>
        <v/>
      </c>
      <c r="BU9" s="206" t="str">
        <f t="shared" si="8"/>
        <v/>
      </c>
      <c r="BV9" s="206" t="str">
        <f t="shared" si="8"/>
        <v/>
      </c>
      <c r="BW9" s="207" t="str">
        <f t="shared" si="8"/>
        <v/>
      </c>
      <c r="BX9" s="208" t="str">
        <f t="shared" si="8"/>
        <v/>
      </c>
      <c r="BY9" s="206" t="str">
        <f t="shared" si="8"/>
        <v/>
      </c>
      <c r="BZ9" s="206" t="str">
        <f t="shared" si="8"/>
        <v/>
      </c>
      <c r="CA9" s="207" t="str">
        <f t="shared" si="8"/>
        <v/>
      </c>
      <c r="CB9" s="208" t="str">
        <f t="shared" si="8"/>
        <v/>
      </c>
      <c r="CC9" s="206" t="str">
        <f t="shared" si="8"/>
        <v/>
      </c>
      <c r="CD9" s="206" t="str">
        <f t="shared" si="8"/>
        <v/>
      </c>
      <c r="CE9" s="207" t="str">
        <f t="shared" si="8"/>
        <v/>
      </c>
    </row>
    <row r="10" spans="1:87" ht="18" customHeight="1">
      <c r="A10" s="22">
        <f>+TABELLA!E14</f>
        <v>0</v>
      </c>
      <c r="B10" s="22">
        <f>+TABELLA!F14</f>
        <v>0</v>
      </c>
      <c r="C10" s="22">
        <f>+TABELLA!G14</f>
        <v>0</v>
      </c>
      <c r="D10" s="22">
        <f>+TABELLA!H14</f>
        <v>0</v>
      </c>
      <c r="E10" s="22"/>
      <c r="F10" s="26">
        <f>IF(TABELLA!B14="","",TABELLA!B14)</f>
        <v>10</v>
      </c>
      <c r="G10" s="27" t="str">
        <f>IF(TABELLA!C14="","",TABELLA!C14)</f>
        <v>VELENCINA ELAINE</v>
      </c>
      <c r="H10" s="203" t="str">
        <f t="shared" si="2"/>
        <v/>
      </c>
      <c r="I10" s="203" t="str">
        <f t="shared" ref="I10:BO10" si="9">IF(AND(H$3&gt;=$A10,H$3&lt;$B10),1,IF(AND(H$3&gt;=$C10,H$3&lt;$D10),1,""))</f>
        <v/>
      </c>
      <c r="J10" s="203" t="str">
        <f t="shared" si="9"/>
        <v/>
      </c>
      <c r="K10" s="204" t="str">
        <f t="shared" si="9"/>
        <v/>
      </c>
      <c r="L10" s="205" t="str">
        <f t="shared" si="9"/>
        <v/>
      </c>
      <c r="M10" s="203" t="str">
        <f t="shared" si="9"/>
        <v/>
      </c>
      <c r="N10" s="203" t="str">
        <f t="shared" si="9"/>
        <v/>
      </c>
      <c r="O10" s="204" t="str">
        <f t="shared" si="9"/>
        <v/>
      </c>
      <c r="P10" s="205" t="str">
        <f t="shared" si="9"/>
        <v/>
      </c>
      <c r="Q10" s="203" t="str">
        <f t="shared" si="9"/>
        <v/>
      </c>
      <c r="R10" s="203" t="str">
        <f t="shared" si="9"/>
        <v/>
      </c>
      <c r="S10" s="204" t="str">
        <f t="shared" si="9"/>
        <v/>
      </c>
      <c r="T10" s="205" t="str">
        <f t="shared" si="9"/>
        <v/>
      </c>
      <c r="U10" s="203" t="str">
        <f t="shared" si="9"/>
        <v/>
      </c>
      <c r="V10" s="203" t="str">
        <f t="shared" si="9"/>
        <v/>
      </c>
      <c r="W10" s="204" t="str">
        <f t="shared" si="9"/>
        <v/>
      </c>
      <c r="X10" s="205" t="str">
        <f t="shared" si="9"/>
        <v/>
      </c>
      <c r="Y10" s="203" t="str">
        <f t="shared" si="9"/>
        <v/>
      </c>
      <c r="Z10" s="203" t="str">
        <f t="shared" si="9"/>
        <v/>
      </c>
      <c r="AA10" s="204" t="str">
        <f t="shared" si="9"/>
        <v/>
      </c>
      <c r="AB10" s="205" t="str">
        <f t="shared" si="9"/>
        <v/>
      </c>
      <c r="AC10" s="203" t="str">
        <f t="shared" si="9"/>
        <v/>
      </c>
      <c r="AD10" s="203" t="str">
        <f t="shared" si="9"/>
        <v/>
      </c>
      <c r="AE10" s="204" t="str">
        <f t="shared" si="9"/>
        <v/>
      </c>
      <c r="AF10" s="205" t="str">
        <f t="shared" si="9"/>
        <v/>
      </c>
      <c r="AG10" s="203" t="str">
        <f t="shared" si="9"/>
        <v/>
      </c>
      <c r="AH10" s="203" t="str">
        <f t="shared" si="9"/>
        <v/>
      </c>
      <c r="AI10" s="204" t="str">
        <f t="shared" si="9"/>
        <v/>
      </c>
      <c r="AJ10" s="205" t="str">
        <f t="shared" si="9"/>
        <v/>
      </c>
      <c r="AK10" s="203" t="str">
        <f t="shared" si="9"/>
        <v/>
      </c>
      <c r="AL10" s="203" t="str">
        <f t="shared" si="9"/>
        <v/>
      </c>
      <c r="AM10" s="204" t="str">
        <f t="shared" si="9"/>
        <v/>
      </c>
      <c r="AN10" s="205" t="str">
        <f t="shared" si="9"/>
        <v/>
      </c>
      <c r="AO10" s="203" t="str">
        <f t="shared" si="9"/>
        <v/>
      </c>
      <c r="AP10" s="203" t="str">
        <f t="shared" si="9"/>
        <v/>
      </c>
      <c r="AQ10" s="204" t="str">
        <f t="shared" si="9"/>
        <v/>
      </c>
      <c r="AR10" s="205" t="str">
        <f t="shared" si="9"/>
        <v/>
      </c>
      <c r="AS10" s="203" t="str">
        <f t="shared" si="9"/>
        <v/>
      </c>
      <c r="AT10" s="203" t="str">
        <f t="shared" si="9"/>
        <v/>
      </c>
      <c r="AU10" s="204" t="str">
        <f t="shared" si="9"/>
        <v/>
      </c>
      <c r="AV10" s="205" t="str">
        <f t="shared" si="9"/>
        <v/>
      </c>
      <c r="AW10" s="203" t="str">
        <f t="shared" si="9"/>
        <v/>
      </c>
      <c r="AX10" s="203" t="str">
        <f t="shared" si="9"/>
        <v/>
      </c>
      <c r="AY10" s="204" t="str">
        <f t="shared" si="9"/>
        <v/>
      </c>
      <c r="AZ10" s="205" t="str">
        <f t="shared" si="9"/>
        <v/>
      </c>
      <c r="BA10" s="203" t="str">
        <f t="shared" si="9"/>
        <v/>
      </c>
      <c r="BB10" s="203" t="str">
        <f t="shared" si="9"/>
        <v/>
      </c>
      <c r="BC10" s="204" t="str">
        <f t="shared" si="9"/>
        <v/>
      </c>
      <c r="BD10" s="205" t="str">
        <f t="shared" si="9"/>
        <v/>
      </c>
      <c r="BE10" s="203" t="str">
        <f t="shared" si="9"/>
        <v/>
      </c>
      <c r="BF10" s="203" t="str">
        <f t="shared" si="9"/>
        <v/>
      </c>
      <c r="BG10" s="204" t="str">
        <f t="shared" si="9"/>
        <v/>
      </c>
      <c r="BH10" s="205" t="str">
        <f t="shared" si="9"/>
        <v/>
      </c>
      <c r="BI10" s="203" t="str">
        <f t="shared" si="9"/>
        <v/>
      </c>
      <c r="BJ10" s="203" t="str">
        <f t="shared" si="9"/>
        <v/>
      </c>
      <c r="BK10" s="204" t="str">
        <f t="shared" si="9"/>
        <v/>
      </c>
      <c r="BL10" s="205" t="str">
        <f t="shared" si="9"/>
        <v/>
      </c>
      <c r="BM10" s="203" t="str">
        <f t="shared" si="9"/>
        <v/>
      </c>
      <c r="BN10" s="203" t="str">
        <f t="shared" si="9"/>
        <v/>
      </c>
      <c r="BO10" s="204" t="str">
        <f t="shared" si="9"/>
        <v/>
      </c>
      <c r="BP10" s="205" t="str">
        <f t="shared" ref="BP10:CE10" si="10">IF(AND(BO$3&gt;=$A10,BO$3&lt;$B10),1,IF(AND(BO$3&gt;=$C10,BO$3&lt;$D10),1,""))</f>
        <v/>
      </c>
      <c r="BQ10" s="203" t="str">
        <f t="shared" si="10"/>
        <v/>
      </c>
      <c r="BR10" s="203" t="str">
        <f t="shared" si="10"/>
        <v/>
      </c>
      <c r="BS10" s="204" t="str">
        <f t="shared" si="10"/>
        <v/>
      </c>
      <c r="BT10" s="205" t="str">
        <f t="shared" si="10"/>
        <v/>
      </c>
      <c r="BU10" s="203" t="str">
        <f t="shared" si="10"/>
        <v/>
      </c>
      <c r="BV10" s="203" t="str">
        <f t="shared" si="10"/>
        <v/>
      </c>
      <c r="BW10" s="204" t="str">
        <f t="shared" si="10"/>
        <v/>
      </c>
      <c r="BX10" s="205" t="str">
        <f t="shared" si="10"/>
        <v/>
      </c>
      <c r="BY10" s="203" t="str">
        <f t="shared" si="10"/>
        <v/>
      </c>
      <c r="BZ10" s="203" t="str">
        <f t="shared" si="10"/>
        <v/>
      </c>
      <c r="CA10" s="204" t="str">
        <f t="shared" si="10"/>
        <v/>
      </c>
      <c r="CB10" s="205" t="str">
        <f t="shared" si="10"/>
        <v/>
      </c>
      <c r="CC10" s="203" t="str">
        <f t="shared" si="10"/>
        <v/>
      </c>
      <c r="CD10" s="203" t="str">
        <f t="shared" si="10"/>
        <v/>
      </c>
      <c r="CE10" s="204" t="str">
        <f t="shared" si="10"/>
        <v/>
      </c>
    </row>
    <row r="11" spans="1:87" ht="18" customHeight="1">
      <c r="A11" s="22">
        <f>+TABELLA!E15</f>
        <v>0</v>
      </c>
      <c r="B11" s="22">
        <f>+TABELLA!F15</f>
        <v>0</v>
      </c>
      <c r="C11" s="22">
        <f>+TABELLA!G15</f>
        <v>0</v>
      </c>
      <c r="D11" s="22">
        <f>+TABELLA!H15</f>
        <v>0</v>
      </c>
      <c r="E11" s="22"/>
      <c r="F11" s="41">
        <f>IF(TABELLA!B15="","",TABELLA!B15)</f>
        <v>10</v>
      </c>
      <c r="G11" s="42" t="str">
        <f>IF(TABELLA!C15="","",TABELLA!C15)</f>
        <v/>
      </c>
      <c r="H11" s="206" t="str">
        <f t="shared" si="2"/>
        <v/>
      </c>
      <c r="I11" s="206" t="str">
        <f t="shared" ref="I11:BO11" si="11">IF(AND(H$3&gt;=$A11,H$3&lt;$B11),1,IF(AND(H$3&gt;=$C11,H$3&lt;$D11),1,""))</f>
        <v/>
      </c>
      <c r="J11" s="206" t="str">
        <f t="shared" si="11"/>
        <v/>
      </c>
      <c r="K11" s="207" t="str">
        <f t="shared" si="11"/>
        <v/>
      </c>
      <c r="L11" s="208" t="str">
        <f t="shared" si="11"/>
        <v/>
      </c>
      <c r="M11" s="206" t="str">
        <f t="shared" si="11"/>
        <v/>
      </c>
      <c r="N11" s="206" t="str">
        <f t="shared" si="11"/>
        <v/>
      </c>
      <c r="O11" s="207" t="str">
        <f t="shared" si="11"/>
        <v/>
      </c>
      <c r="P11" s="208" t="str">
        <f t="shared" si="11"/>
        <v/>
      </c>
      <c r="Q11" s="206" t="str">
        <f t="shared" si="11"/>
        <v/>
      </c>
      <c r="R11" s="206" t="str">
        <f t="shared" si="11"/>
        <v/>
      </c>
      <c r="S11" s="207" t="str">
        <f t="shared" si="11"/>
        <v/>
      </c>
      <c r="T11" s="208" t="str">
        <f t="shared" si="11"/>
        <v/>
      </c>
      <c r="U11" s="206" t="str">
        <f t="shared" si="11"/>
        <v/>
      </c>
      <c r="V11" s="206" t="str">
        <f t="shared" si="11"/>
        <v/>
      </c>
      <c r="W11" s="207" t="str">
        <f t="shared" si="11"/>
        <v/>
      </c>
      <c r="X11" s="208" t="str">
        <f t="shared" si="11"/>
        <v/>
      </c>
      <c r="Y11" s="206" t="str">
        <f t="shared" si="11"/>
        <v/>
      </c>
      <c r="Z11" s="206" t="str">
        <f t="shared" si="11"/>
        <v/>
      </c>
      <c r="AA11" s="207" t="str">
        <f t="shared" si="11"/>
        <v/>
      </c>
      <c r="AB11" s="208" t="str">
        <f t="shared" si="11"/>
        <v/>
      </c>
      <c r="AC11" s="206" t="str">
        <f t="shared" si="11"/>
        <v/>
      </c>
      <c r="AD11" s="206" t="str">
        <f t="shared" si="11"/>
        <v/>
      </c>
      <c r="AE11" s="207" t="str">
        <f t="shared" si="11"/>
        <v/>
      </c>
      <c r="AF11" s="208" t="str">
        <f t="shared" si="11"/>
        <v/>
      </c>
      <c r="AG11" s="206" t="str">
        <f t="shared" si="11"/>
        <v/>
      </c>
      <c r="AH11" s="206" t="str">
        <f t="shared" si="11"/>
        <v/>
      </c>
      <c r="AI11" s="207" t="str">
        <f t="shared" si="11"/>
        <v/>
      </c>
      <c r="AJ11" s="208" t="str">
        <f t="shared" si="11"/>
        <v/>
      </c>
      <c r="AK11" s="206" t="str">
        <f t="shared" si="11"/>
        <v/>
      </c>
      <c r="AL11" s="206" t="str">
        <f t="shared" si="11"/>
        <v/>
      </c>
      <c r="AM11" s="207" t="str">
        <f t="shared" si="11"/>
        <v/>
      </c>
      <c r="AN11" s="208" t="str">
        <f t="shared" si="11"/>
        <v/>
      </c>
      <c r="AO11" s="206" t="str">
        <f t="shared" si="11"/>
        <v/>
      </c>
      <c r="AP11" s="206" t="str">
        <f t="shared" si="11"/>
        <v/>
      </c>
      <c r="AQ11" s="207" t="str">
        <f t="shared" si="11"/>
        <v/>
      </c>
      <c r="AR11" s="208" t="str">
        <f t="shared" si="11"/>
        <v/>
      </c>
      <c r="AS11" s="206" t="str">
        <f t="shared" si="11"/>
        <v/>
      </c>
      <c r="AT11" s="206" t="str">
        <f t="shared" si="11"/>
        <v/>
      </c>
      <c r="AU11" s="207" t="str">
        <f t="shared" si="11"/>
        <v/>
      </c>
      <c r="AV11" s="208" t="str">
        <f t="shared" si="11"/>
        <v/>
      </c>
      <c r="AW11" s="206" t="str">
        <f t="shared" si="11"/>
        <v/>
      </c>
      <c r="AX11" s="206" t="str">
        <f t="shared" si="11"/>
        <v/>
      </c>
      <c r="AY11" s="207" t="str">
        <f t="shared" si="11"/>
        <v/>
      </c>
      <c r="AZ11" s="208" t="str">
        <f t="shared" si="11"/>
        <v/>
      </c>
      <c r="BA11" s="206" t="str">
        <f t="shared" si="11"/>
        <v/>
      </c>
      <c r="BB11" s="206" t="str">
        <f t="shared" si="11"/>
        <v/>
      </c>
      <c r="BC11" s="207" t="str">
        <f t="shared" si="11"/>
        <v/>
      </c>
      <c r="BD11" s="208" t="str">
        <f t="shared" si="11"/>
        <v/>
      </c>
      <c r="BE11" s="206" t="str">
        <f t="shared" si="11"/>
        <v/>
      </c>
      <c r="BF11" s="206" t="str">
        <f t="shared" si="11"/>
        <v/>
      </c>
      <c r="BG11" s="207" t="str">
        <f t="shared" si="11"/>
        <v/>
      </c>
      <c r="BH11" s="208" t="str">
        <f t="shared" si="11"/>
        <v/>
      </c>
      <c r="BI11" s="206" t="str">
        <f t="shared" si="11"/>
        <v/>
      </c>
      <c r="BJ11" s="206" t="str">
        <f t="shared" si="11"/>
        <v/>
      </c>
      <c r="BK11" s="207" t="str">
        <f t="shared" si="11"/>
        <v/>
      </c>
      <c r="BL11" s="208" t="str">
        <f t="shared" si="11"/>
        <v/>
      </c>
      <c r="BM11" s="206" t="str">
        <f t="shared" si="11"/>
        <v/>
      </c>
      <c r="BN11" s="206" t="str">
        <f t="shared" si="11"/>
        <v/>
      </c>
      <c r="BO11" s="207" t="str">
        <f t="shared" si="11"/>
        <v/>
      </c>
      <c r="BP11" s="208" t="str">
        <f t="shared" ref="BP11:CE11" si="12">IF(AND(BO$3&gt;=$A11,BO$3&lt;$B11),1,IF(AND(BO$3&gt;=$C11,BO$3&lt;$D11),1,""))</f>
        <v/>
      </c>
      <c r="BQ11" s="206" t="str">
        <f t="shared" si="12"/>
        <v/>
      </c>
      <c r="BR11" s="206" t="str">
        <f t="shared" si="12"/>
        <v/>
      </c>
      <c r="BS11" s="207" t="str">
        <f t="shared" si="12"/>
        <v/>
      </c>
      <c r="BT11" s="208" t="str">
        <f t="shared" si="12"/>
        <v/>
      </c>
      <c r="BU11" s="206" t="str">
        <f t="shared" si="12"/>
        <v/>
      </c>
      <c r="BV11" s="206" t="str">
        <f t="shared" si="12"/>
        <v/>
      </c>
      <c r="BW11" s="207" t="str">
        <f t="shared" si="12"/>
        <v/>
      </c>
      <c r="BX11" s="208" t="str">
        <f t="shared" si="12"/>
        <v/>
      </c>
      <c r="BY11" s="206" t="str">
        <f t="shared" si="12"/>
        <v/>
      </c>
      <c r="BZ11" s="206" t="str">
        <f t="shared" si="12"/>
        <v/>
      </c>
      <c r="CA11" s="207" t="str">
        <f t="shared" si="12"/>
        <v/>
      </c>
      <c r="CB11" s="208" t="str">
        <f t="shared" si="12"/>
        <v/>
      </c>
      <c r="CC11" s="206" t="str">
        <f t="shared" si="12"/>
        <v/>
      </c>
      <c r="CD11" s="206" t="str">
        <f t="shared" si="12"/>
        <v/>
      </c>
      <c r="CE11" s="207" t="str">
        <f t="shared" si="12"/>
        <v/>
      </c>
    </row>
    <row r="12" spans="1:87" ht="18" customHeight="1">
      <c r="A12" s="22">
        <f>+TABELLA!E16</f>
        <v>9.3000000000000007</v>
      </c>
      <c r="B12" s="22">
        <f>+TABELLA!F16</f>
        <v>13.3</v>
      </c>
      <c r="C12" s="22">
        <f>+TABELLA!G16</f>
        <v>16</v>
      </c>
      <c r="D12" s="22">
        <f>+TABELLA!H16</f>
        <v>20.149999999999999</v>
      </c>
      <c r="E12" s="22"/>
      <c r="F12" s="26">
        <f>IF(TABELLA!B16="","",TABELLA!B16)</f>
        <v>10</v>
      </c>
      <c r="G12" s="27" t="str">
        <f>IF(TABELLA!C16="","",TABELLA!C16)</f>
        <v>ALAM ARA</v>
      </c>
      <c r="H12" s="203" t="str">
        <f t="shared" si="2"/>
        <v/>
      </c>
      <c r="I12" s="203" t="str">
        <f t="shared" ref="I12:BO12" si="13">IF(AND(H$3&gt;=$A12,H$3&lt;$B12),1,IF(AND(H$3&gt;=$C12,H$3&lt;$D12),1,""))</f>
        <v/>
      </c>
      <c r="J12" s="203" t="str">
        <f t="shared" si="13"/>
        <v/>
      </c>
      <c r="K12" s="204" t="str">
        <f t="shared" si="13"/>
        <v/>
      </c>
      <c r="L12" s="205" t="str">
        <f t="shared" si="13"/>
        <v/>
      </c>
      <c r="M12" s="203" t="str">
        <f t="shared" si="13"/>
        <v/>
      </c>
      <c r="N12" s="203" t="str">
        <f t="shared" si="13"/>
        <v/>
      </c>
      <c r="O12" s="204" t="str">
        <f t="shared" si="13"/>
        <v/>
      </c>
      <c r="P12" s="205" t="str">
        <f t="shared" si="13"/>
        <v/>
      </c>
      <c r="Q12" s="203" t="str">
        <f t="shared" si="13"/>
        <v/>
      </c>
      <c r="R12" s="203" t="str">
        <f t="shared" si="13"/>
        <v/>
      </c>
      <c r="S12" s="204" t="str">
        <f t="shared" si="13"/>
        <v/>
      </c>
      <c r="T12" s="205" t="str">
        <f t="shared" si="13"/>
        <v/>
      </c>
      <c r="U12" s="203" t="str">
        <f t="shared" si="13"/>
        <v/>
      </c>
      <c r="V12" s="203" t="str">
        <f t="shared" si="13"/>
        <v/>
      </c>
      <c r="W12" s="204" t="str">
        <f t="shared" si="13"/>
        <v/>
      </c>
      <c r="X12" s="205" t="str">
        <f t="shared" si="13"/>
        <v/>
      </c>
      <c r="Y12" s="203" t="str">
        <f t="shared" si="13"/>
        <v/>
      </c>
      <c r="Z12" s="203">
        <f t="shared" si="13"/>
        <v>1</v>
      </c>
      <c r="AA12" s="204">
        <f t="shared" si="13"/>
        <v>1</v>
      </c>
      <c r="AB12" s="205">
        <f t="shared" si="13"/>
        <v>1</v>
      </c>
      <c r="AC12" s="203">
        <f t="shared" si="13"/>
        <v>1</v>
      </c>
      <c r="AD12" s="203">
        <f t="shared" si="13"/>
        <v>1</v>
      </c>
      <c r="AE12" s="204">
        <f t="shared" si="13"/>
        <v>1</v>
      </c>
      <c r="AF12" s="205">
        <f t="shared" si="13"/>
        <v>1</v>
      </c>
      <c r="AG12" s="203">
        <f t="shared" si="13"/>
        <v>1</v>
      </c>
      <c r="AH12" s="203">
        <f t="shared" si="13"/>
        <v>1</v>
      </c>
      <c r="AI12" s="204">
        <f t="shared" si="13"/>
        <v>1</v>
      </c>
      <c r="AJ12" s="205">
        <f t="shared" si="13"/>
        <v>1</v>
      </c>
      <c r="AK12" s="203">
        <f t="shared" si="13"/>
        <v>1</v>
      </c>
      <c r="AL12" s="203">
        <f t="shared" si="13"/>
        <v>1</v>
      </c>
      <c r="AM12" s="204">
        <f t="shared" si="13"/>
        <v>1</v>
      </c>
      <c r="AN12" s="205">
        <f t="shared" si="13"/>
        <v>1</v>
      </c>
      <c r="AO12" s="203">
        <f t="shared" si="13"/>
        <v>1</v>
      </c>
      <c r="AP12" s="203" t="str">
        <f t="shared" si="13"/>
        <v/>
      </c>
      <c r="AQ12" s="204" t="str">
        <f t="shared" si="13"/>
        <v/>
      </c>
      <c r="AR12" s="205" t="str">
        <f t="shared" si="13"/>
        <v/>
      </c>
      <c r="AS12" s="203" t="str">
        <f t="shared" si="13"/>
        <v/>
      </c>
      <c r="AT12" s="203" t="str">
        <f t="shared" si="13"/>
        <v/>
      </c>
      <c r="AU12" s="204" t="str">
        <f t="shared" si="13"/>
        <v/>
      </c>
      <c r="AV12" s="205" t="str">
        <f t="shared" si="13"/>
        <v/>
      </c>
      <c r="AW12" s="203" t="str">
        <f t="shared" si="13"/>
        <v/>
      </c>
      <c r="AX12" s="203" t="str">
        <f t="shared" si="13"/>
        <v/>
      </c>
      <c r="AY12" s="204" t="str">
        <f t="shared" si="13"/>
        <v/>
      </c>
      <c r="AZ12" s="205">
        <f t="shared" si="13"/>
        <v>1</v>
      </c>
      <c r="BA12" s="203">
        <f t="shared" si="13"/>
        <v>1</v>
      </c>
      <c r="BB12" s="203">
        <f t="shared" si="13"/>
        <v>1</v>
      </c>
      <c r="BC12" s="204">
        <f t="shared" si="13"/>
        <v>1</v>
      </c>
      <c r="BD12" s="205">
        <f t="shared" si="13"/>
        <v>1</v>
      </c>
      <c r="BE12" s="203">
        <f t="shared" si="13"/>
        <v>1</v>
      </c>
      <c r="BF12" s="203">
        <f t="shared" si="13"/>
        <v>1</v>
      </c>
      <c r="BG12" s="204">
        <f t="shared" si="13"/>
        <v>1</v>
      </c>
      <c r="BH12" s="205">
        <f t="shared" si="13"/>
        <v>1</v>
      </c>
      <c r="BI12" s="203">
        <f t="shared" si="13"/>
        <v>1</v>
      </c>
      <c r="BJ12" s="203">
        <f t="shared" si="13"/>
        <v>1</v>
      </c>
      <c r="BK12" s="204">
        <f t="shared" si="13"/>
        <v>1</v>
      </c>
      <c r="BL12" s="205">
        <f t="shared" si="13"/>
        <v>1</v>
      </c>
      <c r="BM12" s="203">
        <f t="shared" si="13"/>
        <v>1</v>
      </c>
      <c r="BN12" s="203">
        <f t="shared" si="13"/>
        <v>1</v>
      </c>
      <c r="BO12" s="204">
        <f t="shared" si="13"/>
        <v>1</v>
      </c>
      <c r="BP12" s="205">
        <f t="shared" ref="BP12:CE12" si="14">IF(AND(BO$3&gt;=$A12,BO$3&lt;$B12),1,IF(AND(BO$3&gt;=$C12,BO$3&lt;$D12),1,""))</f>
        <v>1</v>
      </c>
      <c r="BQ12" s="203" t="str">
        <f t="shared" si="14"/>
        <v/>
      </c>
      <c r="BR12" s="203" t="str">
        <f t="shared" si="14"/>
        <v/>
      </c>
      <c r="BS12" s="204" t="str">
        <f t="shared" si="14"/>
        <v/>
      </c>
      <c r="BT12" s="205" t="str">
        <f t="shared" si="14"/>
        <v/>
      </c>
      <c r="BU12" s="203" t="str">
        <f t="shared" si="14"/>
        <v/>
      </c>
      <c r="BV12" s="203" t="str">
        <f t="shared" si="14"/>
        <v/>
      </c>
      <c r="BW12" s="204" t="str">
        <f t="shared" si="14"/>
        <v/>
      </c>
      <c r="BX12" s="205" t="str">
        <f t="shared" si="14"/>
        <v/>
      </c>
      <c r="BY12" s="203" t="str">
        <f t="shared" si="14"/>
        <v/>
      </c>
      <c r="BZ12" s="203" t="str">
        <f t="shared" si="14"/>
        <v/>
      </c>
      <c r="CA12" s="204" t="str">
        <f t="shared" si="14"/>
        <v/>
      </c>
      <c r="CB12" s="205" t="str">
        <f t="shared" si="14"/>
        <v/>
      </c>
      <c r="CC12" s="203" t="str">
        <f t="shared" si="14"/>
        <v/>
      </c>
      <c r="CD12" s="203" t="str">
        <f t="shared" si="14"/>
        <v/>
      </c>
      <c r="CE12" s="204" t="str">
        <f t="shared" si="14"/>
        <v/>
      </c>
    </row>
    <row r="13" spans="1:87" ht="18" customHeight="1">
      <c r="A13" s="22">
        <f>+TABELLA!E17</f>
        <v>0</v>
      </c>
      <c r="B13" s="22">
        <f>+TABELLA!F17</f>
        <v>0</v>
      </c>
      <c r="C13" s="22">
        <f>+TABELLA!G17</f>
        <v>0</v>
      </c>
      <c r="D13" s="22">
        <f>+TABELLA!H17</f>
        <v>0</v>
      </c>
      <c r="E13" s="22"/>
      <c r="F13" s="41">
        <f>IF(TABELLA!B17="","",TABELLA!B17)</f>
        <v>10</v>
      </c>
      <c r="G13" s="42" t="str">
        <f>IF(TABELLA!C17="","",TABELLA!C17)</f>
        <v>BONATO ANGELO</v>
      </c>
      <c r="H13" s="206" t="str">
        <f t="shared" si="2"/>
        <v/>
      </c>
      <c r="I13" s="206" t="str">
        <f t="shared" ref="I13:BO13" si="15">IF(AND(H$3&gt;=$A13,H$3&lt;$B13),1,IF(AND(H$3&gt;=$C13,H$3&lt;$D13),1,""))</f>
        <v/>
      </c>
      <c r="J13" s="206" t="str">
        <f t="shared" si="15"/>
        <v/>
      </c>
      <c r="K13" s="207" t="str">
        <f t="shared" si="15"/>
        <v/>
      </c>
      <c r="L13" s="208" t="str">
        <f t="shared" si="15"/>
        <v/>
      </c>
      <c r="M13" s="206" t="str">
        <f t="shared" si="15"/>
        <v/>
      </c>
      <c r="N13" s="206" t="str">
        <f t="shared" si="15"/>
        <v/>
      </c>
      <c r="O13" s="207" t="str">
        <f t="shared" si="15"/>
        <v/>
      </c>
      <c r="P13" s="208" t="str">
        <f t="shared" si="15"/>
        <v/>
      </c>
      <c r="Q13" s="206" t="str">
        <f t="shared" si="15"/>
        <v/>
      </c>
      <c r="R13" s="206" t="str">
        <f t="shared" si="15"/>
        <v/>
      </c>
      <c r="S13" s="207" t="str">
        <f t="shared" si="15"/>
        <v/>
      </c>
      <c r="T13" s="208" t="str">
        <f t="shared" si="15"/>
        <v/>
      </c>
      <c r="U13" s="206" t="str">
        <f t="shared" si="15"/>
        <v/>
      </c>
      <c r="V13" s="206" t="str">
        <f t="shared" si="15"/>
        <v/>
      </c>
      <c r="W13" s="207" t="str">
        <f t="shared" si="15"/>
        <v/>
      </c>
      <c r="X13" s="208" t="str">
        <f t="shared" si="15"/>
        <v/>
      </c>
      <c r="Y13" s="206" t="str">
        <f t="shared" si="15"/>
        <v/>
      </c>
      <c r="Z13" s="206" t="str">
        <f t="shared" si="15"/>
        <v/>
      </c>
      <c r="AA13" s="207" t="str">
        <f t="shared" si="15"/>
        <v/>
      </c>
      <c r="AB13" s="208" t="str">
        <f t="shared" si="15"/>
        <v/>
      </c>
      <c r="AC13" s="206" t="str">
        <f t="shared" si="15"/>
        <v/>
      </c>
      <c r="AD13" s="206" t="str">
        <f t="shared" si="15"/>
        <v/>
      </c>
      <c r="AE13" s="207" t="str">
        <f t="shared" si="15"/>
        <v/>
      </c>
      <c r="AF13" s="208" t="str">
        <f t="shared" si="15"/>
        <v/>
      </c>
      <c r="AG13" s="206" t="str">
        <f t="shared" si="15"/>
        <v/>
      </c>
      <c r="AH13" s="206" t="str">
        <f t="shared" si="15"/>
        <v/>
      </c>
      <c r="AI13" s="207" t="str">
        <f t="shared" si="15"/>
        <v/>
      </c>
      <c r="AJ13" s="208" t="str">
        <f t="shared" si="15"/>
        <v/>
      </c>
      <c r="AK13" s="206" t="str">
        <f t="shared" si="15"/>
        <v/>
      </c>
      <c r="AL13" s="206" t="str">
        <f t="shared" si="15"/>
        <v/>
      </c>
      <c r="AM13" s="207" t="str">
        <f t="shared" si="15"/>
        <v/>
      </c>
      <c r="AN13" s="208" t="str">
        <f t="shared" si="15"/>
        <v/>
      </c>
      <c r="AO13" s="206" t="str">
        <f t="shared" si="15"/>
        <v/>
      </c>
      <c r="AP13" s="206" t="str">
        <f t="shared" si="15"/>
        <v/>
      </c>
      <c r="AQ13" s="207" t="str">
        <f t="shared" si="15"/>
        <v/>
      </c>
      <c r="AR13" s="208" t="str">
        <f t="shared" si="15"/>
        <v/>
      </c>
      <c r="AS13" s="206" t="str">
        <f t="shared" si="15"/>
        <v/>
      </c>
      <c r="AT13" s="206" t="str">
        <f t="shared" si="15"/>
        <v/>
      </c>
      <c r="AU13" s="207" t="str">
        <f t="shared" si="15"/>
        <v/>
      </c>
      <c r="AV13" s="208" t="str">
        <f t="shared" si="15"/>
        <v/>
      </c>
      <c r="AW13" s="206" t="str">
        <f t="shared" si="15"/>
        <v/>
      </c>
      <c r="AX13" s="206" t="str">
        <f t="shared" si="15"/>
        <v/>
      </c>
      <c r="AY13" s="207" t="str">
        <f t="shared" si="15"/>
        <v/>
      </c>
      <c r="AZ13" s="208" t="str">
        <f t="shared" si="15"/>
        <v/>
      </c>
      <c r="BA13" s="206" t="str">
        <f t="shared" si="15"/>
        <v/>
      </c>
      <c r="BB13" s="206" t="str">
        <f t="shared" si="15"/>
        <v/>
      </c>
      <c r="BC13" s="207" t="str">
        <f t="shared" si="15"/>
        <v/>
      </c>
      <c r="BD13" s="208" t="str">
        <f t="shared" si="15"/>
        <v/>
      </c>
      <c r="BE13" s="206" t="str">
        <f t="shared" si="15"/>
        <v/>
      </c>
      <c r="BF13" s="206" t="str">
        <f t="shared" si="15"/>
        <v/>
      </c>
      <c r="BG13" s="207" t="str">
        <f t="shared" si="15"/>
        <v/>
      </c>
      <c r="BH13" s="208" t="str">
        <f t="shared" si="15"/>
        <v/>
      </c>
      <c r="BI13" s="206" t="str">
        <f t="shared" si="15"/>
        <v/>
      </c>
      <c r="BJ13" s="206" t="str">
        <f t="shared" si="15"/>
        <v/>
      </c>
      <c r="BK13" s="207" t="str">
        <f t="shared" si="15"/>
        <v/>
      </c>
      <c r="BL13" s="208" t="str">
        <f t="shared" si="15"/>
        <v/>
      </c>
      <c r="BM13" s="206" t="str">
        <f t="shared" si="15"/>
        <v/>
      </c>
      <c r="BN13" s="206" t="str">
        <f t="shared" si="15"/>
        <v/>
      </c>
      <c r="BO13" s="207" t="str">
        <f t="shared" si="15"/>
        <v/>
      </c>
      <c r="BP13" s="208" t="str">
        <f t="shared" ref="BP13:CE13" si="16">IF(AND(BO$3&gt;=$A13,BO$3&lt;$B13),1,IF(AND(BO$3&gt;=$C13,BO$3&lt;$D13),1,""))</f>
        <v/>
      </c>
      <c r="BQ13" s="206" t="str">
        <f t="shared" si="16"/>
        <v/>
      </c>
      <c r="BR13" s="206" t="str">
        <f t="shared" si="16"/>
        <v/>
      </c>
      <c r="BS13" s="207" t="str">
        <f t="shared" si="16"/>
        <v/>
      </c>
      <c r="BT13" s="208" t="str">
        <f t="shared" si="16"/>
        <v/>
      </c>
      <c r="BU13" s="206" t="str">
        <f t="shared" si="16"/>
        <v/>
      </c>
      <c r="BV13" s="206" t="str">
        <f t="shared" si="16"/>
        <v/>
      </c>
      <c r="BW13" s="207" t="str">
        <f t="shared" si="16"/>
        <v/>
      </c>
      <c r="BX13" s="208" t="str">
        <f t="shared" si="16"/>
        <v/>
      </c>
      <c r="BY13" s="206" t="str">
        <f t="shared" si="16"/>
        <v/>
      </c>
      <c r="BZ13" s="206" t="str">
        <f t="shared" si="16"/>
        <v/>
      </c>
      <c r="CA13" s="207" t="str">
        <f t="shared" si="16"/>
        <v/>
      </c>
      <c r="CB13" s="208" t="str">
        <f t="shared" si="16"/>
        <v/>
      </c>
      <c r="CC13" s="206" t="str">
        <f t="shared" si="16"/>
        <v/>
      </c>
      <c r="CD13" s="206" t="str">
        <f t="shared" si="16"/>
        <v/>
      </c>
      <c r="CE13" s="207" t="str">
        <f t="shared" si="16"/>
        <v/>
      </c>
    </row>
    <row r="14" spans="1:87" ht="18" customHeight="1">
      <c r="A14" s="22">
        <f>+TABELLA!E18</f>
        <v>9</v>
      </c>
      <c r="B14" s="22">
        <f>+TABELLA!F18</f>
        <v>13</v>
      </c>
      <c r="C14" s="22">
        <f>+TABELLA!G18</f>
        <v>15.3</v>
      </c>
      <c r="D14" s="22">
        <f>+TABELLA!H18</f>
        <v>19.3</v>
      </c>
      <c r="E14" s="22"/>
      <c r="F14" s="26">
        <f>IF(TABELLA!B18="","",TABELLA!B18)</f>
        <v>10</v>
      </c>
      <c r="G14" s="27" t="str">
        <f>IF(TABELLA!C18="","",TABELLA!C18)</f>
        <v>SALVATO CRISTIAN</v>
      </c>
      <c r="H14" s="203" t="str">
        <f t="shared" si="2"/>
        <v/>
      </c>
      <c r="I14" s="203" t="str">
        <f t="shared" ref="I14:BO14" si="17">IF(AND(H$3&gt;=$A14,H$3&lt;$B14),1,IF(AND(H$3&gt;=$C14,H$3&lt;$D14),1,""))</f>
        <v/>
      </c>
      <c r="J14" s="203" t="str">
        <f t="shared" si="17"/>
        <v/>
      </c>
      <c r="K14" s="204" t="str">
        <f t="shared" si="17"/>
        <v/>
      </c>
      <c r="L14" s="205" t="str">
        <f t="shared" si="17"/>
        <v/>
      </c>
      <c r="M14" s="203" t="str">
        <f t="shared" si="17"/>
        <v/>
      </c>
      <c r="N14" s="203" t="str">
        <f t="shared" si="17"/>
        <v/>
      </c>
      <c r="O14" s="204" t="str">
        <f t="shared" si="17"/>
        <v/>
      </c>
      <c r="P14" s="205" t="str">
        <f t="shared" si="17"/>
        <v/>
      </c>
      <c r="Q14" s="203" t="str">
        <f t="shared" si="17"/>
        <v/>
      </c>
      <c r="R14" s="203" t="str">
        <f t="shared" si="17"/>
        <v/>
      </c>
      <c r="S14" s="204" t="str">
        <f t="shared" si="17"/>
        <v/>
      </c>
      <c r="T14" s="205" t="str">
        <f t="shared" si="17"/>
        <v/>
      </c>
      <c r="U14" s="203" t="str">
        <f t="shared" si="17"/>
        <v/>
      </c>
      <c r="V14" s="203" t="str">
        <f t="shared" si="17"/>
        <v/>
      </c>
      <c r="W14" s="204" t="str">
        <f t="shared" si="17"/>
        <v/>
      </c>
      <c r="X14" s="205">
        <f t="shared" si="17"/>
        <v>1</v>
      </c>
      <c r="Y14" s="203">
        <f t="shared" si="17"/>
        <v>1</v>
      </c>
      <c r="Z14" s="203">
        <f t="shared" si="17"/>
        <v>1</v>
      </c>
      <c r="AA14" s="204">
        <f t="shared" si="17"/>
        <v>1</v>
      </c>
      <c r="AB14" s="205">
        <f t="shared" si="17"/>
        <v>1</v>
      </c>
      <c r="AC14" s="203">
        <f t="shared" si="17"/>
        <v>1</v>
      </c>
      <c r="AD14" s="203">
        <f t="shared" si="17"/>
        <v>1</v>
      </c>
      <c r="AE14" s="204">
        <f t="shared" si="17"/>
        <v>1</v>
      </c>
      <c r="AF14" s="205">
        <f t="shared" si="17"/>
        <v>1</v>
      </c>
      <c r="AG14" s="203">
        <f t="shared" si="17"/>
        <v>1</v>
      </c>
      <c r="AH14" s="203">
        <f t="shared" si="17"/>
        <v>1</v>
      </c>
      <c r="AI14" s="204">
        <f t="shared" si="17"/>
        <v>1</v>
      </c>
      <c r="AJ14" s="205">
        <f t="shared" si="17"/>
        <v>1</v>
      </c>
      <c r="AK14" s="203">
        <f t="shared" si="17"/>
        <v>1</v>
      </c>
      <c r="AL14" s="203">
        <f t="shared" si="17"/>
        <v>1</v>
      </c>
      <c r="AM14" s="204">
        <f t="shared" si="17"/>
        <v>1</v>
      </c>
      <c r="AN14" s="205" t="str">
        <f t="shared" si="17"/>
        <v/>
      </c>
      <c r="AO14" s="203" t="str">
        <f t="shared" si="17"/>
        <v/>
      </c>
      <c r="AP14" s="203" t="str">
        <f t="shared" si="17"/>
        <v/>
      </c>
      <c r="AQ14" s="204" t="str">
        <f t="shared" si="17"/>
        <v/>
      </c>
      <c r="AR14" s="205" t="str">
        <f t="shared" si="17"/>
        <v/>
      </c>
      <c r="AS14" s="203" t="str">
        <f t="shared" si="17"/>
        <v/>
      </c>
      <c r="AT14" s="203" t="str">
        <f t="shared" si="17"/>
        <v/>
      </c>
      <c r="AU14" s="204" t="str">
        <f t="shared" si="17"/>
        <v/>
      </c>
      <c r="AV14" s="205" t="str">
        <f t="shared" si="17"/>
        <v/>
      </c>
      <c r="AW14" s="203" t="str">
        <f t="shared" si="17"/>
        <v/>
      </c>
      <c r="AX14" s="203">
        <f t="shared" si="17"/>
        <v>1</v>
      </c>
      <c r="AY14" s="204">
        <f t="shared" si="17"/>
        <v>1</v>
      </c>
      <c r="AZ14" s="205">
        <f t="shared" si="17"/>
        <v>1</v>
      </c>
      <c r="BA14" s="203">
        <f t="shared" si="17"/>
        <v>1</v>
      </c>
      <c r="BB14" s="203">
        <f t="shared" si="17"/>
        <v>1</v>
      </c>
      <c r="BC14" s="204">
        <f t="shared" si="17"/>
        <v>1</v>
      </c>
      <c r="BD14" s="205">
        <f t="shared" si="17"/>
        <v>1</v>
      </c>
      <c r="BE14" s="203">
        <f t="shared" si="17"/>
        <v>1</v>
      </c>
      <c r="BF14" s="203">
        <f t="shared" si="17"/>
        <v>1</v>
      </c>
      <c r="BG14" s="204">
        <f t="shared" si="17"/>
        <v>1</v>
      </c>
      <c r="BH14" s="205">
        <f t="shared" si="17"/>
        <v>1</v>
      </c>
      <c r="BI14" s="203">
        <f t="shared" si="17"/>
        <v>1</v>
      </c>
      <c r="BJ14" s="203">
        <f t="shared" si="17"/>
        <v>1</v>
      </c>
      <c r="BK14" s="204">
        <f t="shared" si="17"/>
        <v>1</v>
      </c>
      <c r="BL14" s="205">
        <f t="shared" si="17"/>
        <v>1</v>
      </c>
      <c r="BM14" s="203">
        <f t="shared" si="17"/>
        <v>1</v>
      </c>
      <c r="BN14" s="203" t="str">
        <f t="shared" si="17"/>
        <v/>
      </c>
      <c r="BO14" s="204" t="str">
        <f t="shared" si="17"/>
        <v/>
      </c>
      <c r="BP14" s="205" t="str">
        <f t="shared" ref="BP14:CE14" si="18">IF(AND(BO$3&gt;=$A14,BO$3&lt;$B14),1,IF(AND(BO$3&gt;=$C14,BO$3&lt;$D14),1,""))</f>
        <v/>
      </c>
      <c r="BQ14" s="203" t="str">
        <f t="shared" si="18"/>
        <v/>
      </c>
      <c r="BR14" s="203" t="str">
        <f t="shared" si="18"/>
        <v/>
      </c>
      <c r="BS14" s="204" t="str">
        <f t="shared" si="18"/>
        <v/>
      </c>
      <c r="BT14" s="205" t="str">
        <f t="shared" si="18"/>
        <v/>
      </c>
      <c r="BU14" s="203" t="str">
        <f t="shared" si="18"/>
        <v/>
      </c>
      <c r="BV14" s="203" t="str">
        <f t="shared" si="18"/>
        <v/>
      </c>
      <c r="BW14" s="204" t="str">
        <f t="shared" si="18"/>
        <v/>
      </c>
      <c r="BX14" s="205" t="str">
        <f t="shared" si="18"/>
        <v/>
      </c>
      <c r="BY14" s="203" t="str">
        <f t="shared" si="18"/>
        <v/>
      </c>
      <c r="BZ14" s="203" t="str">
        <f t="shared" si="18"/>
        <v/>
      </c>
      <c r="CA14" s="204" t="str">
        <f t="shared" si="18"/>
        <v/>
      </c>
      <c r="CB14" s="205" t="str">
        <f t="shared" si="18"/>
        <v/>
      </c>
      <c r="CC14" s="203" t="str">
        <f t="shared" si="18"/>
        <v/>
      </c>
      <c r="CD14" s="203" t="str">
        <f t="shared" si="18"/>
        <v/>
      </c>
      <c r="CE14" s="204" t="str">
        <f t="shared" si="18"/>
        <v/>
      </c>
    </row>
    <row r="15" spans="1:87" ht="18" customHeight="1">
      <c r="A15" s="22">
        <f>+TABELLA!E19</f>
        <v>0</v>
      </c>
      <c r="B15" s="22">
        <f>+TABELLA!F19</f>
        <v>0</v>
      </c>
      <c r="C15" s="22">
        <f>+TABELLA!G19</f>
        <v>0</v>
      </c>
      <c r="D15" s="22">
        <f>+TABELLA!H19</f>
        <v>0</v>
      </c>
      <c r="E15" s="22"/>
      <c r="F15" s="41">
        <f>IF(TABELLA!B19="","",TABELLA!B19)</f>
        <v>10</v>
      </c>
      <c r="G15" s="42" t="str">
        <f>IF(TABELLA!C19="","",TABELLA!C19)</f>
        <v>VALENTINI TAMARA</v>
      </c>
      <c r="H15" s="206" t="str">
        <f t="shared" si="2"/>
        <v/>
      </c>
      <c r="I15" s="206" t="str">
        <f t="shared" ref="I15:BO15" si="19">IF(AND(H$3&gt;=$A15,H$3&lt;$B15),1,IF(AND(H$3&gt;=$C15,H$3&lt;$D15),1,""))</f>
        <v/>
      </c>
      <c r="J15" s="206" t="str">
        <f t="shared" si="19"/>
        <v/>
      </c>
      <c r="K15" s="207" t="str">
        <f t="shared" si="19"/>
        <v/>
      </c>
      <c r="L15" s="208" t="str">
        <f t="shared" si="19"/>
        <v/>
      </c>
      <c r="M15" s="206" t="str">
        <f t="shared" si="19"/>
        <v/>
      </c>
      <c r="N15" s="206" t="str">
        <f t="shared" si="19"/>
        <v/>
      </c>
      <c r="O15" s="207" t="str">
        <f t="shared" si="19"/>
        <v/>
      </c>
      <c r="P15" s="208" t="str">
        <f t="shared" si="19"/>
        <v/>
      </c>
      <c r="Q15" s="206" t="str">
        <f t="shared" si="19"/>
        <v/>
      </c>
      <c r="R15" s="206" t="str">
        <f t="shared" si="19"/>
        <v/>
      </c>
      <c r="S15" s="207" t="str">
        <f t="shared" si="19"/>
        <v/>
      </c>
      <c r="T15" s="208" t="str">
        <f t="shared" si="19"/>
        <v/>
      </c>
      <c r="U15" s="206" t="str">
        <f t="shared" si="19"/>
        <v/>
      </c>
      <c r="V15" s="206" t="str">
        <f t="shared" si="19"/>
        <v/>
      </c>
      <c r="W15" s="207" t="str">
        <f t="shared" si="19"/>
        <v/>
      </c>
      <c r="X15" s="208" t="str">
        <f t="shared" si="19"/>
        <v/>
      </c>
      <c r="Y15" s="206" t="str">
        <f t="shared" si="19"/>
        <v/>
      </c>
      <c r="Z15" s="206" t="str">
        <f t="shared" si="19"/>
        <v/>
      </c>
      <c r="AA15" s="207" t="str">
        <f t="shared" si="19"/>
        <v/>
      </c>
      <c r="AB15" s="208" t="str">
        <f t="shared" si="19"/>
        <v/>
      </c>
      <c r="AC15" s="206" t="str">
        <f t="shared" si="19"/>
        <v/>
      </c>
      <c r="AD15" s="206" t="str">
        <f t="shared" si="19"/>
        <v/>
      </c>
      <c r="AE15" s="207" t="str">
        <f t="shared" si="19"/>
        <v/>
      </c>
      <c r="AF15" s="208" t="str">
        <f t="shared" si="19"/>
        <v/>
      </c>
      <c r="AG15" s="206" t="str">
        <f t="shared" si="19"/>
        <v/>
      </c>
      <c r="AH15" s="206" t="str">
        <f t="shared" si="19"/>
        <v/>
      </c>
      <c r="AI15" s="207" t="str">
        <f t="shared" si="19"/>
        <v/>
      </c>
      <c r="AJ15" s="208" t="str">
        <f t="shared" si="19"/>
        <v/>
      </c>
      <c r="AK15" s="206" t="str">
        <f t="shared" si="19"/>
        <v/>
      </c>
      <c r="AL15" s="206" t="str">
        <f t="shared" si="19"/>
        <v/>
      </c>
      <c r="AM15" s="207" t="str">
        <f t="shared" si="19"/>
        <v/>
      </c>
      <c r="AN15" s="208" t="str">
        <f t="shared" si="19"/>
        <v/>
      </c>
      <c r="AO15" s="206" t="str">
        <f t="shared" si="19"/>
        <v/>
      </c>
      <c r="AP15" s="206" t="str">
        <f t="shared" si="19"/>
        <v/>
      </c>
      <c r="AQ15" s="207" t="str">
        <f t="shared" si="19"/>
        <v/>
      </c>
      <c r="AR15" s="208" t="str">
        <f t="shared" si="19"/>
        <v/>
      </c>
      <c r="AS15" s="206" t="str">
        <f t="shared" si="19"/>
        <v/>
      </c>
      <c r="AT15" s="206" t="str">
        <f t="shared" si="19"/>
        <v/>
      </c>
      <c r="AU15" s="207" t="str">
        <f t="shared" si="19"/>
        <v/>
      </c>
      <c r="AV15" s="208" t="str">
        <f t="shared" si="19"/>
        <v/>
      </c>
      <c r="AW15" s="206" t="str">
        <f t="shared" si="19"/>
        <v/>
      </c>
      <c r="AX15" s="206" t="str">
        <f t="shared" si="19"/>
        <v/>
      </c>
      <c r="AY15" s="207" t="str">
        <f t="shared" si="19"/>
        <v/>
      </c>
      <c r="AZ15" s="208" t="str">
        <f t="shared" si="19"/>
        <v/>
      </c>
      <c r="BA15" s="206" t="str">
        <f t="shared" si="19"/>
        <v/>
      </c>
      <c r="BB15" s="206" t="str">
        <f t="shared" si="19"/>
        <v/>
      </c>
      <c r="BC15" s="207" t="str">
        <f t="shared" si="19"/>
        <v/>
      </c>
      <c r="BD15" s="208" t="str">
        <f t="shared" si="19"/>
        <v/>
      </c>
      <c r="BE15" s="206" t="str">
        <f t="shared" si="19"/>
        <v/>
      </c>
      <c r="BF15" s="206" t="str">
        <f t="shared" si="19"/>
        <v/>
      </c>
      <c r="BG15" s="207" t="str">
        <f t="shared" si="19"/>
        <v/>
      </c>
      <c r="BH15" s="208" t="str">
        <f t="shared" si="19"/>
        <v/>
      </c>
      <c r="BI15" s="206" t="str">
        <f t="shared" si="19"/>
        <v/>
      </c>
      <c r="BJ15" s="206" t="str">
        <f t="shared" si="19"/>
        <v/>
      </c>
      <c r="BK15" s="207" t="str">
        <f t="shared" si="19"/>
        <v/>
      </c>
      <c r="BL15" s="208" t="str">
        <f t="shared" si="19"/>
        <v/>
      </c>
      <c r="BM15" s="206" t="str">
        <f t="shared" si="19"/>
        <v/>
      </c>
      <c r="BN15" s="206" t="str">
        <f t="shared" si="19"/>
        <v/>
      </c>
      <c r="BO15" s="207" t="str">
        <f t="shared" si="19"/>
        <v/>
      </c>
      <c r="BP15" s="208" t="str">
        <f t="shared" ref="BP15:CE15" si="20">IF(AND(BO$3&gt;=$A15,BO$3&lt;$B15),1,IF(AND(BO$3&gt;=$C15,BO$3&lt;$D15),1,""))</f>
        <v/>
      </c>
      <c r="BQ15" s="206" t="str">
        <f t="shared" si="20"/>
        <v/>
      </c>
      <c r="BR15" s="206" t="str">
        <f t="shared" si="20"/>
        <v/>
      </c>
      <c r="BS15" s="207" t="str">
        <f t="shared" si="20"/>
        <v/>
      </c>
      <c r="BT15" s="208" t="str">
        <f t="shared" si="20"/>
        <v/>
      </c>
      <c r="BU15" s="206" t="str">
        <f t="shared" si="20"/>
        <v/>
      </c>
      <c r="BV15" s="206" t="str">
        <f t="shared" si="20"/>
        <v/>
      </c>
      <c r="BW15" s="207" t="str">
        <f t="shared" si="20"/>
        <v/>
      </c>
      <c r="BX15" s="208" t="str">
        <f t="shared" si="20"/>
        <v/>
      </c>
      <c r="BY15" s="206" t="str">
        <f t="shared" si="20"/>
        <v/>
      </c>
      <c r="BZ15" s="206" t="str">
        <f t="shared" si="20"/>
        <v/>
      </c>
      <c r="CA15" s="207" t="str">
        <f t="shared" si="20"/>
        <v/>
      </c>
      <c r="CB15" s="208" t="str">
        <f t="shared" si="20"/>
        <v/>
      </c>
      <c r="CC15" s="206" t="str">
        <f t="shared" si="20"/>
        <v/>
      </c>
      <c r="CD15" s="206" t="str">
        <f t="shared" si="20"/>
        <v/>
      </c>
      <c r="CE15" s="207" t="str">
        <f t="shared" si="20"/>
        <v/>
      </c>
    </row>
    <row r="16" spans="1:87" ht="18" customHeight="1">
      <c r="A16" s="22">
        <f>+TABELLA!E20</f>
        <v>10</v>
      </c>
      <c r="B16" s="22">
        <f>+TABELLA!F20</f>
        <v>13.3</v>
      </c>
      <c r="C16" s="22">
        <f>+TABELLA!G20</f>
        <v>17.3</v>
      </c>
      <c r="D16" s="22">
        <f>+TABELLA!H20</f>
        <v>20.149999999999999</v>
      </c>
      <c r="E16" s="22"/>
      <c r="F16" s="26">
        <f>IF(TABELLA!B20="","",TABELLA!B20)</f>
        <v>10</v>
      </c>
      <c r="G16" s="27" t="str">
        <f>IF(TABELLA!C20="","",TABELLA!C20)</f>
        <v>ALESSANDRO</v>
      </c>
      <c r="H16" s="203" t="str">
        <f t="shared" si="2"/>
        <v/>
      </c>
      <c r="I16" s="203" t="str">
        <f t="shared" ref="I16:BO16" si="21">IF(AND(H$3&gt;=$A16,H$3&lt;$B16),1,IF(AND(H$3&gt;=$C16,H$3&lt;$D16),1,""))</f>
        <v/>
      </c>
      <c r="J16" s="203" t="str">
        <f t="shared" si="21"/>
        <v/>
      </c>
      <c r="K16" s="204" t="str">
        <f t="shared" si="21"/>
        <v/>
      </c>
      <c r="L16" s="205" t="str">
        <f t="shared" si="21"/>
        <v/>
      </c>
      <c r="M16" s="203" t="str">
        <f t="shared" si="21"/>
        <v/>
      </c>
      <c r="N16" s="203" t="str">
        <f t="shared" si="21"/>
        <v/>
      </c>
      <c r="O16" s="204" t="str">
        <f t="shared" si="21"/>
        <v/>
      </c>
      <c r="P16" s="205" t="str">
        <f t="shared" si="21"/>
        <v/>
      </c>
      <c r="Q16" s="203" t="str">
        <f t="shared" si="21"/>
        <v/>
      </c>
      <c r="R16" s="203" t="str">
        <f t="shared" si="21"/>
        <v/>
      </c>
      <c r="S16" s="204" t="str">
        <f t="shared" si="21"/>
        <v/>
      </c>
      <c r="T16" s="205" t="str">
        <f t="shared" si="21"/>
        <v/>
      </c>
      <c r="U16" s="203" t="str">
        <f t="shared" si="21"/>
        <v/>
      </c>
      <c r="V16" s="203" t="str">
        <f t="shared" si="21"/>
        <v/>
      </c>
      <c r="W16" s="204" t="str">
        <f t="shared" si="21"/>
        <v/>
      </c>
      <c r="X16" s="205" t="str">
        <f t="shared" si="21"/>
        <v/>
      </c>
      <c r="Y16" s="203" t="str">
        <f t="shared" si="21"/>
        <v/>
      </c>
      <c r="Z16" s="203" t="str">
        <f t="shared" si="21"/>
        <v/>
      </c>
      <c r="AA16" s="204" t="str">
        <f t="shared" si="21"/>
        <v/>
      </c>
      <c r="AB16" s="205">
        <f t="shared" si="21"/>
        <v>1</v>
      </c>
      <c r="AC16" s="203">
        <f t="shared" si="21"/>
        <v>1</v>
      </c>
      <c r="AD16" s="203">
        <f t="shared" si="21"/>
        <v>1</v>
      </c>
      <c r="AE16" s="204">
        <f t="shared" si="21"/>
        <v>1</v>
      </c>
      <c r="AF16" s="205">
        <f t="shared" si="21"/>
        <v>1</v>
      </c>
      <c r="AG16" s="203">
        <f t="shared" si="21"/>
        <v>1</v>
      </c>
      <c r="AH16" s="203">
        <f t="shared" si="21"/>
        <v>1</v>
      </c>
      <c r="AI16" s="204">
        <f t="shared" si="21"/>
        <v>1</v>
      </c>
      <c r="AJ16" s="205">
        <f t="shared" si="21"/>
        <v>1</v>
      </c>
      <c r="AK16" s="203">
        <f t="shared" si="21"/>
        <v>1</v>
      </c>
      <c r="AL16" s="203">
        <f t="shared" si="21"/>
        <v>1</v>
      </c>
      <c r="AM16" s="204">
        <f t="shared" si="21"/>
        <v>1</v>
      </c>
      <c r="AN16" s="205">
        <f t="shared" si="21"/>
        <v>1</v>
      </c>
      <c r="AO16" s="203">
        <f t="shared" si="21"/>
        <v>1</v>
      </c>
      <c r="AP16" s="203" t="str">
        <f t="shared" si="21"/>
        <v/>
      </c>
      <c r="AQ16" s="204" t="str">
        <f t="shared" si="21"/>
        <v/>
      </c>
      <c r="AR16" s="205" t="str">
        <f t="shared" si="21"/>
        <v/>
      </c>
      <c r="AS16" s="203" t="str">
        <f t="shared" si="21"/>
        <v/>
      </c>
      <c r="AT16" s="203" t="str">
        <f t="shared" si="21"/>
        <v/>
      </c>
      <c r="AU16" s="204" t="str">
        <f t="shared" si="21"/>
        <v/>
      </c>
      <c r="AV16" s="205" t="str">
        <f t="shared" si="21"/>
        <v/>
      </c>
      <c r="AW16" s="203" t="str">
        <f t="shared" si="21"/>
        <v/>
      </c>
      <c r="AX16" s="203" t="str">
        <f t="shared" si="21"/>
        <v/>
      </c>
      <c r="AY16" s="204" t="str">
        <f t="shared" si="21"/>
        <v/>
      </c>
      <c r="AZ16" s="205" t="str">
        <f t="shared" si="21"/>
        <v/>
      </c>
      <c r="BA16" s="203" t="str">
        <f t="shared" si="21"/>
        <v/>
      </c>
      <c r="BB16" s="203" t="str">
        <f t="shared" si="21"/>
        <v/>
      </c>
      <c r="BC16" s="204" t="str">
        <f t="shared" si="21"/>
        <v/>
      </c>
      <c r="BD16" s="205" t="str">
        <f t="shared" si="21"/>
        <v/>
      </c>
      <c r="BE16" s="203" t="str">
        <f t="shared" si="21"/>
        <v/>
      </c>
      <c r="BF16" s="203">
        <f t="shared" si="21"/>
        <v>1</v>
      </c>
      <c r="BG16" s="204">
        <f t="shared" si="21"/>
        <v>1</v>
      </c>
      <c r="BH16" s="205">
        <f t="shared" si="21"/>
        <v>1</v>
      </c>
      <c r="BI16" s="203">
        <f t="shared" si="21"/>
        <v>1</v>
      </c>
      <c r="BJ16" s="203">
        <f t="shared" si="21"/>
        <v>1</v>
      </c>
      <c r="BK16" s="204">
        <f t="shared" si="21"/>
        <v>1</v>
      </c>
      <c r="BL16" s="205">
        <f t="shared" si="21"/>
        <v>1</v>
      </c>
      <c r="BM16" s="203">
        <f t="shared" si="21"/>
        <v>1</v>
      </c>
      <c r="BN16" s="203">
        <f t="shared" si="21"/>
        <v>1</v>
      </c>
      <c r="BO16" s="204">
        <f t="shared" si="21"/>
        <v>1</v>
      </c>
      <c r="BP16" s="205">
        <f t="shared" ref="BP16:CE16" si="22">IF(AND(BO$3&gt;=$A16,BO$3&lt;$B16),1,IF(AND(BO$3&gt;=$C16,BO$3&lt;$D16),1,""))</f>
        <v>1</v>
      </c>
      <c r="BQ16" s="203" t="str">
        <f t="shared" si="22"/>
        <v/>
      </c>
      <c r="BR16" s="203" t="str">
        <f t="shared" si="22"/>
        <v/>
      </c>
      <c r="BS16" s="204" t="str">
        <f t="shared" si="22"/>
        <v/>
      </c>
      <c r="BT16" s="205" t="str">
        <f t="shared" si="22"/>
        <v/>
      </c>
      <c r="BU16" s="203" t="str">
        <f t="shared" si="22"/>
        <v/>
      </c>
      <c r="BV16" s="203" t="str">
        <f t="shared" si="22"/>
        <v/>
      </c>
      <c r="BW16" s="204" t="str">
        <f t="shared" si="22"/>
        <v/>
      </c>
      <c r="BX16" s="205" t="str">
        <f t="shared" si="22"/>
        <v/>
      </c>
      <c r="BY16" s="203" t="str">
        <f t="shared" si="22"/>
        <v/>
      </c>
      <c r="BZ16" s="203" t="str">
        <f t="shared" si="22"/>
        <v/>
      </c>
      <c r="CA16" s="204" t="str">
        <f t="shared" si="22"/>
        <v/>
      </c>
      <c r="CB16" s="205" t="str">
        <f t="shared" si="22"/>
        <v/>
      </c>
      <c r="CC16" s="203" t="str">
        <f t="shared" si="22"/>
        <v/>
      </c>
      <c r="CD16" s="203" t="str">
        <f t="shared" si="22"/>
        <v/>
      </c>
      <c r="CE16" s="204" t="str">
        <f t="shared" si="22"/>
        <v/>
      </c>
    </row>
    <row r="17" spans="1:83" ht="18" customHeight="1">
      <c r="A17" s="22">
        <f>+TABELLA!E21</f>
        <v>0</v>
      </c>
      <c r="B17" s="22">
        <f>+TABELLA!F21</f>
        <v>0</v>
      </c>
      <c r="C17" s="22">
        <f>+TABELLA!G21</f>
        <v>0</v>
      </c>
      <c r="D17" s="22">
        <f>+TABELLA!H21</f>
        <v>0</v>
      </c>
      <c r="E17" s="22"/>
      <c r="F17" s="41">
        <f>IF(TABELLA!B21="","",TABELLA!B21)</f>
        <v>1</v>
      </c>
      <c r="G17" s="42" t="str">
        <f>IF(TABELLA!C21="","",TABELLA!C21)</f>
        <v/>
      </c>
      <c r="H17" s="206" t="str">
        <f t="shared" si="2"/>
        <v/>
      </c>
      <c r="I17" s="206" t="str">
        <f t="shared" ref="I17:BO17" si="23">IF(AND(H$3&gt;=$A17,H$3&lt;$B17),1,IF(AND(H$3&gt;=$C17,H$3&lt;$D17),1,""))</f>
        <v/>
      </c>
      <c r="J17" s="206" t="str">
        <f t="shared" si="23"/>
        <v/>
      </c>
      <c r="K17" s="207" t="str">
        <f t="shared" si="23"/>
        <v/>
      </c>
      <c r="L17" s="208" t="str">
        <f t="shared" si="23"/>
        <v/>
      </c>
      <c r="M17" s="206" t="str">
        <f t="shared" si="23"/>
        <v/>
      </c>
      <c r="N17" s="206" t="str">
        <f t="shared" si="23"/>
        <v/>
      </c>
      <c r="O17" s="207" t="str">
        <f t="shared" si="23"/>
        <v/>
      </c>
      <c r="P17" s="208" t="str">
        <f t="shared" si="23"/>
        <v/>
      </c>
      <c r="Q17" s="206" t="str">
        <f t="shared" si="23"/>
        <v/>
      </c>
      <c r="R17" s="206" t="str">
        <f t="shared" si="23"/>
        <v/>
      </c>
      <c r="S17" s="207" t="str">
        <f t="shared" si="23"/>
        <v/>
      </c>
      <c r="T17" s="208" t="str">
        <f t="shared" si="23"/>
        <v/>
      </c>
      <c r="U17" s="206" t="str">
        <f t="shared" si="23"/>
        <v/>
      </c>
      <c r="V17" s="206" t="str">
        <f t="shared" si="23"/>
        <v/>
      </c>
      <c r="W17" s="207" t="str">
        <f t="shared" si="23"/>
        <v/>
      </c>
      <c r="X17" s="208" t="str">
        <f t="shared" si="23"/>
        <v/>
      </c>
      <c r="Y17" s="206" t="str">
        <f t="shared" si="23"/>
        <v/>
      </c>
      <c r="Z17" s="206" t="str">
        <f t="shared" si="23"/>
        <v/>
      </c>
      <c r="AA17" s="207" t="str">
        <f t="shared" si="23"/>
        <v/>
      </c>
      <c r="AB17" s="208" t="str">
        <f t="shared" si="23"/>
        <v/>
      </c>
      <c r="AC17" s="206" t="str">
        <f t="shared" si="23"/>
        <v/>
      </c>
      <c r="AD17" s="206" t="str">
        <f t="shared" si="23"/>
        <v/>
      </c>
      <c r="AE17" s="207" t="str">
        <f t="shared" si="23"/>
        <v/>
      </c>
      <c r="AF17" s="208" t="str">
        <f t="shared" si="23"/>
        <v/>
      </c>
      <c r="AG17" s="206" t="str">
        <f t="shared" si="23"/>
        <v/>
      </c>
      <c r="AH17" s="206" t="str">
        <f t="shared" si="23"/>
        <v/>
      </c>
      <c r="AI17" s="207" t="str">
        <f t="shared" si="23"/>
        <v/>
      </c>
      <c r="AJ17" s="208" t="str">
        <f t="shared" si="23"/>
        <v/>
      </c>
      <c r="AK17" s="206" t="str">
        <f t="shared" si="23"/>
        <v/>
      </c>
      <c r="AL17" s="206" t="str">
        <f t="shared" si="23"/>
        <v/>
      </c>
      <c r="AM17" s="207" t="str">
        <f t="shared" si="23"/>
        <v/>
      </c>
      <c r="AN17" s="208" t="str">
        <f t="shared" si="23"/>
        <v/>
      </c>
      <c r="AO17" s="206" t="str">
        <f t="shared" si="23"/>
        <v/>
      </c>
      <c r="AP17" s="206" t="str">
        <f t="shared" si="23"/>
        <v/>
      </c>
      <c r="AQ17" s="207" t="str">
        <f t="shared" si="23"/>
        <v/>
      </c>
      <c r="AR17" s="208" t="str">
        <f t="shared" si="23"/>
        <v/>
      </c>
      <c r="AS17" s="206" t="str">
        <f t="shared" si="23"/>
        <v/>
      </c>
      <c r="AT17" s="206" t="str">
        <f t="shared" si="23"/>
        <v/>
      </c>
      <c r="AU17" s="207" t="str">
        <f t="shared" si="23"/>
        <v/>
      </c>
      <c r="AV17" s="208" t="str">
        <f t="shared" si="23"/>
        <v/>
      </c>
      <c r="AW17" s="206" t="str">
        <f t="shared" si="23"/>
        <v/>
      </c>
      <c r="AX17" s="206" t="str">
        <f t="shared" si="23"/>
        <v/>
      </c>
      <c r="AY17" s="207" t="str">
        <f t="shared" si="23"/>
        <v/>
      </c>
      <c r="AZ17" s="208" t="str">
        <f t="shared" si="23"/>
        <v/>
      </c>
      <c r="BA17" s="206" t="str">
        <f t="shared" si="23"/>
        <v/>
      </c>
      <c r="BB17" s="206" t="str">
        <f t="shared" si="23"/>
        <v/>
      </c>
      <c r="BC17" s="207" t="str">
        <f t="shared" si="23"/>
        <v/>
      </c>
      <c r="BD17" s="208" t="str">
        <f t="shared" si="23"/>
        <v/>
      </c>
      <c r="BE17" s="206" t="str">
        <f t="shared" si="23"/>
        <v/>
      </c>
      <c r="BF17" s="206" t="str">
        <f t="shared" si="23"/>
        <v/>
      </c>
      <c r="BG17" s="207" t="str">
        <f t="shared" si="23"/>
        <v/>
      </c>
      <c r="BH17" s="208" t="str">
        <f t="shared" si="23"/>
        <v/>
      </c>
      <c r="BI17" s="206" t="str">
        <f t="shared" si="23"/>
        <v/>
      </c>
      <c r="BJ17" s="206" t="str">
        <f t="shared" si="23"/>
        <v/>
      </c>
      <c r="BK17" s="207" t="str">
        <f t="shared" si="23"/>
        <v/>
      </c>
      <c r="BL17" s="208" t="str">
        <f t="shared" si="23"/>
        <v/>
      </c>
      <c r="BM17" s="206" t="str">
        <f t="shared" si="23"/>
        <v/>
      </c>
      <c r="BN17" s="206" t="str">
        <f t="shared" si="23"/>
        <v/>
      </c>
      <c r="BO17" s="207" t="str">
        <f t="shared" si="23"/>
        <v/>
      </c>
      <c r="BP17" s="208" t="str">
        <f t="shared" ref="BP17:CE17" si="24">IF(AND(BO$3&gt;=$A17,BO$3&lt;$B17),1,IF(AND(BO$3&gt;=$C17,BO$3&lt;$D17),1,""))</f>
        <v/>
      </c>
      <c r="BQ17" s="206" t="str">
        <f t="shared" si="24"/>
        <v/>
      </c>
      <c r="BR17" s="206" t="str">
        <f t="shared" si="24"/>
        <v/>
      </c>
      <c r="BS17" s="207" t="str">
        <f t="shared" si="24"/>
        <v/>
      </c>
      <c r="BT17" s="208" t="str">
        <f t="shared" si="24"/>
        <v/>
      </c>
      <c r="BU17" s="206" t="str">
        <f t="shared" si="24"/>
        <v/>
      </c>
      <c r="BV17" s="206" t="str">
        <f t="shared" si="24"/>
        <v/>
      </c>
      <c r="BW17" s="207" t="str">
        <f t="shared" si="24"/>
        <v/>
      </c>
      <c r="BX17" s="208" t="str">
        <f t="shared" si="24"/>
        <v/>
      </c>
      <c r="BY17" s="206" t="str">
        <f t="shared" si="24"/>
        <v/>
      </c>
      <c r="BZ17" s="206" t="str">
        <f t="shared" si="24"/>
        <v/>
      </c>
      <c r="CA17" s="207" t="str">
        <f t="shared" si="24"/>
        <v/>
      </c>
      <c r="CB17" s="208" t="str">
        <f t="shared" si="24"/>
        <v/>
      </c>
      <c r="CC17" s="206" t="str">
        <f t="shared" si="24"/>
        <v/>
      </c>
      <c r="CD17" s="206" t="str">
        <f t="shared" si="24"/>
        <v/>
      </c>
      <c r="CE17" s="207" t="str">
        <f t="shared" si="24"/>
        <v/>
      </c>
    </row>
    <row r="18" spans="1:83" ht="18" customHeight="1">
      <c r="A18" s="22">
        <f>+TABELLA!E22</f>
        <v>0</v>
      </c>
      <c r="B18" s="22">
        <f>+TABELLA!F22</f>
        <v>0</v>
      </c>
      <c r="C18" s="22">
        <f>+TABELLA!G22</f>
        <v>0</v>
      </c>
      <c r="D18" s="22">
        <f>+TABELLA!H22</f>
        <v>0</v>
      </c>
      <c r="E18" s="22"/>
      <c r="F18" s="26">
        <f>IF(TABELLA!B22="","",TABELLA!B22)</f>
        <v>1</v>
      </c>
      <c r="G18" s="27" t="str">
        <f>IF(TABELLA!C22="","",TABELLA!C22)</f>
        <v/>
      </c>
      <c r="H18" s="203" t="str">
        <f t="shared" si="2"/>
        <v/>
      </c>
      <c r="I18" s="203" t="str">
        <f t="shared" ref="I18:BO18" si="25">IF(AND(H$3&gt;=$A18,H$3&lt;$B18),1,IF(AND(H$3&gt;=$C18,H$3&lt;$D18),1,""))</f>
        <v/>
      </c>
      <c r="J18" s="203" t="str">
        <f t="shared" si="25"/>
        <v/>
      </c>
      <c r="K18" s="204" t="str">
        <f t="shared" si="25"/>
        <v/>
      </c>
      <c r="L18" s="205" t="str">
        <f t="shared" si="25"/>
        <v/>
      </c>
      <c r="M18" s="203" t="str">
        <f t="shared" si="25"/>
        <v/>
      </c>
      <c r="N18" s="203" t="str">
        <f t="shared" si="25"/>
        <v/>
      </c>
      <c r="O18" s="204" t="str">
        <f t="shared" si="25"/>
        <v/>
      </c>
      <c r="P18" s="205" t="str">
        <f t="shared" si="25"/>
        <v/>
      </c>
      <c r="Q18" s="203" t="str">
        <f t="shared" si="25"/>
        <v/>
      </c>
      <c r="R18" s="203" t="str">
        <f t="shared" si="25"/>
        <v/>
      </c>
      <c r="S18" s="204" t="str">
        <f t="shared" si="25"/>
        <v/>
      </c>
      <c r="T18" s="205" t="str">
        <f t="shared" si="25"/>
        <v/>
      </c>
      <c r="U18" s="203" t="str">
        <f t="shared" si="25"/>
        <v/>
      </c>
      <c r="V18" s="203" t="str">
        <f t="shared" si="25"/>
        <v/>
      </c>
      <c r="W18" s="204" t="str">
        <f t="shared" si="25"/>
        <v/>
      </c>
      <c r="X18" s="205" t="str">
        <f t="shared" si="25"/>
        <v/>
      </c>
      <c r="Y18" s="203" t="str">
        <f t="shared" si="25"/>
        <v/>
      </c>
      <c r="Z18" s="203" t="str">
        <f t="shared" si="25"/>
        <v/>
      </c>
      <c r="AA18" s="204" t="str">
        <f t="shared" si="25"/>
        <v/>
      </c>
      <c r="AB18" s="205" t="str">
        <f t="shared" si="25"/>
        <v/>
      </c>
      <c r="AC18" s="203" t="str">
        <f t="shared" si="25"/>
        <v/>
      </c>
      <c r="AD18" s="203" t="str">
        <f t="shared" si="25"/>
        <v/>
      </c>
      <c r="AE18" s="204" t="str">
        <f t="shared" si="25"/>
        <v/>
      </c>
      <c r="AF18" s="205" t="str">
        <f t="shared" si="25"/>
        <v/>
      </c>
      <c r="AG18" s="203" t="str">
        <f t="shared" si="25"/>
        <v/>
      </c>
      <c r="AH18" s="203" t="str">
        <f t="shared" si="25"/>
        <v/>
      </c>
      <c r="AI18" s="204" t="str">
        <f t="shared" si="25"/>
        <v/>
      </c>
      <c r="AJ18" s="205" t="str">
        <f t="shared" si="25"/>
        <v/>
      </c>
      <c r="AK18" s="203" t="str">
        <f t="shared" si="25"/>
        <v/>
      </c>
      <c r="AL18" s="203" t="str">
        <f t="shared" si="25"/>
        <v/>
      </c>
      <c r="AM18" s="204" t="str">
        <f t="shared" si="25"/>
        <v/>
      </c>
      <c r="AN18" s="205" t="str">
        <f t="shared" si="25"/>
        <v/>
      </c>
      <c r="AO18" s="203" t="str">
        <f t="shared" si="25"/>
        <v/>
      </c>
      <c r="AP18" s="203" t="str">
        <f t="shared" si="25"/>
        <v/>
      </c>
      <c r="AQ18" s="204" t="str">
        <f t="shared" si="25"/>
        <v/>
      </c>
      <c r="AR18" s="205" t="str">
        <f t="shared" si="25"/>
        <v/>
      </c>
      <c r="AS18" s="203" t="str">
        <f t="shared" si="25"/>
        <v/>
      </c>
      <c r="AT18" s="203" t="str">
        <f t="shared" si="25"/>
        <v/>
      </c>
      <c r="AU18" s="204" t="str">
        <f t="shared" si="25"/>
        <v/>
      </c>
      <c r="AV18" s="205" t="str">
        <f t="shared" si="25"/>
        <v/>
      </c>
      <c r="AW18" s="203" t="str">
        <f t="shared" si="25"/>
        <v/>
      </c>
      <c r="AX18" s="203" t="str">
        <f t="shared" si="25"/>
        <v/>
      </c>
      <c r="AY18" s="204" t="str">
        <f t="shared" si="25"/>
        <v/>
      </c>
      <c r="AZ18" s="205" t="str">
        <f t="shared" si="25"/>
        <v/>
      </c>
      <c r="BA18" s="203" t="str">
        <f t="shared" si="25"/>
        <v/>
      </c>
      <c r="BB18" s="203" t="str">
        <f t="shared" si="25"/>
        <v/>
      </c>
      <c r="BC18" s="204" t="str">
        <f t="shared" si="25"/>
        <v/>
      </c>
      <c r="BD18" s="205" t="str">
        <f t="shared" si="25"/>
        <v/>
      </c>
      <c r="BE18" s="203" t="str">
        <f t="shared" si="25"/>
        <v/>
      </c>
      <c r="BF18" s="203" t="str">
        <f t="shared" si="25"/>
        <v/>
      </c>
      <c r="BG18" s="204" t="str">
        <f t="shared" si="25"/>
        <v/>
      </c>
      <c r="BH18" s="205" t="str">
        <f t="shared" si="25"/>
        <v/>
      </c>
      <c r="BI18" s="203" t="str">
        <f t="shared" si="25"/>
        <v/>
      </c>
      <c r="BJ18" s="203" t="str">
        <f t="shared" si="25"/>
        <v/>
      </c>
      <c r="BK18" s="204" t="str">
        <f t="shared" si="25"/>
        <v/>
      </c>
      <c r="BL18" s="205" t="str">
        <f t="shared" si="25"/>
        <v/>
      </c>
      <c r="BM18" s="203" t="str">
        <f t="shared" si="25"/>
        <v/>
      </c>
      <c r="BN18" s="203" t="str">
        <f t="shared" si="25"/>
        <v/>
      </c>
      <c r="BO18" s="204" t="str">
        <f t="shared" si="25"/>
        <v/>
      </c>
      <c r="BP18" s="205" t="str">
        <f t="shared" ref="BP18:CE18" si="26">IF(AND(BO$3&gt;=$A18,BO$3&lt;$B18),1,IF(AND(BO$3&gt;=$C18,BO$3&lt;$D18),1,""))</f>
        <v/>
      </c>
      <c r="BQ18" s="203" t="str">
        <f t="shared" si="26"/>
        <v/>
      </c>
      <c r="BR18" s="203" t="str">
        <f t="shared" si="26"/>
        <v/>
      </c>
      <c r="BS18" s="204" t="str">
        <f t="shared" si="26"/>
        <v/>
      </c>
      <c r="BT18" s="205" t="str">
        <f t="shared" si="26"/>
        <v/>
      </c>
      <c r="BU18" s="203" t="str">
        <f t="shared" si="26"/>
        <v/>
      </c>
      <c r="BV18" s="203" t="str">
        <f t="shared" si="26"/>
        <v/>
      </c>
      <c r="BW18" s="204" t="str">
        <f t="shared" si="26"/>
        <v/>
      </c>
      <c r="BX18" s="205" t="str">
        <f t="shared" si="26"/>
        <v/>
      </c>
      <c r="BY18" s="203" t="str">
        <f t="shared" si="26"/>
        <v/>
      </c>
      <c r="BZ18" s="203" t="str">
        <f t="shared" si="26"/>
        <v/>
      </c>
      <c r="CA18" s="204" t="str">
        <f t="shared" si="26"/>
        <v/>
      </c>
      <c r="CB18" s="205" t="str">
        <f t="shared" si="26"/>
        <v/>
      </c>
      <c r="CC18" s="203" t="str">
        <f t="shared" si="26"/>
        <v/>
      </c>
      <c r="CD18" s="203" t="str">
        <f t="shared" si="26"/>
        <v/>
      </c>
      <c r="CE18" s="204" t="str">
        <f t="shared" si="26"/>
        <v/>
      </c>
    </row>
    <row r="19" spans="1:83" ht="18" customHeight="1">
      <c r="A19" s="22">
        <f>+TABELLA!E23</f>
        <v>0</v>
      </c>
      <c r="B19" s="22">
        <f>+TABELLA!F23</f>
        <v>0</v>
      </c>
      <c r="C19" s="22">
        <f>+TABELLA!G23</f>
        <v>0</v>
      </c>
      <c r="D19" s="22">
        <f>+TABELLA!H23</f>
        <v>0</v>
      </c>
      <c r="E19" s="22"/>
      <c r="F19" s="41">
        <f>IF(TABELLA!B23="","",TABELLA!B23)</f>
        <v>1</v>
      </c>
      <c r="G19" s="42" t="str">
        <f>IF(TABELLA!C23="","",TABELLA!C23)</f>
        <v>BALDAZZI ENRICO</v>
      </c>
      <c r="H19" s="206" t="str">
        <f t="shared" si="2"/>
        <v/>
      </c>
      <c r="I19" s="206" t="str">
        <f t="shared" ref="I19:BO19" si="27">IF(AND(H$3&gt;=$A19,H$3&lt;$B19),1,IF(AND(H$3&gt;=$C19,H$3&lt;$D19),1,""))</f>
        <v/>
      </c>
      <c r="J19" s="206" t="str">
        <f t="shared" si="27"/>
        <v/>
      </c>
      <c r="K19" s="207" t="str">
        <f t="shared" si="27"/>
        <v/>
      </c>
      <c r="L19" s="208" t="str">
        <f t="shared" si="27"/>
        <v/>
      </c>
      <c r="M19" s="206" t="str">
        <f t="shared" si="27"/>
        <v/>
      </c>
      <c r="N19" s="206" t="str">
        <f t="shared" si="27"/>
        <v/>
      </c>
      <c r="O19" s="207" t="str">
        <f t="shared" si="27"/>
        <v/>
      </c>
      <c r="P19" s="208" t="str">
        <f t="shared" si="27"/>
        <v/>
      </c>
      <c r="Q19" s="206" t="str">
        <f t="shared" si="27"/>
        <v/>
      </c>
      <c r="R19" s="206" t="str">
        <f t="shared" si="27"/>
        <v/>
      </c>
      <c r="S19" s="207" t="str">
        <f t="shared" si="27"/>
        <v/>
      </c>
      <c r="T19" s="208" t="str">
        <f t="shared" si="27"/>
        <v/>
      </c>
      <c r="U19" s="206" t="str">
        <f t="shared" si="27"/>
        <v/>
      </c>
      <c r="V19" s="206" t="str">
        <f t="shared" si="27"/>
        <v/>
      </c>
      <c r="W19" s="207" t="str">
        <f t="shared" si="27"/>
        <v/>
      </c>
      <c r="X19" s="208" t="str">
        <f t="shared" si="27"/>
        <v/>
      </c>
      <c r="Y19" s="206" t="str">
        <f t="shared" si="27"/>
        <v/>
      </c>
      <c r="Z19" s="206" t="str">
        <f t="shared" si="27"/>
        <v/>
      </c>
      <c r="AA19" s="207" t="str">
        <f t="shared" si="27"/>
        <v/>
      </c>
      <c r="AB19" s="208" t="str">
        <f t="shared" si="27"/>
        <v/>
      </c>
      <c r="AC19" s="206" t="str">
        <f t="shared" si="27"/>
        <v/>
      </c>
      <c r="AD19" s="206" t="str">
        <f t="shared" si="27"/>
        <v/>
      </c>
      <c r="AE19" s="207" t="str">
        <f t="shared" si="27"/>
        <v/>
      </c>
      <c r="AF19" s="208" t="str">
        <f t="shared" si="27"/>
        <v/>
      </c>
      <c r="AG19" s="206" t="str">
        <f t="shared" si="27"/>
        <v/>
      </c>
      <c r="AH19" s="206" t="str">
        <f t="shared" si="27"/>
        <v/>
      </c>
      <c r="AI19" s="207" t="str">
        <f t="shared" si="27"/>
        <v/>
      </c>
      <c r="AJ19" s="208" t="str">
        <f t="shared" si="27"/>
        <v/>
      </c>
      <c r="AK19" s="206" t="str">
        <f t="shared" si="27"/>
        <v/>
      </c>
      <c r="AL19" s="206" t="str">
        <f t="shared" si="27"/>
        <v/>
      </c>
      <c r="AM19" s="207" t="str">
        <f t="shared" si="27"/>
        <v/>
      </c>
      <c r="AN19" s="208" t="str">
        <f t="shared" si="27"/>
        <v/>
      </c>
      <c r="AO19" s="206" t="str">
        <f t="shared" si="27"/>
        <v/>
      </c>
      <c r="AP19" s="206" t="str">
        <f t="shared" si="27"/>
        <v/>
      </c>
      <c r="AQ19" s="207" t="str">
        <f t="shared" si="27"/>
        <v/>
      </c>
      <c r="AR19" s="208" t="str">
        <f t="shared" si="27"/>
        <v/>
      </c>
      <c r="AS19" s="206" t="str">
        <f t="shared" si="27"/>
        <v/>
      </c>
      <c r="AT19" s="206" t="str">
        <f t="shared" si="27"/>
        <v/>
      </c>
      <c r="AU19" s="207" t="str">
        <f t="shared" si="27"/>
        <v/>
      </c>
      <c r="AV19" s="208" t="str">
        <f t="shared" si="27"/>
        <v/>
      </c>
      <c r="AW19" s="206" t="str">
        <f t="shared" si="27"/>
        <v/>
      </c>
      <c r="AX19" s="206" t="str">
        <f t="shared" si="27"/>
        <v/>
      </c>
      <c r="AY19" s="207" t="str">
        <f t="shared" si="27"/>
        <v/>
      </c>
      <c r="AZ19" s="208" t="str">
        <f t="shared" si="27"/>
        <v/>
      </c>
      <c r="BA19" s="206" t="str">
        <f t="shared" si="27"/>
        <v/>
      </c>
      <c r="BB19" s="206" t="str">
        <f t="shared" si="27"/>
        <v/>
      </c>
      <c r="BC19" s="207" t="str">
        <f t="shared" si="27"/>
        <v/>
      </c>
      <c r="BD19" s="208" t="str">
        <f t="shared" si="27"/>
        <v/>
      </c>
      <c r="BE19" s="206" t="str">
        <f t="shared" si="27"/>
        <v/>
      </c>
      <c r="BF19" s="206" t="str">
        <f t="shared" si="27"/>
        <v/>
      </c>
      <c r="BG19" s="207" t="str">
        <f t="shared" si="27"/>
        <v/>
      </c>
      <c r="BH19" s="208" t="str">
        <f t="shared" si="27"/>
        <v/>
      </c>
      <c r="BI19" s="206" t="str">
        <f t="shared" si="27"/>
        <v/>
      </c>
      <c r="BJ19" s="206" t="str">
        <f t="shared" si="27"/>
        <v/>
      </c>
      <c r="BK19" s="207" t="str">
        <f t="shared" si="27"/>
        <v/>
      </c>
      <c r="BL19" s="208" t="str">
        <f t="shared" si="27"/>
        <v/>
      </c>
      <c r="BM19" s="206" t="str">
        <f t="shared" si="27"/>
        <v/>
      </c>
      <c r="BN19" s="206" t="str">
        <f t="shared" si="27"/>
        <v/>
      </c>
      <c r="BO19" s="207" t="str">
        <f t="shared" si="27"/>
        <v/>
      </c>
      <c r="BP19" s="208" t="str">
        <f t="shared" ref="BP19:CE19" si="28">IF(AND(BO$3&gt;=$A19,BO$3&lt;$B19),1,IF(AND(BO$3&gt;=$C19,BO$3&lt;$D19),1,""))</f>
        <v/>
      </c>
      <c r="BQ19" s="206" t="str">
        <f t="shared" si="28"/>
        <v/>
      </c>
      <c r="BR19" s="206" t="str">
        <f t="shared" si="28"/>
        <v/>
      </c>
      <c r="BS19" s="207" t="str">
        <f t="shared" si="28"/>
        <v/>
      </c>
      <c r="BT19" s="208" t="str">
        <f t="shared" si="28"/>
        <v/>
      </c>
      <c r="BU19" s="206" t="str">
        <f t="shared" si="28"/>
        <v/>
      </c>
      <c r="BV19" s="206" t="str">
        <f t="shared" si="28"/>
        <v/>
      </c>
      <c r="BW19" s="207" t="str">
        <f t="shared" si="28"/>
        <v/>
      </c>
      <c r="BX19" s="208" t="str">
        <f t="shared" si="28"/>
        <v/>
      </c>
      <c r="BY19" s="206" t="str">
        <f t="shared" si="28"/>
        <v/>
      </c>
      <c r="BZ19" s="206" t="str">
        <f t="shared" si="28"/>
        <v/>
      </c>
      <c r="CA19" s="207" t="str">
        <f t="shared" si="28"/>
        <v/>
      </c>
      <c r="CB19" s="208" t="str">
        <f t="shared" si="28"/>
        <v/>
      </c>
      <c r="CC19" s="206" t="str">
        <f t="shared" si="28"/>
        <v/>
      </c>
      <c r="CD19" s="206" t="str">
        <f t="shared" si="28"/>
        <v/>
      </c>
      <c r="CE19" s="207" t="str">
        <f t="shared" si="28"/>
        <v/>
      </c>
    </row>
    <row r="20" spans="1:83" ht="18" customHeight="1">
      <c r="A20" s="22">
        <f>+TABELLA!E24</f>
        <v>0</v>
      </c>
      <c r="B20" s="22">
        <f>+TABELLA!F24</f>
        <v>0</v>
      </c>
      <c r="C20" s="22">
        <f>+TABELLA!G24</f>
        <v>0</v>
      </c>
      <c r="D20" s="22">
        <f>+TABELLA!H24</f>
        <v>0</v>
      </c>
      <c r="E20" s="22"/>
      <c r="F20" s="26">
        <f>IF(TABELLA!B24="","",TABELLA!B24)</f>
        <v>12</v>
      </c>
      <c r="G20" s="27" t="str">
        <f>IF(TABELLA!C24="","",TABELLA!C24)</f>
        <v>xx</v>
      </c>
      <c r="H20" s="203" t="str">
        <f t="shared" si="2"/>
        <v/>
      </c>
      <c r="I20" s="203" t="str">
        <f t="shared" ref="I20:BO20" si="29">IF(AND(H$3&gt;=$A20,H$3&lt;$B20),1,IF(AND(H$3&gt;=$C20,H$3&lt;$D20),1,""))</f>
        <v/>
      </c>
      <c r="J20" s="203" t="str">
        <f t="shared" si="29"/>
        <v/>
      </c>
      <c r="K20" s="204" t="str">
        <f t="shared" si="29"/>
        <v/>
      </c>
      <c r="L20" s="205" t="str">
        <f t="shared" si="29"/>
        <v/>
      </c>
      <c r="M20" s="203" t="str">
        <f t="shared" si="29"/>
        <v/>
      </c>
      <c r="N20" s="203" t="str">
        <f t="shared" si="29"/>
        <v/>
      </c>
      <c r="O20" s="204" t="str">
        <f t="shared" si="29"/>
        <v/>
      </c>
      <c r="P20" s="205" t="str">
        <f t="shared" si="29"/>
        <v/>
      </c>
      <c r="Q20" s="203" t="str">
        <f t="shared" si="29"/>
        <v/>
      </c>
      <c r="R20" s="203" t="str">
        <f t="shared" si="29"/>
        <v/>
      </c>
      <c r="S20" s="204" t="str">
        <f t="shared" si="29"/>
        <v/>
      </c>
      <c r="T20" s="205" t="str">
        <f t="shared" si="29"/>
        <v/>
      </c>
      <c r="U20" s="203" t="str">
        <f t="shared" si="29"/>
        <v/>
      </c>
      <c r="V20" s="203" t="str">
        <f t="shared" si="29"/>
        <v/>
      </c>
      <c r="W20" s="204" t="str">
        <f t="shared" si="29"/>
        <v/>
      </c>
      <c r="X20" s="205" t="str">
        <f t="shared" si="29"/>
        <v/>
      </c>
      <c r="Y20" s="203" t="str">
        <f t="shared" si="29"/>
        <v/>
      </c>
      <c r="Z20" s="203" t="str">
        <f t="shared" si="29"/>
        <v/>
      </c>
      <c r="AA20" s="204" t="str">
        <f t="shared" si="29"/>
        <v/>
      </c>
      <c r="AB20" s="205" t="str">
        <f t="shared" si="29"/>
        <v/>
      </c>
      <c r="AC20" s="203" t="str">
        <f t="shared" si="29"/>
        <v/>
      </c>
      <c r="AD20" s="203" t="str">
        <f t="shared" si="29"/>
        <v/>
      </c>
      <c r="AE20" s="204" t="str">
        <f t="shared" si="29"/>
        <v/>
      </c>
      <c r="AF20" s="205" t="str">
        <f t="shared" si="29"/>
        <v/>
      </c>
      <c r="AG20" s="203" t="str">
        <f t="shared" si="29"/>
        <v/>
      </c>
      <c r="AH20" s="203" t="str">
        <f t="shared" si="29"/>
        <v/>
      </c>
      <c r="AI20" s="204" t="str">
        <f t="shared" si="29"/>
        <v/>
      </c>
      <c r="AJ20" s="205" t="str">
        <f t="shared" si="29"/>
        <v/>
      </c>
      <c r="AK20" s="203" t="str">
        <f t="shared" si="29"/>
        <v/>
      </c>
      <c r="AL20" s="203" t="str">
        <f t="shared" si="29"/>
        <v/>
      </c>
      <c r="AM20" s="204" t="str">
        <f t="shared" si="29"/>
        <v/>
      </c>
      <c r="AN20" s="205" t="str">
        <f t="shared" si="29"/>
        <v/>
      </c>
      <c r="AO20" s="203" t="str">
        <f t="shared" si="29"/>
        <v/>
      </c>
      <c r="AP20" s="203" t="str">
        <f t="shared" si="29"/>
        <v/>
      </c>
      <c r="AQ20" s="204" t="str">
        <f t="shared" si="29"/>
        <v/>
      </c>
      <c r="AR20" s="205" t="str">
        <f t="shared" si="29"/>
        <v/>
      </c>
      <c r="AS20" s="203" t="str">
        <f t="shared" si="29"/>
        <v/>
      </c>
      <c r="AT20" s="203" t="str">
        <f t="shared" si="29"/>
        <v/>
      </c>
      <c r="AU20" s="204" t="str">
        <f t="shared" si="29"/>
        <v/>
      </c>
      <c r="AV20" s="205" t="str">
        <f t="shared" si="29"/>
        <v/>
      </c>
      <c r="AW20" s="203" t="str">
        <f t="shared" si="29"/>
        <v/>
      </c>
      <c r="AX20" s="203" t="str">
        <f t="shared" si="29"/>
        <v/>
      </c>
      <c r="AY20" s="204" t="str">
        <f t="shared" si="29"/>
        <v/>
      </c>
      <c r="AZ20" s="205" t="str">
        <f t="shared" si="29"/>
        <v/>
      </c>
      <c r="BA20" s="203" t="str">
        <f t="shared" si="29"/>
        <v/>
      </c>
      <c r="BB20" s="203" t="str">
        <f t="shared" si="29"/>
        <v/>
      </c>
      <c r="BC20" s="204" t="str">
        <f t="shared" si="29"/>
        <v/>
      </c>
      <c r="BD20" s="205" t="str">
        <f t="shared" si="29"/>
        <v/>
      </c>
      <c r="BE20" s="203" t="str">
        <f t="shared" si="29"/>
        <v/>
      </c>
      <c r="BF20" s="203" t="str">
        <f t="shared" si="29"/>
        <v/>
      </c>
      <c r="BG20" s="204" t="str">
        <f t="shared" si="29"/>
        <v/>
      </c>
      <c r="BH20" s="205" t="str">
        <f t="shared" si="29"/>
        <v/>
      </c>
      <c r="BI20" s="203" t="str">
        <f t="shared" si="29"/>
        <v/>
      </c>
      <c r="BJ20" s="203" t="str">
        <f t="shared" si="29"/>
        <v/>
      </c>
      <c r="BK20" s="204" t="str">
        <f t="shared" si="29"/>
        <v/>
      </c>
      <c r="BL20" s="205" t="str">
        <f t="shared" si="29"/>
        <v/>
      </c>
      <c r="BM20" s="203" t="str">
        <f t="shared" si="29"/>
        <v/>
      </c>
      <c r="BN20" s="203" t="str">
        <f t="shared" si="29"/>
        <v/>
      </c>
      <c r="BO20" s="204" t="str">
        <f t="shared" si="29"/>
        <v/>
      </c>
      <c r="BP20" s="205" t="str">
        <f t="shared" ref="BP20:CE20" si="30">IF(AND(BO$3&gt;=$A20,BO$3&lt;$B20),1,IF(AND(BO$3&gt;=$C20,BO$3&lt;$D20),1,""))</f>
        <v/>
      </c>
      <c r="BQ20" s="203" t="str">
        <f t="shared" si="30"/>
        <v/>
      </c>
      <c r="BR20" s="203" t="str">
        <f t="shared" si="30"/>
        <v/>
      </c>
      <c r="BS20" s="204" t="str">
        <f t="shared" si="30"/>
        <v/>
      </c>
      <c r="BT20" s="205" t="str">
        <f t="shared" si="30"/>
        <v/>
      </c>
      <c r="BU20" s="203" t="str">
        <f t="shared" si="30"/>
        <v/>
      </c>
      <c r="BV20" s="203" t="str">
        <f t="shared" si="30"/>
        <v/>
      </c>
      <c r="BW20" s="204" t="str">
        <f t="shared" si="30"/>
        <v/>
      </c>
      <c r="BX20" s="205" t="str">
        <f t="shared" si="30"/>
        <v/>
      </c>
      <c r="BY20" s="203" t="str">
        <f t="shared" si="30"/>
        <v/>
      </c>
      <c r="BZ20" s="203" t="str">
        <f t="shared" si="30"/>
        <v/>
      </c>
      <c r="CA20" s="204" t="str">
        <f t="shared" si="30"/>
        <v/>
      </c>
      <c r="CB20" s="205" t="str">
        <f t="shared" si="30"/>
        <v/>
      </c>
      <c r="CC20" s="203" t="str">
        <f t="shared" si="30"/>
        <v/>
      </c>
      <c r="CD20" s="203" t="str">
        <f t="shared" si="30"/>
        <v/>
      </c>
      <c r="CE20" s="204" t="str">
        <f t="shared" si="30"/>
        <v/>
      </c>
    </row>
    <row r="21" spans="1:83" ht="18" customHeight="1">
      <c r="A21" s="22">
        <f>+TABELLA!E25</f>
        <v>0</v>
      </c>
      <c r="B21" s="22">
        <f>+TABELLA!F25</f>
        <v>0</v>
      </c>
      <c r="C21" s="22">
        <f>+TABELLA!G25</f>
        <v>0</v>
      </c>
      <c r="D21" s="22">
        <f>+TABELLA!H25</f>
        <v>0</v>
      </c>
      <c r="E21" s="22"/>
      <c r="F21" s="41">
        <f>IF(TABELLA!B25="","",TABELLA!B25)</f>
        <v>1</v>
      </c>
      <c r="G21" s="42" t="str">
        <f>IF(TABELLA!C25="","",TABELLA!C25)</f>
        <v/>
      </c>
      <c r="H21" s="206" t="str">
        <f t="shared" si="2"/>
        <v/>
      </c>
      <c r="I21" s="206" t="str">
        <f t="shared" ref="I21:BO21" si="31">IF(AND(H$3&gt;=$A21,H$3&lt;$B21),1,IF(AND(H$3&gt;=$C21,H$3&lt;$D21),1,""))</f>
        <v/>
      </c>
      <c r="J21" s="206" t="str">
        <f t="shared" si="31"/>
        <v/>
      </c>
      <c r="K21" s="207" t="str">
        <f t="shared" si="31"/>
        <v/>
      </c>
      <c r="L21" s="208" t="str">
        <f t="shared" si="31"/>
        <v/>
      </c>
      <c r="M21" s="206" t="str">
        <f t="shared" si="31"/>
        <v/>
      </c>
      <c r="N21" s="206" t="str">
        <f t="shared" si="31"/>
        <v/>
      </c>
      <c r="O21" s="207" t="str">
        <f t="shared" si="31"/>
        <v/>
      </c>
      <c r="P21" s="208" t="str">
        <f t="shared" si="31"/>
        <v/>
      </c>
      <c r="Q21" s="206" t="str">
        <f t="shared" si="31"/>
        <v/>
      </c>
      <c r="R21" s="206" t="str">
        <f t="shared" si="31"/>
        <v/>
      </c>
      <c r="S21" s="207" t="str">
        <f t="shared" si="31"/>
        <v/>
      </c>
      <c r="T21" s="208" t="str">
        <f t="shared" si="31"/>
        <v/>
      </c>
      <c r="U21" s="206" t="str">
        <f t="shared" si="31"/>
        <v/>
      </c>
      <c r="V21" s="206" t="str">
        <f t="shared" si="31"/>
        <v/>
      </c>
      <c r="W21" s="207" t="str">
        <f t="shared" si="31"/>
        <v/>
      </c>
      <c r="X21" s="208" t="str">
        <f t="shared" si="31"/>
        <v/>
      </c>
      <c r="Y21" s="206" t="str">
        <f t="shared" si="31"/>
        <v/>
      </c>
      <c r="Z21" s="206" t="str">
        <f t="shared" si="31"/>
        <v/>
      </c>
      <c r="AA21" s="207" t="str">
        <f t="shared" si="31"/>
        <v/>
      </c>
      <c r="AB21" s="208" t="str">
        <f t="shared" si="31"/>
        <v/>
      </c>
      <c r="AC21" s="206" t="str">
        <f t="shared" si="31"/>
        <v/>
      </c>
      <c r="AD21" s="206" t="str">
        <f t="shared" si="31"/>
        <v/>
      </c>
      <c r="AE21" s="207" t="str">
        <f t="shared" si="31"/>
        <v/>
      </c>
      <c r="AF21" s="208" t="str">
        <f t="shared" si="31"/>
        <v/>
      </c>
      <c r="AG21" s="206" t="str">
        <f t="shared" si="31"/>
        <v/>
      </c>
      <c r="AH21" s="206" t="str">
        <f t="shared" si="31"/>
        <v/>
      </c>
      <c r="AI21" s="207" t="str">
        <f t="shared" si="31"/>
        <v/>
      </c>
      <c r="AJ21" s="208" t="str">
        <f t="shared" si="31"/>
        <v/>
      </c>
      <c r="AK21" s="206" t="str">
        <f t="shared" si="31"/>
        <v/>
      </c>
      <c r="AL21" s="206" t="str">
        <f t="shared" si="31"/>
        <v/>
      </c>
      <c r="AM21" s="207" t="str">
        <f t="shared" si="31"/>
        <v/>
      </c>
      <c r="AN21" s="208" t="str">
        <f t="shared" si="31"/>
        <v/>
      </c>
      <c r="AO21" s="206" t="str">
        <f t="shared" si="31"/>
        <v/>
      </c>
      <c r="AP21" s="206" t="str">
        <f t="shared" si="31"/>
        <v/>
      </c>
      <c r="AQ21" s="207" t="str">
        <f t="shared" si="31"/>
        <v/>
      </c>
      <c r="AR21" s="208" t="str">
        <f t="shared" si="31"/>
        <v/>
      </c>
      <c r="AS21" s="206" t="str">
        <f t="shared" si="31"/>
        <v/>
      </c>
      <c r="AT21" s="206" t="str">
        <f t="shared" si="31"/>
        <v/>
      </c>
      <c r="AU21" s="207" t="str">
        <f t="shared" si="31"/>
        <v/>
      </c>
      <c r="AV21" s="208" t="str">
        <f t="shared" si="31"/>
        <v/>
      </c>
      <c r="AW21" s="206" t="str">
        <f t="shared" si="31"/>
        <v/>
      </c>
      <c r="AX21" s="206" t="str">
        <f t="shared" si="31"/>
        <v/>
      </c>
      <c r="AY21" s="207" t="str">
        <f t="shared" si="31"/>
        <v/>
      </c>
      <c r="AZ21" s="208" t="str">
        <f t="shared" si="31"/>
        <v/>
      </c>
      <c r="BA21" s="206" t="str">
        <f t="shared" si="31"/>
        <v/>
      </c>
      <c r="BB21" s="206" t="str">
        <f t="shared" si="31"/>
        <v/>
      </c>
      <c r="BC21" s="207" t="str">
        <f t="shared" si="31"/>
        <v/>
      </c>
      <c r="BD21" s="208" t="str">
        <f t="shared" si="31"/>
        <v/>
      </c>
      <c r="BE21" s="206" t="str">
        <f t="shared" si="31"/>
        <v/>
      </c>
      <c r="BF21" s="206" t="str">
        <f t="shared" si="31"/>
        <v/>
      </c>
      <c r="BG21" s="207" t="str">
        <f t="shared" si="31"/>
        <v/>
      </c>
      <c r="BH21" s="208" t="str">
        <f t="shared" si="31"/>
        <v/>
      </c>
      <c r="BI21" s="206" t="str">
        <f t="shared" si="31"/>
        <v/>
      </c>
      <c r="BJ21" s="206" t="str">
        <f t="shared" si="31"/>
        <v/>
      </c>
      <c r="BK21" s="207" t="str">
        <f t="shared" si="31"/>
        <v/>
      </c>
      <c r="BL21" s="208" t="str">
        <f t="shared" si="31"/>
        <v/>
      </c>
      <c r="BM21" s="206" t="str">
        <f t="shared" si="31"/>
        <v/>
      </c>
      <c r="BN21" s="206" t="str">
        <f t="shared" si="31"/>
        <v/>
      </c>
      <c r="BO21" s="207" t="str">
        <f t="shared" si="31"/>
        <v/>
      </c>
      <c r="BP21" s="208" t="str">
        <f t="shared" ref="BP21:CE21" si="32">IF(AND(BO$3&gt;=$A21,BO$3&lt;$B21),1,IF(AND(BO$3&gt;=$C21,BO$3&lt;$D21),1,""))</f>
        <v/>
      </c>
      <c r="BQ21" s="206" t="str">
        <f t="shared" si="32"/>
        <v/>
      </c>
      <c r="BR21" s="206" t="str">
        <f t="shared" si="32"/>
        <v/>
      </c>
      <c r="BS21" s="207" t="str">
        <f t="shared" si="32"/>
        <v/>
      </c>
      <c r="BT21" s="208" t="str">
        <f t="shared" si="32"/>
        <v/>
      </c>
      <c r="BU21" s="206" t="str">
        <f t="shared" si="32"/>
        <v/>
      </c>
      <c r="BV21" s="206" t="str">
        <f t="shared" si="32"/>
        <v/>
      </c>
      <c r="BW21" s="207" t="str">
        <f t="shared" si="32"/>
        <v/>
      </c>
      <c r="BX21" s="208" t="str">
        <f t="shared" si="32"/>
        <v/>
      </c>
      <c r="BY21" s="206" t="str">
        <f t="shared" si="32"/>
        <v/>
      </c>
      <c r="BZ21" s="206" t="str">
        <f t="shared" si="32"/>
        <v/>
      </c>
      <c r="CA21" s="207" t="str">
        <f t="shared" si="32"/>
        <v/>
      </c>
      <c r="CB21" s="208" t="str">
        <f t="shared" si="32"/>
        <v/>
      </c>
      <c r="CC21" s="206" t="str">
        <f t="shared" si="32"/>
        <v/>
      </c>
      <c r="CD21" s="206" t="str">
        <f t="shared" si="32"/>
        <v/>
      </c>
      <c r="CE21" s="207" t="str">
        <f t="shared" si="32"/>
        <v/>
      </c>
    </row>
    <row r="22" spans="1:83" ht="18" customHeight="1">
      <c r="A22" s="22">
        <f>+TABELLA!E26</f>
        <v>0</v>
      </c>
      <c r="B22" s="22">
        <f>+TABELLA!F26</f>
        <v>0</v>
      </c>
      <c r="C22" s="22">
        <f>+TABELLA!G26</f>
        <v>0</v>
      </c>
      <c r="D22" s="22">
        <f>+TABELLA!H26</f>
        <v>0</v>
      </c>
      <c r="E22" s="22"/>
      <c r="F22" s="26">
        <f>IF(TABELLA!B26="","",TABELLA!B26)</f>
        <v>1</v>
      </c>
      <c r="G22" s="27" t="str">
        <f>IF(TABELLA!C26="","",TABELLA!C26)</f>
        <v/>
      </c>
      <c r="H22" s="203" t="str">
        <f t="shared" si="2"/>
        <v/>
      </c>
      <c r="I22" s="203" t="str">
        <f t="shared" ref="I22:BO22" si="33">IF(AND(H$3&gt;=$A22,H$3&lt;$B22),1,IF(AND(H$3&gt;=$C22,H$3&lt;$D22),1,""))</f>
        <v/>
      </c>
      <c r="J22" s="203" t="str">
        <f t="shared" si="33"/>
        <v/>
      </c>
      <c r="K22" s="204" t="str">
        <f t="shared" si="33"/>
        <v/>
      </c>
      <c r="L22" s="205" t="str">
        <f t="shared" si="33"/>
        <v/>
      </c>
      <c r="M22" s="203" t="str">
        <f t="shared" si="33"/>
        <v/>
      </c>
      <c r="N22" s="203" t="str">
        <f t="shared" si="33"/>
        <v/>
      </c>
      <c r="O22" s="204" t="str">
        <f t="shared" si="33"/>
        <v/>
      </c>
      <c r="P22" s="205" t="str">
        <f t="shared" si="33"/>
        <v/>
      </c>
      <c r="Q22" s="203" t="str">
        <f t="shared" si="33"/>
        <v/>
      </c>
      <c r="R22" s="203" t="str">
        <f t="shared" si="33"/>
        <v/>
      </c>
      <c r="S22" s="204" t="str">
        <f t="shared" si="33"/>
        <v/>
      </c>
      <c r="T22" s="205" t="str">
        <f t="shared" si="33"/>
        <v/>
      </c>
      <c r="U22" s="203" t="str">
        <f t="shared" si="33"/>
        <v/>
      </c>
      <c r="V22" s="203" t="str">
        <f t="shared" si="33"/>
        <v/>
      </c>
      <c r="W22" s="204" t="str">
        <f t="shared" si="33"/>
        <v/>
      </c>
      <c r="X22" s="205" t="str">
        <f t="shared" si="33"/>
        <v/>
      </c>
      <c r="Y22" s="203" t="str">
        <f t="shared" si="33"/>
        <v/>
      </c>
      <c r="Z22" s="203" t="str">
        <f t="shared" si="33"/>
        <v/>
      </c>
      <c r="AA22" s="204" t="str">
        <f t="shared" si="33"/>
        <v/>
      </c>
      <c r="AB22" s="205" t="str">
        <f t="shared" si="33"/>
        <v/>
      </c>
      <c r="AC22" s="203" t="str">
        <f t="shared" si="33"/>
        <v/>
      </c>
      <c r="AD22" s="203" t="str">
        <f t="shared" si="33"/>
        <v/>
      </c>
      <c r="AE22" s="204" t="str">
        <f t="shared" si="33"/>
        <v/>
      </c>
      <c r="AF22" s="205" t="str">
        <f t="shared" si="33"/>
        <v/>
      </c>
      <c r="AG22" s="203" t="str">
        <f t="shared" si="33"/>
        <v/>
      </c>
      <c r="AH22" s="203" t="str">
        <f t="shared" si="33"/>
        <v/>
      </c>
      <c r="AI22" s="204" t="str">
        <f t="shared" si="33"/>
        <v/>
      </c>
      <c r="AJ22" s="205" t="str">
        <f t="shared" si="33"/>
        <v/>
      </c>
      <c r="AK22" s="203" t="str">
        <f t="shared" si="33"/>
        <v/>
      </c>
      <c r="AL22" s="203" t="str">
        <f t="shared" si="33"/>
        <v/>
      </c>
      <c r="AM22" s="204" t="str">
        <f t="shared" si="33"/>
        <v/>
      </c>
      <c r="AN22" s="205" t="str">
        <f t="shared" si="33"/>
        <v/>
      </c>
      <c r="AO22" s="203" t="str">
        <f t="shared" si="33"/>
        <v/>
      </c>
      <c r="AP22" s="203" t="str">
        <f t="shared" si="33"/>
        <v/>
      </c>
      <c r="AQ22" s="204" t="str">
        <f t="shared" si="33"/>
        <v/>
      </c>
      <c r="AR22" s="205" t="str">
        <f t="shared" si="33"/>
        <v/>
      </c>
      <c r="AS22" s="203" t="str">
        <f t="shared" si="33"/>
        <v/>
      </c>
      <c r="AT22" s="203" t="str">
        <f t="shared" si="33"/>
        <v/>
      </c>
      <c r="AU22" s="204" t="str">
        <f t="shared" si="33"/>
        <v/>
      </c>
      <c r="AV22" s="205" t="str">
        <f t="shared" si="33"/>
        <v/>
      </c>
      <c r="AW22" s="203" t="str">
        <f t="shared" si="33"/>
        <v/>
      </c>
      <c r="AX22" s="203" t="str">
        <f t="shared" si="33"/>
        <v/>
      </c>
      <c r="AY22" s="204" t="str">
        <f t="shared" si="33"/>
        <v/>
      </c>
      <c r="AZ22" s="205" t="str">
        <f t="shared" si="33"/>
        <v/>
      </c>
      <c r="BA22" s="203" t="str">
        <f t="shared" si="33"/>
        <v/>
      </c>
      <c r="BB22" s="203" t="str">
        <f t="shared" si="33"/>
        <v/>
      </c>
      <c r="BC22" s="204" t="str">
        <f t="shared" si="33"/>
        <v/>
      </c>
      <c r="BD22" s="205" t="str">
        <f t="shared" si="33"/>
        <v/>
      </c>
      <c r="BE22" s="203" t="str">
        <f t="shared" si="33"/>
        <v/>
      </c>
      <c r="BF22" s="203" t="str">
        <f t="shared" si="33"/>
        <v/>
      </c>
      <c r="BG22" s="204" t="str">
        <f t="shared" si="33"/>
        <v/>
      </c>
      <c r="BH22" s="205" t="str">
        <f t="shared" si="33"/>
        <v/>
      </c>
      <c r="BI22" s="203" t="str">
        <f t="shared" si="33"/>
        <v/>
      </c>
      <c r="BJ22" s="203" t="str">
        <f t="shared" si="33"/>
        <v/>
      </c>
      <c r="BK22" s="204" t="str">
        <f t="shared" si="33"/>
        <v/>
      </c>
      <c r="BL22" s="205" t="str">
        <f t="shared" si="33"/>
        <v/>
      </c>
      <c r="BM22" s="203" t="str">
        <f t="shared" si="33"/>
        <v/>
      </c>
      <c r="BN22" s="203" t="str">
        <f t="shared" si="33"/>
        <v/>
      </c>
      <c r="BO22" s="204" t="str">
        <f t="shared" si="33"/>
        <v/>
      </c>
      <c r="BP22" s="205" t="str">
        <f t="shared" ref="BP22:CE22" si="34">IF(AND(BO$3&gt;=$A22,BO$3&lt;$B22),1,IF(AND(BO$3&gt;=$C22,BO$3&lt;$D22),1,""))</f>
        <v/>
      </c>
      <c r="BQ22" s="203" t="str">
        <f t="shared" si="34"/>
        <v/>
      </c>
      <c r="BR22" s="203" t="str">
        <f t="shared" si="34"/>
        <v/>
      </c>
      <c r="BS22" s="204" t="str">
        <f t="shared" si="34"/>
        <v/>
      </c>
      <c r="BT22" s="205" t="str">
        <f t="shared" si="34"/>
        <v/>
      </c>
      <c r="BU22" s="203" t="str">
        <f t="shared" si="34"/>
        <v/>
      </c>
      <c r="BV22" s="203" t="str">
        <f t="shared" si="34"/>
        <v/>
      </c>
      <c r="BW22" s="204" t="str">
        <f t="shared" si="34"/>
        <v/>
      </c>
      <c r="BX22" s="205" t="str">
        <f t="shared" si="34"/>
        <v/>
      </c>
      <c r="BY22" s="203" t="str">
        <f t="shared" si="34"/>
        <v/>
      </c>
      <c r="BZ22" s="203" t="str">
        <f t="shared" si="34"/>
        <v/>
      </c>
      <c r="CA22" s="204" t="str">
        <f t="shared" si="34"/>
        <v/>
      </c>
      <c r="CB22" s="205" t="str">
        <f t="shared" si="34"/>
        <v/>
      </c>
      <c r="CC22" s="203" t="str">
        <f t="shared" si="34"/>
        <v/>
      </c>
      <c r="CD22" s="203" t="str">
        <f t="shared" si="34"/>
        <v/>
      </c>
      <c r="CE22" s="204" t="str">
        <f t="shared" si="34"/>
        <v/>
      </c>
    </row>
    <row r="23" spans="1:83" ht="18" customHeight="1">
      <c r="A23" s="22">
        <f>+TABELLA!E27</f>
        <v>0</v>
      </c>
      <c r="B23" s="22">
        <f>+TABELLA!F27</f>
        <v>0</v>
      </c>
      <c r="C23" s="22">
        <f>+TABELLA!G27</f>
        <v>0</v>
      </c>
      <c r="D23" s="22">
        <f>+TABELLA!H27</f>
        <v>0</v>
      </c>
      <c r="E23" s="22"/>
      <c r="F23" s="41" t="str">
        <f>IF(TABELLA!B27="","",TABELLA!B27)</f>
        <v/>
      </c>
      <c r="G23" s="42" t="str">
        <f>IF(TABELLA!C27="","",TABELLA!C27)</f>
        <v/>
      </c>
      <c r="H23" s="206" t="str">
        <f t="shared" si="2"/>
        <v/>
      </c>
      <c r="I23" s="206" t="str">
        <f t="shared" ref="I23:BO23" si="35">IF(AND(H$3&gt;=$A23,H$3&lt;$B23),1,IF(AND(H$3&gt;=$C23,H$3&lt;$D23),1,""))</f>
        <v/>
      </c>
      <c r="J23" s="206" t="str">
        <f t="shared" si="35"/>
        <v/>
      </c>
      <c r="K23" s="207" t="str">
        <f t="shared" si="35"/>
        <v/>
      </c>
      <c r="L23" s="208" t="str">
        <f t="shared" si="35"/>
        <v/>
      </c>
      <c r="M23" s="206" t="str">
        <f t="shared" si="35"/>
        <v/>
      </c>
      <c r="N23" s="206" t="str">
        <f t="shared" si="35"/>
        <v/>
      </c>
      <c r="O23" s="207" t="str">
        <f t="shared" si="35"/>
        <v/>
      </c>
      <c r="P23" s="208" t="str">
        <f t="shared" si="35"/>
        <v/>
      </c>
      <c r="Q23" s="206" t="str">
        <f t="shared" si="35"/>
        <v/>
      </c>
      <c r="R23" s="206" t="str">
        <f t="shared" si="35"/>
        <v/>
      </c>
      <c r="S23" s="207" t="str">
        <f t="shared" si="35"/>
        <v/>
      </c>
      <c r="T23" s="208" t="str">
        <f t="shared" si="35"/>
        <v/>
      </c>
      <c r="U23" s="206" t="str">
        <f t="shared" si="35"/>
        <v/>
      </c>
      <c r="V23" s="206" t="str">
        <f t="shared" si="35"/>
        <v/>
      </c>
      <c r="W23" s="207" t="str">
        <f t="shared" si="35"/>
        <v/>
      </c>
      <c r="X23" s="208" t="str">
        <f t="shared" si="35"/>
        <v/>
      </c>
      <c r="Y23" s="206" t="str">
        <f t="shared" si="35"/>
        <v/>
      </c>
      <c r="Z23" s="206" t="str">
        <f t="shared" si="35"/>
        <v/>
      </c>
      <c r="AA23" s="207" t="str">
        <f t="shared" si="35"/>
        <v/>
      </c>
      <c r="AB23" s="208" t="str">
        <f t="shared" si="35"/>
        <v/>
      </c>
      <c r="AC23" s="206" t="str">
        <f t="shared" si="35"/>
        <v/>
      </c>
      <c r="AD23" s="206" t="str">
        <f t="shared" si="35"/>
        <v/>
      </c>
      <c r="AE23" s="207" t="str">
        <f t="shared" si="35"/>
        <v/>
      </c>
      <c r="AF23" s="208" t="str">
        <f t="shared" si="35"/>
        <v/>
      </c>
      <c r="AG23" s="206" t="str">
        <f t="shared" si="35"/>
        <v/>
      </c>
      <c r="AH23" s="206" t="str">
        <f t="shared" si="35"/>
        <v/>
      </c>
      <c r="AI23" s="207" t="str">
        <f t="shared" si="35"/>
        <v/>
      </c>
      <c r="AJ23" s="208" t="str">
        <f t="shared" si="35"/>
        <v/>
      </c>
      <c r="AK23" s="206" t="str">
        <f t="shared" si="35"/>
        <v/>
      </c>
      <c r="AL23" s="206" t="str">
        <f t="shared" si="35"/>
        <v/>
      </c>
      <c r="AM23" s="207" t="str">
        <f t="shared" si="35"/>
        <v/>
      </c>
      <c r="AN23" s="208" t="str">
        <f t="shared" si="35"/>
        <v/>
      </c>
      <c r="AO23" s="206" t="str">
        <f t="shared" si="35"/>
        <v/>
      </c>
      <c r="AP23" s="206" t="str">
        <f t="shared" si="35"/>
        <v/>
      </c>
      <c r="AQ23" s="207" t="str">
        <f t="shared" si="35"/>
        <v/>
      </c>
      <c r="AR23" s="208" t="str">
        <f t="shared" si="35"/>
        <v/>
      </c>
      <c r="AS23" s="206" t="str">
        <f t="shared" si="35"/>
        <v/>
      </c>
      <c r="AT23" s="206" t="str">
        <f t="shared" si="35"/>
        <v/>
      </c>
      <c r="AU23" s="207" t="str">
        <f t="shared" si="35"/>
        <v/>
      </c>
      <c r="AV23" s="208" t="str">
        <f t="shared" si="35"/>
        <v/>
      </c>
      <c r="AW23" s="206" t="str">
        <f t="shared" si="35"/>
        <v/>
      </c>
      <c r="AX23" s="206" t="str">
        <f t="shared" si="35"/>
        <v/>
      </c>
      <c r="AY23" s="207" t="str">
        <f t="shared" si="35"/>
        <v/>
      </c>
      <c r="AZ23" s="208" t="str">
        <f t="shared" si="35"/>
        <v/>
      </c>
      <c r="BA23" s="206" t="str">
        <f t="shared" si="35"/>
        <v/>
      </c>
      <c r="BB23" s="206" t="str">
        <f t="shared" si="35"/>
        <v/>
      </c>
      <c r="BC23" s="207" t="str">
        <f t="shared" si="35"/>
        <v/>
      </c>
      <c r="BD23" s="208" t="str">
        <f t="shared" si="35"/>
        <v/>
      </c>
      <c r="BE23" s="206" t="str">
        <f t="shared" si="35"/>
        <v/>
      </c>
      <c r="BF23" s="206" t="str">
        <f t="shared" si="35"/>
        <v/>
      </c>
      <c r="BG23" s="207" t="str">
        <f t="shared" si="35"/>
        <v/>
      </c>
      <c r="BH23" s="208" t="str">
        <f t="shared" si="35"/>
        <v/>
      </c>
      <c r="BI23" s="206" t="str">
        <f t="shared" si="35"/>
        <v/>
      </c>
      <c r="BJ23" s="206" t="str">
        <f t="shared" si="35"/>
        <v/>
      </c>
      <c r="BK23" s="207" t="str">
        <f t="shared" si="35"/>
        <v/>
      </c>
      <c r="BL23" s="208" t="str">
        <f t="shared" si="35"/>
        <v/>
      </c>
      <c r="BM23" s="206" t="str">
        <f t="shared" si="35"/>
        <v/>
      </c>
      <c r="BN23" s="206" t="str">
        <f t="shared" si="35"/>
        <v/>
      </c>
      <c r="BO23" s="207" t="str">
        <f t="shared" si="35"/>
        <v/>
      </c>
      <c r="BP23" s="208" t="str">
        <f t="shared" ref="BP23:CE23" si="36">IF(AND(BO$3&gt;=$A23,BO$3&lt;$B23),1,IF(AND(BO$3&gt;=$C23,BO$3&lt;$D23),1,""))</f>
        <v/>
      </c>
      <c r="BQ23" s="206" t="str">
        <f t="shared" si="36"/>
        <v/>
      </c>
      <c r="BR23" s="206" t="str">
        <f t="shared" si="36"/>
        <v/>
      </c>
      <c r="BS23" s="207" t="str">
        <f t="shared" si="36"/>
        <v/>
      </c>
      <c r="BT23" s="208" t="str">
        <f t="shared" si="36"/>
        <v/>
      </c>
      <c r="BU23" s="206" t="str">
        <f t="shared" si="36"/>
        <v/>
      </c>
      <c r="BV23" s="206" t="str">
        <f t="shared" si="36"/>
        <v/>
      </c>
      <c r="BW23" s="207" t="str">
        <f t="shared" si="36"/>
        <v/>
      </c>
      <c r="BX23" s="208" t="str">
        <f t="shared" si="36"/>
        <v/>
      </c>
      <c r="BY23" s="206" t="str">
        <f t="shared" si="36"/>
        <v/>
      </c>
      <c r="BZ23" s="206" t="str">
        <f t="shared" si="36"/>
        <v/>
      </c>
      <c r="CA23" s="207" t="str">
        <f t="shared" si="36"/>
        <v/>
      </c>
      <c r="CB23" s="208" t="str">
        <f t="shared" si="36"/>
        <v/>
      </c>
      <c r="CC23" s="206" t="str">
        <f t="shared" si="36"/>
        <v/>
      </c>
      <c r="CD23" s="206" t="str">
        <f t="shared" si="36"/>
        <v/>
      </c>
      <c r="CE23" s="207" t="str">
        <f t="shared" si="36"/>
        <v/>
      </c>
    </row>
    <row r="24" spans="1:83" ht="18" customHeight="1">
      <c r="A24" s="22">
        <f>+TABELLA!E28</f>
        <v>0</v>
      </c>
      <c r="B24" s="22">
        <f>+TABELLA!F28</f>
        <v>0</v>
      </c>
      <c r="C24" s="22">
        <f>+TABELLA!G28</f>
        <v>0</v>
      </c>
      <c r="D24" s="22">
        <f>+TABELLA!H28</f>
        <v>0</v>
      </c>
      <c r="E24" s="22"/>
      <c r="F24" s="26">
        <f>IF(TABELLA!B28="","",TABELLA!B28)</f>
        <v>3</v>
      </c>
      <c r="G24" s="27" t="str">
        <f>IF(TABELLA!C28="","",TABELLA!C28)</f>
        <v>SARTORATO TATIANA</v>
      </c>
      <c r="H24" s="203" t="str">
        <f t="shared" si="2"/>
        <v/>
      </c>
      <c r="I24" s="203" t="str">
        <f t="shared" ref="I24:BO24" si="37">IF(AND(H$3&gt;=$A24,H$3&lt;$B24),1,IF(AND(H$3&gt;=$C24,H$3&lt;$D24),1,""))</f>
        <v/>
      </c>
      <c r="J24" s="203" t="str">
        <f t="shared" si="37"/>
        <v/>
      </c>
      <c r="K24" s="204" t="str">
        <f t="shared" si="37"/>
        <v/>
      </c>
      <c r="L24" s="205" t="str">
        <f t="shared" si="37"/>
        <v/>
      </c>
      <c r="M24" s="203" t="str">
        <f t="shared" si="37"/>
        <v/>
      </c>
      <c r="N24" s="203" t="str">
        <f t="shared" si="37"/>
        <v/>
      </c>
      <c r="O24" s="204" t="str">
        <f t="shared" si="37"/>
        <v/>
      </c>
      <c r="P24" s="205" t="str">
        <f t="shared" si="37"/>
        <v/>
      </c>
      <c r="Q24" s="203" t="str">
        <f t="shared" si="37"/>
        <v/>
      </c>
      <c r="R24" s="203" t="str">
        <f t="shared" si="37"/>
        <v/>
      </c>
      <c r="S24" s="204" t="str">
        <f t="shared" si="37"/>
        <v/>
      </c>
      <c r="T24" s="205" t="str">
        <f t="shared" si="37"/>
        <v/>
      </c>
      <c r="U24" s="203" t="str">
        <f t="shared" si="37"/>
        <v/>
      </c>
      <c r="V24" s="203" t="str">
        <f t="shared" si="37"/>
        <v/>
      </c>
      <c r="W24" s="204" t="str">
        <f t="shared" si="37"/>
        <v/>
      </c>
      <c r="X24" s="205" t="str">
        <f t="shared" si="37"/>
        <v/>
      </c>
      <c r="Y24" s="203" t="str">
        <f t="shared" si="37"/>
        <v/>
      </c>
      <c r="Z24" s="203" t="str">
        <f t="shared" si="37"/>
        <v/>
      </c>
      <c r="AA24" s="204" t="str">
        <f t="shared" si="37"/>
        <v/>
      </c>
      <c r="AB24" s="205" t="str">
        <f t="shared" si="37"/>
        <v/>
      </c>
      <c r="AC24" s="203" t="str">
        <f t="shared" si="37"/>
        <v/>
      </c>
      <c r="AD24" s="203" t="str">
        <f t="shared" si="37"/>
        <v/>
      </c>
      <c r="AE24" s="204" t="str">
        <f t="shared" si="37"/>
        <v/>
      </c>
      <c r="AF24" s="205" t="str">
        <f t="shared" si="37"/>
        <v/>
      </c>
      <c r="AG24" s="203" t="str">
        <f t="shared" si="37"/>
        <v/>
      </c>
      <c r="AH24" s="203" t="str">
        <f t="shared" si="37"/>
        <v/>
      </c>
      <c r="AI24" s="204" t="str">
        <f t="shared" si="37"/>
        <v/>
      </c>
      <c r="AJ24" s="205" t="str">
        <f t="shared" si="37"/>
        <v/>
      </c>
      <c r="AK24" s="203" t="str">
        <f t="shared" si="37"/>
        <v/>
      </c>
      <c r="AL24" s="203" t="str">
        <f t="shared" si="37"/>
        <v/>
      </c>
      <c r="AM24" s="204" t="str">
        <f t="shared" si="37"/>
        <v/>
      </c>
      <c r="AN24" s="205" t="str">
        <f t="shared" si="37"/>
        <v/>
      </c>
      <c r="AO24" s="203" t="str">
        <f t="shared" si="37"/>
        <v/>
      </c>
      <c r="AP24" s="203" t="str">
        <f t="shared" si="37"/>
        <v/>
      </c>
      <c r="AQ24" s="204" t="str">
        <f t="shared" si="37"/>
        <v/>
      </c>
      <c r="AR24" s="205" t="str">
        <f t="shared" si="37"/>
        <v/>
      </c>
      <c r="AS24" s="203" t="str">
        <f t="shared" si="37"/>
        <v/>
      </c>
      <c r="AT24" s="203" t="str">
        <f t="shared" si="37"/>
        <v/>
      </c>
      <c r="AU24" s="204" t="str">
        <f t="shared" si="37"/>
        <v/>
      </c>
      <c r="AV24" s="205" t="str">
        <f t="shared" si="37"/>
        <v/>
      </c>
      <c r="AW24" s="203" t="str">
        <f t="shared" si="37"/>
        <v/>
      </c>
      <c r="AX24" s="203" t="str">
        <f t="shared" si="37"/>
        <v/>
      </c>
      <c r="AY24" s="204" t="str">
        <f t="shared" si="37"/>
        <v/>
      </c>
      <c r="AZ24" s="205" t="str">
        <f t="shared" si="37"/>
        <v/>
      </c>
      <c r="BA24" s="203" t="str">
        <f t="shared" si="37"/>
        <v/>
      </c>
      <c r="BB24" s="203" t="str">
        <f t="shared" si="37"/>
        <v/>
      </c>
      <c r="BC24" s="204" t="str">
        <f t="shared" si="37"/>
        <v/>
      </c>
      <c r="BD24" s="205" t="str">
        <f t="shared" si="37"/>
        <v/>
      </c>
      <c r="BE24" s="203" t="str">
        <f t="shared" si="37"/>
        <v/>
      </c>
      <c r="BF24" s="203" t="str">
        <f t="shared" si="37"/>
        <v/>
      </c>
      <c r="BG24" s="204" t="str">
        <f t="shared" si="37"/>
        <v/>
      </c>
      <c r="BH24" s="205" t="str">
        <f t="shared" si="37"/>
        <v/>
      </c>
      <c r="BI24" s="203" t="str">
        <f t="shared" si="37"/>
        <v/>
      </c>
      <c r="BJ24" s="203" t="str">
        <f t="shared" si="37"/>
        <v/>
      </c>
      <c r="BK24" s="204" t="str">
        <f t="shared" si="37"/>
        <v/>
      </c>
      <c r="BL24" s="205" t="str">
        <f t="shared" si="37"/>
        <v/>
      </c>
      <c r="BM24" s="203" t="str">
        <f t="shared" si="37"/>
        <v/>
      </c>
      <c r="BN24" s="203" t="str">
        <f t="shared" si="37"/>
        <v/>
      </c>
      <c r="BO24" s="204" t="str">
        <f t="shared" si="37"/>
        <v/>
      </c>
      <c r="BP24" s="205" t="str">
        <f t="shared" ref="BP24:CE24" si="38">IF(AND(BO$3&gt;=$A24,BO$3&lt;$B24),1,IF(AND(BO$3&gt;=$C24,BO$3&lt;$D24),1,""))</f>
        <v/>
      </c>
      <c r="BQ24" s="203" t="str">
        <f t="shared" si="38"/>
        <v/>
      </c>
      <c r="BR24" s="203" t="str">
        <f t="shared" si="38"/>
        <v/>
      </c>
      <c r="BS24" s="204" t="str">
        <f t="shared" si="38"/>
        <v/>
      </c>
      <c r="BT24" s="205" t="str">
        <f t="shared" si="38"/>
        <v/>
      </c>
      <c r="BU24" s="203" t="str">
        <f t="shared" si="38"/>
        <v/>
      </c>
      <c r="BV24" s="203" t="str">
        <f t="shared" si="38"/>
        <v/>
      </c>
      <c r="BW24" s="204" t="str">
        <f t="shared" si="38"/>
        <v/>
      </c>
      <c r="BX24" s="205" t="str">
        <f t="shared" si="38"/>
        <v/>
      </c>
      <c r="BY24" s="203" t="str">
        <f t="shared" si="38"/>
        <v/>
      </c>
      <c r="BZ24" s="203" t="str">
        <f t="shared" si="38"/>
        <v/>
      </c>
      <c r="CA24" s="204" t="str">
        <f t="shared" si="38"/>
        <v/>
      </c>
      <c r="CB24" s="205" t="str">
        <f t="shared" si="38"/>
        <v/>
      </c>
      <c r="CC24" s="203" t="str">
        <f t="shared" si="38"/>
        <v/>
      </c>
      <c r="CD24" s="203" t="str">
        <f t="shared" si="38"/>
        <v/>
      </c>
      <c r="CE24" s="204" t="str">
        <f t="shared" si="38"/>
        <v/>
      </c>
    </row>
    <row r="25" spans="1:83" ht="18" customHeight="1">
      <c r="A25" s="22">
        <f>+TABELLA!E29</f>
        <v>0</v>
      </c>
      <c r="B25" s="22">
        <f>+TABELLA!F29</f>
        <v>0</v>
      </c>
      <c r="C25" s="22">
        <f>+TABELLA!G29</f>
        <v>0</v>
      </c>
      <c r="D25" s="22">
        <f>+TABELLA!H29</f>
        <v>0</v>
      </c>
      <c r="E25" s="22"/>
      <c r="F25" s="41">
        <f>IF(TABELLA!B29="","",TABELLA!B29)</f>
        <v>3</v>
      </c>
      <c r="G25" s="42" t="str">
        <f>IF(TABELLA!C29="","",TABELLA!C29)</f>
        <v>CATALDO MARIKA</v>
      </c>
      <c r="H25" s="206" t="str">
        <f t="shared" si="2"/>
        <v/>
      </c>
      <c r="I25" s="206" t="str">
        <f t="shared" ref="I25:BO25" si="39">IF(AND(H$3&gt;=$A25,H$3&lt;$B25),1,IF(AND(H$3&gt;=$C25,H$3&lt;$D25),1,""))</f>
        <v/>
      </c>
      <c r="J25" s="206" t="str">
        <f t="shared" si="39"/>
        <v/>
      </c>
      <c r="K25" s="207" t="str">
        <f t="shared" si="39"/>
        <v/>
      </c>
      <c r="L25" s="208" t="str">
        <f t="shared" si="39"/>
        <v/>
      </c>
      <c r="M25" s="206" t="str">
        <f t="shared" si="39"/>
        <v/>
      </c>
      <c r="N25" s="206" t="str">
        <f t="shared" si="39"/>
        <v/>
      </c>
      <c r="O25" s="207" t="str">
        <f t="shared" si="39"/>
        <v/>
      </c>
      <c r="P25" s="208" t="str">
        <f t="shared" si="39"/>
        <v/>
      </c>
      <c r="Q25" s="206" t="str">
        <f t="shared" si="39"/>
        <v/>
      </c>
      <c r="R25" s="206" t="str">
        <f t="shared" si="39"/>
        <v/>
      </c>
      <c r="S25" s="207" t="str">
        <f t="shared" si="39"/>
        <v/>
      </c>
      <c r="T25" s="208" t="str">
        <f t="shared" si="39"/>
        <v/>
      </c>
      <c r="U25" s="206" t="str">
        <f t="shared" si="39"/>
        <v/>
      </c>
      <c r="V25" s="206" t="str">
        <f t="shared" si="39"/>
        <v/>
      </c>
      <c r="W25" s="207" t="str">
        <f t="shared" si="39"/>
        <v/>
      </c>
      <c r="X25" s="208" t="str">
        <f t="shared" si="39"/>
        <v/>
      </c>
      <c r="Y25" s="206" t="str">
        <f t="shared" si="39"/>
        <v/>
      </c>
      <c r="Z25" s="206" t="str">
        <f t="shared" si="39"/>
        <v/>
      </c>
      <c r="AA25" s="207" t="str">
        <f t="shared" si="39"/>
        <v/>
      </c>
      <c r="AB25" s="208" t="str">
        <f t="shared" si="39"/>
        <v/>
      </c>
      <c r="AC25" s="206" t="str">
        <f t="shared" si="39"/>
        <v/>
      </c>
      <c r="AD25" s="206" t="str">
        <f t="shared" si="39"/>
        <v/>
      </c>
      <c r="AE25" s="207" t="str">
        <f t="shared" si="39"/>
        <v/>
      </c>
      <c r="AF25" s="208" t="str">
        <f t="shared" si="39"/>
        <v/>
      </c>
      <c r="AG25" s="206" t="str">
        <f t="shared" si="39"/>
        <v/>
      </c>
      <c r="AH25" s="206" t="str">
        <f t="shared" si="39"/>
        <v/>
      </c>
      <c r="AI25" s="207" t="str">
        <f t="shared" si="39"/>
        <v/>
      </c>
      <c r="AJ25" s="208" t="str">
        <f t="shared" si="39"/>
        <v/>
      </c>
      <c r="AK25" s="206" t="str">
        <f t="shared" si="39"/>
        <v/>
      </c>
      <c r="AL25" s="206" t="str">
        <f t="shared" si="39"/>
        <v/>
      </c>
      <c r="AM25" s="207" t="str">
        <f t="shared" si="39"/>
        <v/>
      </c>
      <c r="AN25" s="208" t="str">
        <f t="shared" si="39"/>
        <v/>
      </c>
      <c r="AO25" s="206" t="str">
        <f t="shared" si="39"/>
        <v/>
      </c>
      <c r="AP25" s="206" t="str">
        <f t="shared" si="39"/>
        <v/>
      </c>
      <c r="AQ25" s="207" t="str">
        <f t="shared" si="39"/>
        <v/>
      </c>
      <c r="AR25" s="208" t="str">
        <f t="shared" si="39"/>
        <v/>
      </c>
      <c r="AS25" s="206" t="str">
        <f t="shared" si="39"/>
        <v/>
      </c>
      <c r="AT25" s="206" t="str">
        <f t="shared" si="39"/>
        <v/>
      </c>
      <c r="AU25" s="207" t="str">
        <f t="shared" si="39"/>
        <v/>
      </c>
      <c r="AV25" s="208" t="str">
        <f t="shared" si="39"/>
        <v/>
      </c>
      <c r="AW25" s="206" t="str">
        <f t="shared" si="39"/>
        <v/>
      </c>
      <c r="AX25" s="206" t="str">
        <f t="shared" si="39"/>
        <v/>
      </c>
      <c r="AY25" s="207" t="str">
        <f t="shared" si="39"/>
        <v/>
      </c>
      <c r="AZ25" s="208" t="str">
        <f t="shared" si="39"/>
        <v/>
      </c>
      <c r="BA25" s="206" t="str">
        <f t="shared" si="39"/>
        <v/>
      </c>
      <c r="BB25" s="206" t="str">
        <f t="shared" si="39"/>
        <v/>
      </c>
      <c r="BC25" s="207" t="str">
        <f t="shared" si="39"/>
        <v/>
      </c>
      <c r="BD25" s="208" t="str">
        <f t="shared" si="39"/>
        <v/>
      </c>
      <c r="BE25" s="206" t="str">
        <f t="shared" si="39"/>
        <v/>
      </c>
      <c r="BF25" s="206" t="str">
        <f t="shared" si="39"/>
        <v/>
      </c>
      <c r="BG25" s="207" t="str">
        <f t="shared" si="39"/>
        <v/>
      </c>
      <c r="BH25" s="208" t="str">
        <f t="shared" si="39"/>
        <v/>
      </c>
      <c r="BI25" s="206" t="str">
        <f t="shared" si="39"/>
        <v/>
      </c>
      <c r="BJ25" s="206" t="str">
        <f t="shared" si="39"/>
        <v/>
      </c>
      <c r="BK25" s="207" t="str">
        <f t="shared" si="39"/>
        <v/>
      </c>
      <c r="BL25" s="208" t="str">
        <f t="shared" si="39"/>
        <v/>
      </c>
      <c r="BM25" s="206" t="str">
        <f t="shared" si="39"/>
        <v/>
      </c>
      <c r="BN25" s="206" t="str">
        <f t="shared" si="39"/>
        <v/>
      </c>
      <c r="BO25" s="207" t="str">
        <f t="shared" si="39"/>
        <v/>
      </c>
      <c r="BP25" s="208" t="str">
        <f t="shared" ref="BP25:CE25" si="40">IF(AND(BO$3&gt;=$A25,BO$3&lt;$B25),1,IF(AND(BO$3&gt;=$C25,BO$3&lt;$D25),1,""))</f>
        <v/>
      </c>
      <c r="BQ25" s="206" t="str">
        <f t="shared" si="40"/>
        <v/>
      </c>
      <c r="BR25" s="206" t="str">
        <f t="shared" si="40"/>
        <v/>
      </c>
      <c r="BS25" s="207" t="str">
        <f t="shared" si="40"/>
        <v/>
      </c>
      <c r="BT25" s="208" t="str">
        <f t="shared" si="40"/>
        <v/>
      </c>
      <c r="BU25" s="206" t="str">
        <f t="shared" si="40"/>
        <v/>
      </c>
      <c r="BV25" s="206" t="str">
        <f t="shared" si="40"/>
        <v/>
      </c>
      <c r="BW25" s="207" t="str">
        <f t="shared" si="40"/>
        <v/>
      </c>
      <c r="BX25" s="208" t="str">
        <f t="shared" si="40"/>
        <v/>
      </c>
      <c r="BY25" s="206" t="str">
        <f t="shared" si="40"/>
        <v/>
      </c>
      <c r="BZ25" s="206" t="str">
        <f t="shared" si="40"/>
        <v/>
      </c>
      <c r="CA25" s="207" t="str">
        <f t="shared" si="40"/>
        <v/>
      </c>
      <c r="CB25" s="208" t="str">
        <f t="shared" si="40"/>
        <v/>
      </c>
      <c r="CC25" s="206" t="str">
        <f t="shared" si="40"/>
        <v/>
      </c>
      <c r="CD25" s="206" t="str">
        <f t="shared" si="40"/>
        <v/>
      </c>
      <c r="CE25" s="207" t="str">
        <f t="shared" si="40"/>
        <v/>
      </c>
    </row>
    <row r="26" spans="1:83" ht="18" customHeight="1">
      <c r="A26" s="22">
        <f>+TABELLA!E30</f>
        <v>0</v>
      </c>
      <c r="B26" s="22">
        <f>+TABELLA!F30</f>
        <v>0</v>
      </c>
      <c r="C26" s="22">
        <f>+TABELLA!G30</f>
        <v>0</v>
      </c>
      <c r="D26" s="22">
        <f>+TABELLA!H30</f>
        <v>0</v>
      </c>
      <c r="E26" s="22"/>
      <c r="F26" s="26">
        <f>IF(TABELLA!B30="","",TABELLA!B30)</f>
        <v>3</v>
      </c>
      <c r="G26" s="27" t="str">
        <f>IF(TABELLA!C30="","",TABELLA!C30)</f>
        <v>ALDARWISH HASSAN</v>
      </c>
      <c r="H26" s="203" t="str">
        <f t="shared" si="2"/>
        <v/>
      </c>
      <c r="I26" s="203" t="str">
        <f t="shared" ref="I26:BO26" si="41">IF(AND(H$3&gt;=$A26,H$3&lt;$B26),1,IF(AND(H$3&gt;=$C26,H$3&lt;$D26),1,""))</f>
        <v/>
      </c>
      <c r="J26" s="203" t="str">
        <f t="shared" si="41"/>
        <v/>
      </c>
      <c r="K26" s="204" t="str">
        <f t="shared" si="41"/>
        <v/>
      </c>
      <c r="L26" s="205" t="str">
        <f t="shared" si="41"/>
        <v/>
      </c>
      <c r="M26" s="203" t="str">
        <f t="shared" si="41"/>
        <v/>
      </c>
      <c r="N26" s="203" t="str">
        <f t="shared" si="41"/>
        <v/>
      </c>
      <c r="O26" s="204" t="str">
        <f t="shared" si="41"/>
        <v/>
      </c>
      <c r="P26" s="205" t="str">
        <f t="shared" si="41"/>
        <v/>
      </c>
      <c r="Q26" s="203" t="str">
        <f t="shared" si="41"/>
        <v/>
      </c>
      <c r="R26" s="203" t="str">
        <f t="shared" si="41"/>
        <v/>
      </c>
      <c r="S26" s="204" t="str">
        <f t="shared" si="41"/>
        <v/>
      </c>
      <c r="T26" s="205" t="str">
        <f t="shared" si="41"/>
        <v/>
      </c>
      <c r="U26" s="203" t="str">
        <f t="shared" si="41"/>
        <v/>
      </c>
      <c r="V26" s="203" t="str">
        <f t="shared" si="41"/>
        <v/>
      </c>
      <c r="W26" s="204" t="str">
        <f t="shared" si="41"/>
        <v/>
      </c>
      <c r="X26" s="205" t="str">
        <f t="shared" si="41"/>
        <v/>
      </c>
      <c r="Y26" s="203" t="str">
        <f t="shared" si="41"/>
        <v/>
      </c>
      <c r="Z26" s="203" t="str">
        <f t="shared" si="41"/>
        <v/>
      </c>
      <c r="AA26" s="204" t="str">
        <f t="shared" si="41"/>
        <v/>
      </c>
      <c r="AB26" s="205" t="str">
        <f t="shared" si="41"/>
        <v/>
      </c>
      <c r="AC26" s="203" t="str">
        <f t="shared" si="41"/>
        <v/>
      </c>
      <c r="AD26" s="203" t="str">
        <f t="shared" si="41"/>
        <v/>
      </c>
      <c r="AE26" s="204" t="str">
        <f t="shared" si="41"/>
        <v/>
      </c>
      <c r="AF26" s="205" t="str">
        <f t="shared" si="41"/>
        <v/>
      </c>
      <c r="AG26" s="203" t="str">
        <f t="shared" si="41"/>
        <v/>
      </c>
      <c r="AH26" s="203" t="str">
        <f t="shared" si="41"/>
        <v/>
      </c>
      <c r="AI26" s="204" t="str">
        <f t="shared" si="41"/>
        <v/>
      </c>
      <c r="AJ26" s="205" t="str">
        <f t="shared" si="41"/>
        <v/>
      </c>
      <c r="AK26" s="203" t="str">
        <f t="shared" si="41"/>
        <v/>
      </c>
      <c r="AL26" s="203" t="str">
        <f t="shared" si="41"/>
        <v/>
      </c>
      <c r="AM26" s="204" t="str">
        <f t="shared" si="41"/>
        <v/>
      </c>
      <c r="AN26" s="205" t="str">
        <f t="shared" si="41"/>
        <v/>
      </c>
      <c r="AO26" s="203" t="str">
        <f t="shared" si="41"/>
        <v/>
      </c>
      <c r="AP26" s="203" t="str">
        <f t="shared" si="41"/>
        <v/>
      </c>
      <c r="AQ26" s="204" t="str">
        <f t="shared" si="41"/>
        <v/>
      </c>
      <c r="AR26" s="205" t="str">
        <f t="shared" si="41"/>
        <v/>
      </c>
      <c r="AS26" s="203" t="str">
        <f t="shared" si="41"/>
        <v/>
      </c>
      <c r="AT26" s="203" t="str">
        <f t="shared" si="41"/>
        <v/>
      </c>
      <c r="AU26" s="204" t="str">
        <f t="shared" si="41"/>
        <v/>
      </c>
      <c r="AV26" s="205" t="str">
        <f t="shared" si="41"/>
        <v/>
      </c>
      <c r="AW26" s="203" t="str">
        <f t="shared" si="41"/>
        <v/>
      </c>
      <c r="AX26" s="203" t="str">
        <f t="shared" si="41"/>
        <v/>
      </c>
      <c r="AY26" s="204" t="str">
        <f t="shared" si="41"/>
        <v/>
      </c>
      <c r="AZ26" s="205" t="str">
        <f t="shared" si="41"/>
        <v/>
      </c>
      <c r="BA26" s="203" t="str">
        <f t="shared" si="41"/>
        <v/>
      </c>
      <c r="BB26" s="203" t="str">
        <f t="shared" si="41"/>
        <v/>
      </c>
      <c r="BC26" s="204" t="str">
        <f t="shared" si="41"/>
        <v/>
      </c>
      <c r="BD26" s="205" t="str">
        <f t="shared" si="41"/>
        <v/>
      </c>
      <c r="BE26" s="203" t="str">
        <f t="shared" si="41"/>
        <v/>
      </c>
      <c r="BF26" s="203" t="str">
        <f t="shared" si="41"/>
        <v/>
      </c>
      <c r="BG26" s="204" t="str">
        <f t="shared" si="41"/>
        <v/>
      </c>
      <c r="BH26" s="205" t="str">
        <f t="shared" si="41"/>
        <v/>
      </c>
      <c r="BI26" s="203" t="str">
        <f t="shared" si="41"/>
        <v/>
      </c>
      <c r="BJ26" s="203" t="str">
        <f t="shared" si="41"/>
        <v/>
      </c>
      <c r="BK26" s="204" t="str">
        <f t="shared" si="41"/>
        <v/>
      </c>
      <c r="BL26" s="205" t="str">
        <f t="shared" si="41"/>
        <v/>
      </c>
      <c r="BM26" s="203" t="str">
        <f t="shared" si="41"/>
        <v/>
      </c>
      <c r="BN26" s="203" t="str">
        <f t="shared" si="41"/>
        <v/>
      </c>
      <c r="BO26" s="204" t="str">
        <f t="shared" si="41"/>
        <v/>
      </c>
      <c r="BP26" s="205" t="str">
        <f t="shared" ref="BP26:CE26" si="42">IF(AND(BO$3&gt;=$A26,BO$3&lt;$B26),1,IF(AND(BO$3&gt;=$C26,BO$3&lt;$D26),1,""))</f>
        <v/>
      </c>
      <c r="BQ26" s="203" t="str">
        <f t="shared" si="42"/>
        <v/>
      </c>
      <c r="BR26" s="203" t="str">
        <f t="shared" si="42"/>
        <v/>
      </c>
      <c r="BS26" s="204" t="str">
        <f t="shared" si="42"/>
        <v/>
      </c>
      <c r="BT26" s="205" t="str">
        <f t="shared" si="42"/>
        <v/>
      </c>
      <c r="BU26" s="203" t="str">
        <f t="shared" si="42"/>
        <v/>
      </c>
      <c r="BV26" s="203" t="str">
        <f t="shared" si="42"/>
        <v/>
      </c>
      <c r="BW26" s="204" t="str">
        <f t="shared" si="42"/>
        <v/>
      </c>
      <c r="BX26" s="205" t="str">
        <f t="shared" si="42"/>
        <v/>
      </c>
      <c r="BY26" s="203" t="str">
        <f t="shared" si="42"/>
        <v/>
      </c>
      <c r="BZ26" s="203" t="str">
        <f t="shared" si="42"/>
        <v/>
      </c>
      <c r="CA26" s="204" t="str">
        <f t="shared" si="42"/>
        <v/>
      </c>
      <c r="CB26" s="205" t="str">
        <f t="shared" si="42"/>
        <v/>
      </c>
      <c r="CC26" s="203" t="str">
        <f t="shared" si="42"/>
        <v/>
      </c>
      <c r="CD26" s="203" t="str">
        <f t="shared" si="42"/>
        <v/>
      </c>
      <c r="CE26" s="204" t="str">
        <f t="shared" si="42"/>
        <v/>
      </c>
    </row>
    <row r="27" spans="1:83" ht="18" customHeight="1">
      <c r="A27" s="22">
        <f>+TABELLA!E31</f>
        <v>7</v>
      </c>
      <c r="B27" s="22">
        <f>+TABELLA!F31</f>
        <v>11</v>
      </c>
      <c r="C27" s="22">
        <f>+TABELLA!G31</f>
        <v>13</v>
      </c>
      <c r="D27" s="22">
        <f>+TABELLA!H31</f>
        <v>15</v>
      </c>
      <c r="E27" s="22"/>
      <c r="F27" s="41" t="str">
        <f>IF(TABELLA!B31="","",TABELLA!B31)</f>
        <v/>
      </c>
      <c r="G27" s="42" t="str">
        <f>IF(TABELLA!C31="","",TABELLA!C31)</f>
        <v/>
      </c>
      <c r="H27" s="206" t="str">
        <f t="shared" si="2"/>
        <v/>
      </c>
      <c r="I27" s="206" t="str">
        <f t="shared" ref="I27:BO27" si="43">IF(AND(H$3&gt;=$A27,H$3&lt;$B27),1,IF(AND(H$3&gt;=$C27,H$3&lt;$D27),1,""))</f>
        <v/>
      </c>
      <c r="J27" s="206" t="str">
        <f t="shared" si="43"/>
        <v/>
      </c>
      <c r="K27" s="207" t="str">
        <f t="shared" si="43"/>
        <v/>
      </c>
      <c r="L27" s="208" t="str">
        <f t="shared" si="43"/>
        <v/>
      </c>
      <c r="M27" s="206" t="str">
        <f t="shared" si="43"/>
        <v/>
      </c>
      <c r="N27" s="206" t="str">
        <f t="shared" si="43"/>
        <v/>
      </c>
      <c r="O27" s="207" t="str">
        <f t="shared" si="43"/>
        <v/>
      </c>
      <c r="P27" s="208">
        <f t="shared" si="43"/>
        <v>1</v>
      </c>
      <c r="Q27" s="206">
        <f t="shared" si="43"/>
        <v>1</v>
      </c>
      <c r="R27" s="206">
        <f t="shared" si="43"/>
        <v>1</v>
      </c>
      <c r="S27" s="207">
        <f t="shared" si="43"/>
        <v>1</v>
      </c>
      <c r="T27" s="208">
        <f t="shared" si="43"/>
        <v>1</v>
      </c>
      <c r="U27" s="206">
        <f t="shared" si="43"/>
        <v>1</v>
      </c>
      <c r="V27" s="206">
        <f t="shared" si="43"/>
        <v>1</v>
      </c>
      <c r="W27" s="207">
        <f t="shared" si="43"/>
        <v>1</v>
      </c>
      <c r="X27" s="208">
        <f t="shared" si="43"/>
        <v>1</v>
      </c>
      <c r="Y27" s="206">
        <f t="shared" si="43"/>
        <v>1</v>
      </c>
      <c r="Z27" s="206">
        <f t="shared" si="43"/>
        <v>1</v>
      </c>
      <c r="AA27" s="207">
        <f t="shared" si="43"/>
        <v>1</v>
      </c>
      <c r="AB27" s="208">
        <f t="shared" si="43"/>
        <v>1</v>
      </c>
      <c r="AC27" s="206">
        <f t="shared" si="43"/>
        <v>1</v>
      </c>
      <c r="AD27" s="206">
        <f t="shared" si="43"/>
        <v>1</v>
      </c>
      <c r="AE27" s="207">
        <f t="shared" si="43"/>
        <v>1</v>
      </c>
      <c r="AF27" s="208" t="str">
        <f t="shared" si="43"/>
        <v/>
      </c>
      <c r="AG27" s="206" t="str">
        <f t="shared" si="43"/>
        <v/>
      </c>
      <c r="AH27" s="206" t="str">
        <f t="shared" si="43"/>
        <v/>
      </c>
      <c r="AI27" s="207" t="str">
        <f t="shared" si="43"/>
        <v/>
      </c>
      <c r="AJ27" s="208" t="str">
        <f t="shared" si="43"/>
        <v/>
      </c>
      <c r="AK27" s="206" t="str">
        <f t="shared" si="43"/>
        <v/>
      </c>
      <c r="AL27" s="206" t="str">
        <f t="shared" si="43"/>
        <v/>
      </c>
      <c r="AM27" s="207" t="str">
        <f t="shared" si="43"/>
        <v/>
      </c>
      <c r="AN27" s="208">
        <f t="shared" si="43"/>
        <v>1</v>
      </c>
      <c r="AO27" s="206">
        <f t="shared" si="43"/>
        <v>1</v>
      </c>
      <c r="AP27" s="206">
        <f t="shared" si="43"/>
        <v>1</v>
      </c>
      <c r="AQ27" s="207">
        <f t="shared" si="43"/>
        <v>1</v>
      </c>
      <c r="AR27" s="208">
        <f t="shared" si="43"/>
        <v>1</v>
      </c>
      <c r="AS27" s="206">
        <f t="shared" si="43"/>
        <v>1</v>
      </c>
      <c r="AT27" s="206">
        <f t="shared" si="43"/>
        <v>1</v>
      </c>
      <c r="AU27" s="207">
        <f t="shared" si="43"/>
        <v>1</v>
      </c>
      <c r="AV27" s="208" t="str">
        <f t="shared" si="43"/>
        <v/>
      </c>
      <c r="AW27" s="206" t="str">
        <f t="shared" si="43"/>
        <v/>
      </c>
      <c r="AX27" s="206" t="str">
        <f t="shared" si="43"/>
        <v/>
      </c>
      <c r="AY27" s="207" t="str">
        <f t="shared" si="43"/>
        <v/>
      </c>
      <c r="AZ27" s="208" t="str">
        <f t="shared" si="43"/>
        <v/>
      </c>
      <c r="BA27" s="206" t="str">
        <f t="shared" si="43"/>
        <v/>
      </c>
      <c r="BB27" s="206" t="str">
        <f t="shared" si="43"/>
        <v/>
      </c>
      <c r="BC27" s="207" t="str">
        <f t="shared" si="43"/>
        <v/>
      </c>
      <c r="BD27" s="208" t="str">
        <f t="shared" si="43"/>
        <v/>
      </c>
      <c r="BE27" s="206" t="str">
        <f t="shared" si="43"/>
        <v/>
      </c>
      <c r="BF27" s="206" t="str">
        <f t="shared" si="43"/>
        <v/>
      </c>
      <c r="BG27" s="207" t="str">
        <f t="shared" si="43"/>
        <v/>
      </c>
      <c r="BH27" s="208" t="str">
        <f t="shared" si="43"/>
        <v/>
      </c>
      <c r="BI27" s="206" t="str">
        <f t="shared" si="43"/>
        <v/>
      </c>
      <c r="BJ27" s="206" t="str">
        <f t="shared" si="43"/>
        <v/>
      </c>
      <c r="BK27" s="207" t="str">
        <f t="shared" si="43"/>
        <v/>
      </c>
      <c r="BL27" s="208" t="str">
        <f t="shared" si="43"/>
        <v/>
      </c>
      <c r="BM27" s="206" t="str">
        <f t="shared" si="43"/>
        <v/>
      </c>
      <c r="BN27" s="206" t="str">
        <f t="shared" si="43"/>
        <v/>
      </c>
      <c r="BO27" s="207" t="str">
        <f t="shared" si="43"/>
        <v/>
      </c>
      <c r="BP27" s="208" t="str">
        <f t="shared" ref="BP27:CE27" si="44">IF(AND(BO$3&gt;=$A27,BO$3&lt;$B27),1,IF(AND(BO$3&gt;=$C27,BO$3&lt;$D27),1,""))</f>
        <v/>
      </c>
      <c r="BQ27" s="206" t="str">
        <f t="shared" si="44"/>
        <v/>
      </c>
      <c r="BR27" s="206" t="str">
        <f t="shared" si="44"/>
        <v/>
      </c>
      <c r="BS27" s="207" t="str">
        <f t="shared" si="44"/>
        <v/>
      </c>
      <c r="BT27" s="208" t="str">
        <f t="shared" si="44"/>
        <v/>
      </c>
      <c r="BU27" s="206" t="str">
        <f t="shared" si="44"/>
        <v/>
      </c>
      <c r="BV27" s="206" t="str">
        <f t="shared" si="44"/>
        <v/>
      </c>
      <c r="BW27" s="207" t="str">
        <f t="shared" si="44"/>
        <v/>
      </c>
      <c r="BX27" s="208" t="str">
        <f t="shared" si="44"/>
        <v/>
      </c>
      <c r="BY27" s="206" t="str">
        <f t="shared" si="44"/>
        <v/>
      </c>
      <c r="BZ27" s="206" t="str">
        <f t="shared" si="44"/>
        <v/>
      </c>
      <c r="CA27" s="207" t="str">
        <f t="shared" si="44"/>
        <v/>
      </c>
      <c r="CB27" s="208" t="str">
        <f t="shared" si="44"/>
        <v/>
      </c>
      <c r="CC27" s="206" t="str">
        <f t="shared" si="44"/>
        <v/>
      </c>
      <c r="CD27" s="206" t="str">
        <f t="shared" si="44"/>
        <v/>
      </c>
      <c r="CE27" s="207" t="str">
        <f t="shared" si="44"/>
        <v/>
      </c>
    </row>
    <row r="28" spans="1:83" ht="18" customHeight="1">
      <c r="A28" s="22">
        <f>+TABELLA!E32</f>
        <v>0</v>
      </c>
      <c r="B28" s="22">
        <f>+TABELLA!F32</f>
        <v>0</v>
      </c>
      <c r="C28" s="22">
        <f>+TABELLA!G32</f>
        <v>0</v>
      </c>
      <c r="D28" s="22">
        <f>+TABELLA!H32</f>
        <v>0</v>
      </c>
      <c r="E28" s="22"/>
      <c r="F28" s="26">
        <f>IF(TABELLA!B32="","",TABELLA!B32)</f>
        <v>2</v>
      </c>
      <c r="G28" s="27" t="str">
        <f>IF(TABELLA!C32="","",TABELLA!C32)</f>
        <v/>
      </c>
      <c r="H28" s="203" t="str">
        <f t="shared" si="2"/>
        <v/>
      </c>
      <c r="I28" s="203" t="str">
        <f t="shared" ref="I28:BO28" si="45">IF(AND(H$3&gt;=$A28,H$3&lt;$B28),1,IF(AND(H$3&gt;=$C28,H$3&lt;$D28),1,""))</f>
        <v/>
      </c>
      <c r="J28" s="203" t="str">
        <f t="shared" si="45"/>
        <v/>
      </c>
      <c r="K28" s="204" t="str">
        <f t="shared" si="45"/>
        <v/>
      </c>
      <c r="L28" s="205" t="str">
        <f t="shared" si="45"/>
        <v/>
      </c>
      <c r="M28" s="203" t="str">
        <f t="shared" si="45"/>
        <v/>
      </c>
      <c r="N28" s="203" t="str">
        <f t="shared" si="45"/>
        <v/>
      </c>
      <c r="O28" s="204" t="str">
        <f t="shared" si="45"/>
        <v/>
      </c>
      <c r="P28" s="205" t="str">
        <f t="shared" si="45"/>
        <v/>
      </c>
      <c r="Q28" s="203" t="str">
        <f t="shared" si="45"/>
        <v/>
      </c>
      <c r="R28" s="203" t="str">
        <f t="shared" si="45"/>
        <v/>
      </c>
      <c r="S28" s="204" t="str">
        <f t="shared" si="45"/>
        <v/>
      </c>
      <c r="T28" s="205" t="str">
        <f t="shared" si="45"/>
        <v/>
      </c>
      <c r="U28" s="203" t="str">
        <f t="shared" si="45"/>
        <v/>
      </c>
      <c r="V28" s="203" t="str">
        <f t="shared" si="45"/>
        <v/>
      </c>
      <c r="W28" s="204" t="str">
        <f t="shared" si="45"/>
        <v/>
      </c>
      <c r="X28" s="205" t="str">
        <f t="shared" si="45"/>
        <v/>
      </c>
      <c r="Y28" s="203" t="str">
        <f t="shared" si="45"/>
        <v/>
      </c>
      <c r="Z28" s="203" t="str">
        <f t="shared" si="45"/>
        <v/>
      </c>
      <c r="AA28" s="204" t="str">
        <f t="shared" si="45"/>
        <v/>
      </c>
      <c r="AB28" s="205" t="str">
        <f t="shared" si="45"/>
        <v/>
      </c>
      <c r="AC28" s="203" t="str">
        <f t="shared" si="45"/>
        <v/>
      </c>
      <c r="AD28" s="203" t="str">
        <f t="shared" si="45"/>
        <v/>
      </c>
      <c r="AE28" s="204" t="str">
        <f t="shared" si="45"/>
        <v/>
      </c>
      <c r="AF28" s="205" t="str">
        <f t="shared" si="45"/>
        <v/>
      </c>
      <c r="AG28" s="203" t="str">
        <f t="shared" si="45"/>
        <v/>
      </c>
      <c r="AH28" s="203" t="str">
        <f t="shared" si="45"/>
        <v/>
      </c>
      <c r="AI28" s="204" t="str">
        <f t="shared" si="45"/>
        <v/>
      </c>
      <c r="AJ28" s="205" t="str">
        <f t="shared" si="45"/>
        <v/>
      </c>
      <c r="AK28" s="203" t="str">
        <f t="shared" si="45"/>
        <v/>
      </c>
      <c r="AL28" s="203" t="str">
        <f t="shared" si="45"/>
        <v/>
      </c>
      <c r="AM28" s="204" t="str">
        <f t="shared" si="45"/>
        <v/>
      </c>
      <c r="AN28" s="205" t="str">
        <f t="shared" si="45"/>
        <v/>
      </c>
      <c r="AO28" s="203" t="str">
        <f t="shared" si="45"/>
        <v/>
      </c>
      <c r="AP28" s="203" t="str">
        <f t="shared" si="45"/>
        <v/>
      </c>
      <c r="AQ28" s="204" t="str">
        <f t="shared" si="45"/>
        <v/>
      </c>
      <c r="AR28" s="205" t="str">
        <f t="shared" si="45"/>
        <v/>
      </c>
      <c r="AS28" s="203" t="str">
        <f t="shared" si="45"/>
        <v/>
      </c>
      <c r="AT28" s="203" t="str">
        <f t="shared" si="45"/>
        <v/>
      </c>
      <c r="AU28" s="204" t="str">
        <f t="shared" si="45"/>
        <v/>
      </c>
      <c r="AV28" s="205" t="str">
        <f t="shared" si="45"/>
        <v/>
      </c>
      <c r="AW28" s="203" t="str">
        <f t="shared" si="45"/>
        <v/>
      </c>
      <c r="AX28" s="203" t="str">
        <f t="shared" si="45"/>
        <v/>
      </c>
      <c r="AY28" s="204" t="str">
        <f t="shared" si="45"/>
        <v/>
      </c>
      <c r="AZ28" s="205" t="str">
        <f t="shared" si="45"/>
        <v/>
      </c>
      <c r="BA28" s="203" t="str">
        <f t="shared" si="45"/>
        <v/>
      </c>
      <c r="BB28" s="203" t="str">
        <f t="shared" si="45"/>
        <v/>
      </c>
      <c r="BC28" s="204" t="str">
        <f t="shared" si="45"/>
        <v/>
      </c>
      <c r="BD28" s="205" t="str">
        <f t="shared" si="45"/>
        <v/>
      </c>
      <c r="BE28" s="203" t="str">
        <f t="shared" si="45"/>
        <v/>
      </c>
      <c r="BF28" s="203" t="str">
        <f t="shared" si="45"/>
        <v/>
      </c>
      <c r="BG28" s="204" t="str">
        <f t="shared" si="45"/>
        <v/>
      </c>
      <c r="BH28" s="205" t="str">
        <f t="shared" si="45"/>
        <v/>
      </c>
      <c r="BI28" s="203" t="str">
        <f t="shared" si="45"/>
        <v/>
      </c>
      <c r="BJ28" s="203" t="str">
        <f t="shared" si="45"/>
        <v/>
      </c>
      <c r="BK28" s="204" t="str">
        <f t="shared" si="45"/>
        <v/>
      </c>
      <c r="BL28" s="205" t="str">
        <f t="shared" si="45"/>
        <v/>
      </c>
      <c r="BM28" s="203" t="str">
        <f t="shared" si="45"/>
        <v/>
      </c>
      <c r="BN28" s="203" t="str">
        <f t="shared" si="45"/>
        <v/>
      </c>
      <c r="BO28" s="204" t="str">
        <f t="shared" si="45"/>
        <v/>
      </c>
      <c r="BP28" s="205" t="str">
        <f t="shared" ref="BP28:CE28" si="46">IF(AND(BO$3&gt;=$A28,BO$3&lt;$B28),1,IF(AND(BO$3&gt;=$C28,BO$3&lt;$D28),1,""))</f>
        <v/>
      </c>
      <c r="BQ28" s="203" t="str">
        <f t="shared" si="46"/>
        <v/>
      </c>
      <c r="BR28" s="203" t="str">
        <f t="shared" si="46"/>
        <v/>
      </c>
      <c r="BS28" s="204" t="str">
        <f t="shared" si="46"/>
        <v/>
      </c>
      <c r="BT28" s="205" t="str">
        <f t="shared" si="46"/>
        <v/>
      </c>
      <c r="BU28" s="203" t="str">
        <f t="shared" si="46"/>
        <v/>
      </c>
      <c r="BV28" s="203" t="str">
        <f t="shared" si="46"/>
        <v/>
      </c>
      <c r="BW28" s="204" t="str">
        <f t="shared" si="46"/>
        <v/>
      </c>
      <c r="BX28" s="205" t="str">
        <f t="shared" si="46"/>
        <v/>
      </c>
      <c r="BY28" s="203" t="str">
        <f t="shared" si="46"/>
        <v/>
      </c>
      <c r="BZ28" s="203" t="str">
        <f t="shared" si="46"/>
        <v/>
      </c>
      <c r="CA28" s="204" t="str">
        <f t="shared" si="46"/>
        <v/>
      </c>
      <c r="CB28" s="205" t="str">
        <f t="shared" si="46"/>
        <v/>
      </c>
      <c r="CC28" s="203" t="str">
        <f t="shared" si="46"/>
        <v/>
      </c>
      <c r="CD28" s="203" t="str">
        <f t="shared" si="46"/>
        <v/>
      </c>
      <c r="CE28" s="204" t="str">
        <f t="shared" si="46"/>
        <v/>
      </c>
    </row>
    <row r="29" spans="1:83" ht="18" customHeight="1">
      <c r="A29" s="22">
        <f>+TABELLA!E33</f>
        <v>0</v>
      </c>
      <c r="B29" s="22">
        <f>+TABELLA!F33</f>
        <v>0</v>
      </c>
      <c r="C29" s="22">
        <f>+TABELLA!G33</f>
        <v>0</v>
      </c>
      <c r="D29" s="22">
        <f>+TABELLA!H33</f>
        <v>0</v>
      </c>
      <c r="E29" s="22"/>
      <c r="F29" s="41" t="str">
        <f>IF(TABELLA!B33="","",TABELLA!B33)</f>
        <v/>
      </c>
      <c r="G29" s="42" t="str">
        <f>IF(TABELLA!C33="","",TABELLA!C33)</f>
        <v/>
      </c>
      <c r="H29" s="206" t="str">
        <f t="shared" si="2"/>
        <v/>
      </c>
      <c r="I29" s="206" t="str">
        <f t="shared" ref="I29:BO29" si="47">IF(AND(H$3&gt;=$A29,H$3&lt;$B29),1,IF(AND(H$3&gt;=$C29,H$3&lt;$D29),1,""))</f>
        <v/>
      </c>
      <c r="J29" s="206" t="str">
        <f t="shared" si="47"/>
        <v/>
      </c>
      <c r="K29" s="207" t="str">
        <f t="shared" si="47"/>
        <v/>
      </c>
      <c r="L29" s="208" t="str">
        <f t="shared" si="47"/>
        <v/>
      </c>
      <c r="M29" s="206" t="str">
        <f t="shared" si="47"/>
        <v/>
      </c>
      <c r="N29" s="206" t="str">
        <f t="shared" si="47"/>
        <v/>
      </c>
      <c r="O29" s="207" t="str">
        <f t="shared" si="47"/>
        <v/>
      </c>
      <c r="P29" s="208" t="str">
        <f t="shared" si="47"/>
        <v/>
      </c>
      <c r="Q29" s="206" t="str">
        <f t="shared" si="47"/>
        <v/>
      </c>
      <c r="R29" s="206" t="str">
        <f t="shared" si="47"/>
        <v/>
      </c>
      <c r="S29" s="207" t="str">
        <f t="shared" si="47"/>
        <v/>
      </c>
      <c r="T29" s="208" t="str">
        <f t="shared" si="47"/>
        <v/>
      </c>
      <c r="U29" s="206" t="str">
        <f t="shared" si="47"/>
        <v/>
      </c>
      <c r="V29" s="206" t="str">
        <f t="shared" si="47"/>
        <v/>
      </c>
      <c r="W29" s="207" t="str">
        <f t="shared" si="47"/>
        <v/>
      </c>
      <c r="X29" s="208" t="str">
        <f t="shared" si="47"/>
        <v/>
      </c>
      <c r="Y29" s="206" t="str">
        <f t="shared" si="47"/>
        <v/>
      </c>
      <c r="Z29" s="206" t="str">
        <f t="shared" si="47"/>
        <v/>
      </c>
      <c r="AA29" s="207" t="str">
        <f t="shared" si="47"/>
        <v/>
      </c>
      <c r="AB29" s="208" t="str">
        <f t="shared" si="47"/>
        <v/>
      </c>
      <c r="AC29" s="206" t="str">
        <f t="shared" si="47"/>
        <v/>
      </c>
      <c r="AD29" s="206" t="str">
        <f t="shared" si="47"/>
        <v/>
      </c>
      <c r="AE29" s="207" t="str">
        <f t="shared" si="47"/>
        <v/>
      </c>
      <c r="AF29" s="208" t="str">
        <f t="shared" si="47"/>
        <v/>
      </c>
      <c r="AG29" s="206" t="str">
        <f t="shared" si="47"/>
        <v/>
      </c>
      <c r="AH29" s="206" t="str">
        <f t="shared" si="47"/>
        <v/>
      </c>
      <c r="AI29" s="207" t="str">
        <f t="shared" si="47"/>
        <v/>
      </c>
      <c r="AJ29" s="208" t="str">
        <f t="shared" si="47"/>
        <v/>
      </c>
      <c r="AK29" s="206" t="str">
        <f t="shared" si="47"/>
        <v/>
      </c>
      <c r="AL29" s="206" t="str">
        <f t="shared" si="47"/>
        <v/>
      </c>
      <c r="AM29" s="207" t="str">
        <f t="shared" si="47"/>
        <v/>
      </c>
      <c r="AN29" s="208" t="str">
        <f t="shared" si="47"/>
        <v/>
      </c>
      <c r="AO29" s="206" t="str">
        <f t="shared" si="47"/>
        <v/>
      </c>
      <c r="AP29" s="206" t="str">
        <f t="shared" si="47"/>
        <v/>
      </c>
      <c r="AQ29" s="207" t="str">
        <f t="shared" si="47"/>
        <v/>
      </c>
      <c r="AR29" s="208" t="str">
        <f t="shared" si="47"/>
        <v/>
      </c>
      <c r="AS29" s="206" t="str">
        <f t="shared" si="47"/>
        <v/>
      </c>
      <c r="AT29" s="206" t="str">
        <f t="shared" si="47"/>
        <v/>
      </c>
      <c r="AU29" s="207" t="str">
        <f t="shared" si="47"/>
        <v/>
      </c>
      <c r="AV29" s="208" t="str">
        <f t="shared" si="47"/>
        <v/>
      </c>
      <c r="AW29" s="206" t="str">
        <f t="shared" si="47"/>
        <v/>
      </c>
      <c r="AX29" s="206" t="str">
        <f t="shared" si="47"/>
        <v/>
      </c>
      <c r="AY29" s="207" t="str">
        <f t="shared" si="47"/>
        <v/>
      </c>
      <c r="AZ29" s="208" t="str">
        <f t="shared" si="47"/>
        <v/>
      </c>
      <c r="BA29" s="206" t="str">
        <f t="shared" si="47"/>
        <v/>
      </c>
      <c r="BB29" s="206" t="str">
        <f t="shared" si="47"/>
        <v/>
      </c>
      <c r="BC29" s="207" t="str">
        <f t="shared" si="47"/>
        <v/>
      </c>
      <c r="BD29" s="208" t="str">
        <f t="shared" si="47"/>
        <v/>
      </c>
      <c r="BE29" s="206" t="str">
        <f t="shared" si="47"/>
        <v/>
      </c>
      <c r="BF29" s="206" t="str">
        <f t="shared" si="47"/>
        <v/>
      </c>
      <c r="BG29" s="207" t="str">
        <f t="shared" si="47"/>
        <v/>
      </c>
      <c r="BH29" s="208" t="str">
        <f t="shared" si="47"/>
        <v/>
      </c>
      <c r="BI29" s="206" t="str">
        <f t="shared" si="47"/>
        <v/>
      </c>
      <c r="BJ29" s="206" t="str">
        <f t="shared" si="47"/>
        <v/>
      </c>
      <c r="BK29" s="207" t="str">
        <f t="shared" si="47"/>
        <v/>
      </c>
      <c r="BL29" s="208" t="str">
        <f t="shared" si="47"/>
        <v/>
      </c>
      <c r="BM29" s="206" t="str">
        <f t="shared" si="47"/>
        <v/>
      </c>
      <c r="BN29" s="206" t="str">
        <f t="shared" si="47"/>
        <v/>
      </c>
      <c r="BO29" s="207" t="str">
        <f t="shared" si="47"/>
        <v/>
      </c>
      <c r="BP29" s="208" t="str">
        <f t="shared" ref="BP29:CE29" si="48">IF(AND(BO$3&gt;=$A29,BO$3&lt;$B29),1,IF(AND(BO$3&gt;=$C29,BO$3&lt;$D29),1,""))</f>
        <v/>
      </c>
      <c r="BQ29" s="206" t="str">
        <f t="shared" si="48"/>
        <v/>
      </c>
      <c r="BR29" s="206" t="str">
        <f t="shared" si="48"/>
        <v/>
      </c>
      <c r="BS29" s="207" t="str">
        <f t="shared" si="48"/>
        <v/>
      </c>
      <c r="BT29" s="208" t="str">
        <f t="shared" si="48"/>
        <v/>
      </c>
      <c r="BU29" s="206" t="str">
        <f t="shared" si="48"/>
        <v/>
      </c>
      <c r="BV29" s="206" t="str">
        <f t="shared" si="48"/>
        <v/>
      </c>
      <c r="BW29" s="207" t="str">
        <f t="shared" si="48"/>
        <v/>
      </c>
      <c r="BX29" s="208" t="str">
        <f t="shared" si="48"/>
        <v/>
      </c>
      <c r="BY29" s="206" t="str">
        <f t="shared" si="48"/>
        <v/>
      </c>
      <c r="BZ29" s="206" t="str">
        <f t="shared" si="48"/>
        <v/>
      </c>
      <c r="CA29" s="207" t="str">
        <f t="shared" si="48"/>
        <v/>
      </c>
      <c r="CB29" s="208" t="str">
        <f t="shared" si="48"/>
        <v/>
      </c>
      <c r="CC29" s="206" t="str">
        <f t="shared" si="48"/>
        <v/>
      </c>
      <c r="CD29" s="206" t="str">
        <f t="shared" si="48"/>
        <v/>
      </c>
      <c r="CE29" s="207" t="str">
        <f t="shared" si="48"/>
        <v/>
      </c>
    </row>
    <row r="30" spans="1:83" ht="18" customHeight="1">
      <c r="A30" s="22">
        <f>+TABELLA!E34</f>
        <v>0</v>
      </c>
      <c r="B30" s="22">
        <f>+TABELLA!F34</f>
        <v>0</v>
      </c>
      <c r="C30" s="22">
        <f>+TABELLA!G34</f>
        <v>0</v>
      </c>
      <c r="D30" s="22">
        <f>+TABELLA!H34</f>
        <v>0</v>
      </c>
      <c r="E30" s="22"/>
      <c r="F30" s="26">
        <f>IF(TABELLA!B34="","",TABELLA!B34)</f>
        <v>8</v>
      </c>
      <c r="G30" s="27" t="str">
        <f>IF(TABELLA!C34="","",TABELLA!C34)</f>
        <v>VALENTINI TAMARA</v>
      </c>
      <c r="H30" s="203" t="str">
        <f t="shared" si="2"/>
        <v/>
      </c>
      <c r="I30" s="203" t="str">
        <f t="shared" ref="I30:BO30" si="49">IF(AND(H$3&gt;=$A30,H$3&lt;$B30),1,IF(AND(H$3&gt;=$C30,H$3&lt;$D30),1,""))</f>
        <v/>
      </c>
      <c r="J30" s="203" t="str">
        <f t="shared" si="49"/>
        <v/>
      </c>
      <c r="K30" s="204" t="str">
        <f t="shared" si="49"/>
        <v/>
      </c>
      <c r="L30" s="205" t="str">
        <f t="shared" si="49"/>
        <v/>
      </c>
      <c r="M30" s="203" t="str">
        <f t="shared" si="49"/>
        <v/>
      </c>
      <c r="N30" s="203" t="str">
        <f t="shared" si="49"/>
        <v/>
      </c>
      <c r="O30" s="204" t="str">
        <f t="shared" si="49"/>
        <v/>
      </c>
      <c r="P30" s="205" t="str">
        <f t="shared" si="49"/>
        <v/>
      </c>
      <c r="Q30" s="203" t="str">
        <f t="shared" si="49"/>
        <v/>
      </c>
      <c r="R30" s="203" t="str">
        <f t="shared" si="49"/>
        <v/>
      </c>
      <c r="S30" s="204" t="str">
        <f t="shared" si="49"/>
        <v/>
      </c>
      <c r="T30" s="205" t="str">
        <f t="shared" si="49"/>
        <v/>
      </c>
      <c r="U30" s="203" t="str">
        <f t="shared" si="49"/>
        <v/>
      </c>
      <c r="V30" s="203" t="str">
        <f t="shared" si="49"/>
        <v/>
      </c>
      <c r="W30" s="204" t="str">
        <f t="shared" si="49"/>
        <v/>
      </c>
      <c r="X30" s="205" t="str">
        <f t="shared" si="49"/>
        <v/>
      </c>
      <c r="Y30" s="203" t="str">
        <f t="shared" si="49"/>
        <v/>
      </c>
      <c r="Z30" s="203" t="str">
        <f t="shared" si="49"/>
        <v/>
      </c>
      <c r="AA30" s="204" t="str">
        <f t="shared" si="49"/>
        <v/>
      </c>
      <c r="AB30" s="205" t="str">
        <f t="shared" si="49"/>
        <v/>
      </c>
      <c r="AC30" s="203" t="str">
        <f t="shared" si="49"/>
        <v/>
      </c>
      <c r="AD30" s="203" t="str">
        <f t="shared" si="49"/>
        <v/>
      </c>
      <c r="AE30" s="204" t="str">
        <f t="shared" si="49"/>
        <v/>
      </c>
      <c r="AF30" s="205" t="str">
        <f t="shared" si="49"/>
        <v/>
      </c>
      <c r="AG30" s="203" t="str">
        <f t="shared" si="49"/>
        <v/>
      </c>
      <c r="AH30" s="203" t="str">
        <f t="shared" si="49"/>
        <v/>
      </c>
      <c r="AI30" s="204" t="str">
        <f t="shared" si="49"/>
        <v/>
      </c>
      <c r="AJ30" s="205" t="str">
        <f t="shared" si="49"/>
        <v/>
      </c>
      <c r="AK30" s="203" t="str">
        <f t="shared" si="49"/>
        <v/>
      </c>
      <c r="AL30" s="203" t="str">
        <f t="shared" si="49"/>
        <v/>
      </c>
      <c r="AM30" s="204" t="str">
        <f t="shared" si="49"/>
        <v/>
      </c>
      <c r="AN30" s="205" t="str">
        <f t="shared" si="49"/>
        <v/>
      </c>
      <c r="AO30" s="203" t="str">
        <f t="shared" si="49"/>
        <v/>
      </c>
      <c r="AP30" s="203" t="str">
        <f t="shared" si="49"/>
        <v/>
      </c>
      <c r="AQ30" s="204" t="str">
        <f t="shared" si="49"/>
        <v/>
      </c>
      <c r="AR30" s="205" t="str">
        <f t="shared" si="49"/>
        <v/>
      </c>
      <c r="AS30" s="203" t="str">
        <f t="shared" si="49"/>
        <v/>
      </c>
      <c r="AT30" s="203" t="str">
        <f t="shared" si="49"/>
        <v/>
      </c>
      <c r="AU30" s="204" t="str">
        <f t="shared" si="49"/>
        <v/>
      </c>
      <c r="AV30" s="205" t="str">
        <f t="shared" si="49"/>
        <v/>
      </c>
      <c r="AW30" s="203" t="str">
        <f t="shared" si="49"/>
        <v/>
      </c>
      <c r="AX30" s="203" t="str">
        <f t="shared" si="49"/>
        <v/>
      </c>
      <c r="AY30" s="204" t="str">
        <f t="shared" si="49"/>
        <v/>
      </c>
      <c r="AZ30" s="205" t="str">
        <f t="shared" si="49"/>
        <v/>
      </c>
      <c r="BA30" s="203" t="str">
        <f t="shared" si="49"/>
        <v/>
      </c>
      <c r="BB30" s="203" t="str">
        <f t="shared" si="49"/>
        <v/>
      </c>
      <c r="BC30" s="204" t="str">
        <f t="shared" si="49"/>
        <v/>
      </c>
      <c r="BD30" s="205" t="str">
        <f t="shared" si="49"/>
        <v/>
      </c>
      <c r="BE30" s="203" t="str">
        <f t="shared" si="49"/>
        <v/>
      </c>
      <c r="BF30" s="203" t="str">
        <f t="shared" si="49"/>
        <v/>
      </c>
      <c r="BG30" s="204" t="str">
        <f t="shared" si="49"/>
        <v/>
      </c>
      <c r="BH30" s="205" t="str">
        <f t="shared" si="49"/>
        <v/>
      </c>
      <c r="BI30" s="203" t="str">
        <f t="shared" si="49"/>
        <v/>
      </c>
      <c r="BJ30" s="203" t="str">
        <f t="shared" si="49"/>
        <v/>
      </c>
      <c r="BK30" s="204" t="str">
        <f t="shared" si="49"/>
        <v/>
      </c>
      <c r="BL30" s="205" t="str">
        <f t="shared" si="49"/>
        <v/>
      </c>
      <c r="BM30" s="203" t="str">
        <f t="shared" si="49"/>
        <v/>
      </c>
      <c r="BN30" s="203" t="str">
        <f t="shared" si="49"/>
        <v/>
      </c>
      <c r="BO30" s="204" t="str">
        <f t="shared" si="49"/>
        <v/>
      </c>
      <c r="BP30" s="205" t="str">
        <f t="shared" ref="BP30:CE30" si="50">IF(AND(BO$3&gt;=$A30,BO$3&lt;$B30),1,IF(AND(BO$3&gt;=$C30,BO$3&lt;$D30),1,""))</f>
        <v/>
      </c>
      <c r="BQ30" s="203" t="str">
        <f t="shared" si="50"/>
        <v/>
      </c>
      <c r="BR30" s="203" t="str">
        <f t="shared" si="50"/>
        <v/>
      </c>
      <c r="BS30" s="204" t="str">
        <f t="shared" si="50"/>
        <v/>
      </c>
      <c r="BT30" s="205" t="str">
        <f t="shared" si="50"/>
        <v/>
      </c>
      <c r="BU30" s="203" t="str">
        <f t="shared" si="50"/>
        <v/>
      </c>
      <c r="BV30" s="203" t="str">
        <f t="shared" si="50"/>
        <v/>
      </c>
      <c r="BW30" s="204" t="str">
        <f t="shared" si="50"/>
        <v/>
      </c>
      <c r="BX30" s="205" t="str">
        <f t="shared" si="50"/>
        <v/>
      </c>
      <c r="BY30" s="203" t="str">
        <f t="shared" si="50"/>
        <v/>
      </c>
      <c r="BZ30" s="203" t="str">
        <f t="shared" si="50"/>
        <v/>
      </c>
      <c r="CA30" s="204" t="str">
        <f t="shared" si="50"/>
        <v/>
      </c>
      <c r="CB30" s="205" t="str">
        <f t="shared" si="50"/>
        <v/>
      </c>
      <c r="CC30" s="203" t="str">
        <f t="shared" si="50"/>
        <v/>
      </c>
      <c r="CD30" s="203" t="str">
        <f t="shared" si="50"/>
        <v/>
      </c>
      <c r="CE30" s="204" t="str">
        <f t="shared" si="50"/>
        <v/>
      </c>
    </row>
    <row r="31" spans="1:83" ht="18" customHeight="1">
      <c r="A31" s="22">
        <f>+TABELLA!E35</f>
        <v>0</v>
      </c>
      <c r="B31" s="22">
        <f>+TABELLA!F35</f>
        <v>0</v>
      </c>
      <c r="C31" s="22">
        <f>+TABELLA!G35</f>
        <v>0</v>
      </c>
      <c r="D31" s="22">
        <f>+TABELLA!H35</f>
        <v>0</v>
      </c>
      <c r="E31" s="22"/>
      <c r="F31" s="41" t="str">
        <f>IF(TABELLA!B35="","",TABELLA!B35)</f>
        <v/>
      </c>
      <c r="G31" s="42" t="str">
        <f>IF(TABELLA!C35="","",TABELLA!C35)</f>
        <v/>
      </c>
      <c r="H31" s="206" t="str">
        <f t="shared" si="2"/>
        <v/>
      </c>
      <c r="I31" s="206" t="str">
        <f t="shared" ref="I31:BO31" si="51">IF(AND(H$3&gt;=$A31,H$3&lt;$B31),1,IF(AND(H$3&gt;=$C31,H$3&lt;$D31),1,""))</f>
        <v/>
      </c>
      <c r="J31" s="206" t="str">
        <f t="shared" si="51"/>
        <v/>
      </c>
      <c r="K31" s="207" t="str">
        <f t="shared" si="51"/>
        <v/>
      </c>
      <c r="L31" s="208" t="str">
        <f t="shared" si="51"/>
        <v/>
      </c>
      <c r="M31" s="206" t="str">
        <f t="shared" si="51"/>
        <v/>
      </c>
      <c r="N31" s="206" t="str">
        <f t="shared" si="51"/>
        <v/>
      </c>
      <c r="O31" s="207" t="str">
        <f t="shared" si="51"/>
        <v/>
      </c>
      <c r="P31" s="208" t="str">
        <f t="shared" si="51"/>
        <v/>
      </c>
      <c r="Q31" s="206" t="str">
        <f t="shared" si="51"/>
        <v/>
      </c>
      <c r="R31" s="206" t="str">
        <f t="shared" si="51"/>
        <v/>
      </c>
      <c r="S31" s="207" t="str">
        <f t="shared" si="51"/>
        <v/>
      </c>
      <c r="T31" s="208" t="str">
        <f t="shared" si="51"/>
        <v/>
      </c>
      <c r="U31" s="206" t="str">
        <f t="shared" si="51"/>
        <v/>
      </c>
      <c r="V31" s="206" t="str">
        <f t="shared" si="51"/>
        <v/>
      </c>
      <c r="W31" s="207" t="str">
        <f t="shared" si="51"/>
        <v/>
      </c>
      <c r="X31" s="208" t="str">
        <f t="shared" si="51"/>
        <v/>
      </c>
      <c r="Y31" s="206" t="str">
        <f t="shared" si="51"/>
        <v/>
      </c>
      <c r="Z31" s="206" t="str">
        <f t="shared" si="51"/>
        <v/>
      </c>
      <c r="AA31" s="207" t="str">
        <f t="shared" si="51"/>
        <v/>
      </c>
      <c r="AB31" s="208" t="str">
        <f t="shared" si="51"/>
        <v/>
      </c>
      <c r="AC31" s="206" t="str">
        <f t="shared" si="51"/>
        <v/>
      </c>
      <c r="AD31" s="206" t="str">
        <f t="shared" si="51"/>
        <v/>
      </c>
      <c r="AE31" s="207" t="str">
        <f t="shared" si="51"/>
        <v/>
      </c>
      <c r="AF31" s="208" t="str">
        <f t="shared" si="51"/>
        <v/>
      </c>
      <c r="AG31" s="206" t="str">
        <f t="shared" si="51"/>
        <v/>
      </c>
      <c r="AH31" s="206" t="str">
        <f t="shared" si="51"/>
        <v/>
      </c>
      <c r="AI31" s="207" t="str">
        <f t="shared" si="51"/>
        <v/>
      </c>
      <c r="AJ31" s="208" t="str">
        <f t="shared" si="51"/>
        <v/>
      </c>
      <c r="AK31" s="206" t="str">
        <f t="shared" si="51"/>
        <v/>
      </c>
      <c r="AL31" s="206" t="str">
        <f t="shared" si="51"/>
        <v/>
      </c>
      <c r="AM31" s="207" t="str">
        <f t="shared" si="51"/>
        <v/>
      </c>
      <c r="AN31" s="208" t="str">
        <f t="shared" si="51"/>
        <v/>
      </c>
      <c r="AO31" s="206" t="str">
        <f t="shared" si="51"/>
        <v/>
      </c>
      <c r="AP31" s="206" t="str">
        <f t="shared" si="51"/>
        <v/>
      </c>
      <c r="AQ31" s="207" t="str">
        <f t="shared" si="51"/>
        <v/>
      </c>
      <c r="AR31" s="208" t="str">
        <f t="shared" si="51"/>
        <v/>
      </c>
      <c r="AS31" s="206" t="str">
        <f t="shared" si="51"/>
        <v/>
      </c>
      <c r="AT31" s="206" t="str">
        <f t="shared" si="51"/>
        <v/>
      </c>
      <c r="AU31" s="207" t="str">
        <f t="shared" si="51"/>
        <v/>
      </c>
      <c r="AV31" s="208" t="str">
        <f t="shared" si="51"/>
        <v/>
      </c>
      <c r="AW31" s="206" t="str">
        <f t="shared" si="51"/>
        <v/>
      </c>
      <c r="AX31" s="206" t="str">
        <f t="shared" si="51"/>
        <v/>
      </c>
      <c r="AY31" s="207" t="str">
        <f t="shared" si="51"/>
        <v/>
      </c>
      <c r="AZ31" s="208" t="str">
        <f t="shared" si="51"/>
        <v/>
      </c>
      <c r="BA31" s="206" t="str">
        <f t="shared" si="51"/>
        <v/>
      </c>
      <c r="BB31" s="206" t="str">
        <f t="shared" si="51"/>
        <v/>
      </c>
      <c r="BC31" s="207" t="str">
        <f t="shared" si="51"/>
        <v/>
      </c>
      <c r="BD31" s="208" t="str">
        <f t="shared" si="51"/>
        <v/>
      </c>
      <c r="BE31" s="206" t="str">
        <f t="shared" si="51"/>
        <v/>
      </c>
      <c r="BF31" s="206" t="str">
        <f t="shared" si="51"/>
        <v/>
      </c>
      <c r="BG31" s="207" t="str">
        <f t="shared" si="51"/>
        <v/>
      </c>
      <c r="BH31" s="208" t="str">
        <f t="shared" si="51"/>
        <v/>
      </c>
      <c r="BI31" s="206" t="str">
        <f t="shared" si="51"/>
        <v/>
      </c>
      <c r="BJ31" s="206" t="str">
        <f t="shared" si="51"/>
        <v/>
      </c>
      <c r="BK31" s="207" t="str">
        <f t="shared" si="51"/>
        <v/>
      </c>
      <c r="BL31" s="208" t="str">
        <f t="shared" si="51"/>
        <v/>
      </c>
      <c r="BM31" s="206" t="str">
        <f t="shared" si="51"/>
        <v/>
      </c>
      <c r="BN31" s="206" t="str">
        <f t="shared" si="51"/>
        <v/>
      </c>
      <c r="BO31" s="207" t="str">
        <f t="shared" si="51"/>
        <v/>
      </c>
      <c r="BP31" s="208" t="str">
        <f t="shared" ref="BP31:CE31" si="52">IF(AND(BO$3&gt;=$A31,BO$3&lt;$B31),1,IF(AND(BO$3&gt;=$C31,BO$3&lt;$D31),1,""))</f>
        <v/>
      </c>
      <c r="BQ31" s="206" t="str">
        <f t="shared" si="52"/>
        <v/>
      </c>
      <c r="BR31" s="206" t="str">
        <f t="shared" si="52"/>
        <v/>
      </c>
      <c r="BS31" s="207" t="str">
        <f t="shared" si="52"/>
        <v/>
      </c>
      <c r="BT31" s="208" t="str">
        <f t="shared" si="52"/>
        <v/>
      </c>
      <c r="BU31" s="206" t="str">
        <f t="shared" si="52"/>
        <v/>
      </c>
      <c r="BV31" s="206" t="str">
        <f t="shared" si="52"/>
        <v/>
      </c>
      <c r="BW31" s="207" t="str">
        <f t="shared" si="52"/>
        <v/>
      </c>
      <c r="BX31" s="208" t="str">
        <f t="shared" si="52"/>
        <v/>
      </c>
      <c r="BY31" s="206" t="str">
        <f t="shared" si="52"/>
        <v/>
      </c>
      <c r="BZ31" s="206" t="str">
        <f t="shared" si="52"/>
        <v/>
      </c>
      <c r="CA31" s="207" t="str">
        <f t="shared" si="52"/>
        <v/>
      </c>
      <c r="CB31" s="208" t="str">
        <f t="shared" si="52"/>
        <v/>
      </c>
      <c r="CC31" s="206" t="str">
        <f t="shared" si="52"/>
        <v/>
      </c>
      <c r="CD31" s="206" t="str">
        <f t="shared" si="52"/>
        <v/>
      </c>
      <c r="CE31" s="207" t="str">
        <f t="shared" si="52"/>
        <v/>
      </c>
    </row>
    <row r="32" spans="1:83" ht="18" customHeight="1">
      <c r="A32" s="22">
        <f>+TABELLA!E36</f>
        <v>0</v>
      </c>
      <c r="B32" s="22">
        <f>+TABELLA!F36</f>
        <v>0</v>
      </c>
      <c r="C32" s="22">
        <f>+TABELLA!G36</f>
        <v>0</v>
      </c>
      <c r="D32" s="22">
        <f>+TABELLA!H36</f>
        <v>0</v>
      </c>
      <c r="E32" s="22"/>
      <c r="F32" s="26" t="str">
        <f>IF(TABELLA!B36="","",TABELLA!B36)</f>
        <v/>
      </c>
      <c r="G32" s="27" t="str">
        <f>IF(TABELLA!C36="","",TABELLA!C36)</f>
        <v/>
      </c>
      <c r="H32" s="203" t="str">
        <f t="shared" si="2"/>
        <v/>
      </c>
      <c r="I32" s="203" t="str">
        <f t="shared" ref="I32:BO32" si="53">IF(AND(H$3&gt;=$A32,H$3&lt;$B32),1,IF(AND(H$3&gt;=$C32,H$3&lt;$D32),1,""))</f>
        <v/>
      </c>
      <c r="J32" s="203" t="str">
        <f t="shared" si="53"/>
        <v/>
      </c>
      <c r="K32" s="204" t="str">
        <f t="shared" si="53"/>
        <v/>
      </c>
      <c r="L32" s="205" t="str">
        <f t="shared" si="53"/>
        <v/>
      </c>
      <c r="M32" s="203" t="str">
        <f t="shared" si="53"/>
        <v/>
      </c>
      <c r="N32" s="203" t="str">
        <f t="shared" si="53"/>
        <v/>
      </c>
      <c r="O32" s="204" t="str">
        <f t="shared" si="53"/>
        <v/>
      </c>
      <c r="P32" s="205" t="str">
        <f t="shared" si="53"/>
        <v/>
      </c>
      <c r="Q32" s="203" t="str">
        <f t="shared" si="53"/>
        <v/>
      </c>
      <c r="R32" s="203" t="str">
        <f t="shared" si="53"/>
        <v/>
      </c>
      <c r="S32" s="204" t="str">
        <f t="shared" si="53"/>
        <v/>
      </c>
      <c r="T32" s="205" t="str">
        <f t="shared" si="53"/>
        <v/>
      </c>
      <c r="U32" s="203" t="str">
        <f t="shared" si="53"/>
        <v/>
      </c>
      <c r="V32" s="203" t="str">
        <f t="shared" si="53"/>
        <v/>
      </c>
      <c r="W32" s="204" t="str">
        <f t="shared" si="53"/>
        <v/>
      </c>
      <c r="X32" s="205" t="str">
        <f t="shared" si="53"/>
        <v/>
      </c>
      <c r="Y32" s="203" t="str">
        <f t="shared" si="53"/>
        <v/>
      </c>
      <c r="Z32" s="203" t="str">
        <f t="shared" si="53"/>
        <v/>
      </c>
      <c r="AA32" s="204" t="str">
        <f t="shared" si="53"/>
        <v/>
      </c>
      <c r="AB32" s="205" t="str">
        <f t="shared" si="53"/>
        <v/>
      </c>
      <c r="AC32" s="203" t="str">
        <f t="shared" si="53"/>
        <v/>
      </c>
      <c r="AD32" s="203" t="str">
        <f t="shared" si="53"/>
        <v/>
      </c>
      <c r="AE32" s="204" t="str">
        <f t="shared" si="53"/>
        <v/>
      </c>
      <c r="AF32" s="205" t="str">
        <f t="shared" si="53"/>
        <v/>
      </c>
      <c r="AG32" s="203" t="str">
        <f t="shared" si="53"/>
        <v/>
      </c>
      <c r="AH32" s="203" t="str">
        <f t="shared" si="53"/>
        <v/>
      </c>
      <c r="AI32" s="204" t="str">
        <f t="shared" si="53"/>
        <v/>
      </c>
      <c r="AJ32" s="205" t="str">
        <f t="shared" si="53"/>
        <v/>
      </c>
      <c r="AK32" s="203" t="str">
        <f t="shared" si="53"/>
        <v/>
      </c>
      <c r="AL32" s="203" t="str">
        <f t="shared" si="53"/>
        <v/>
      </c>
      <c r="AM32" s="204" t="str">
        <f t="shared" si="53"/>
        <v/>
      </c>
      <c r="AN32" s="205" t="str">
        <f t="shared" si="53"/>
        <v/>
      </c>
      <c r="AO32" s="203" t="str">
        <f t="shared" si="53"/>
        <v/>
      </c>
      <c r="AP32" s="203" t="str">
        <f t="shared" si="53"/>
        <v/>
      </c>
      <c r="AQ32" s="204" t="str">
        <f t="shared" si="53"/>
        <v/>
      </c>
      <c r="AR32" s="205" t="str">
        <f t="shared" si="53"/>
        <v/>
      </c>
      <c r="AS32" s="203" t="str">
        <f t="shared" si="53"/>
        <v/>
      </c>
      <c r="AT32" s="203" t="str">
        <f t="shared" si="53"/>
        <v/>
      </c>
      <c r="AU32" s="204" t="str">
        <f t="shared" si="53"/>
        <v/>
      </c>
      <c r="AV32" s="205" t="str">
        <f t="shared" si="53"/>
        <v/>
      </c>
      <c r="AW32" s="203" t="str">
        <f t="shared" si="53"/>
        <v/>
      </c>
      <c r="AX32" s="203" t="str">
        <f t="shared" si="53"/>
        <v/>
      </c>
      <c r="AY32" s="204" t="str">
        <f t="shared" si="53"/>
        <v/>
      </c>
      <c r="AZ32" s="205" t="str">
        <f t="shared" si="53"/>
        <v/>
      </c>
      <c r="BA32" s="203" t="str">
        <f t="shared" si="53"/>
        <v/>
      </c>
      <c r="BB32" s="203" t="str">
        <f t="shared" si="53"/>
        <v/>
      </c>
      <c r="BC32" s="204" t="str">
        <f t="shared" si="53"/>
        <v/>
      </c>
      <c r="BD32" s="205" t="str">
        <f t="shared" si="53"/>
        <v/>
      </c>
      <c r="BE32" s="203" t="str">
        <f t="shared" si="53"/>
        <v/>
      </c>
      <c r="BF32" s="203" t="str">
        <f t="shared" si="53"/>
        <v/>
      </c>
      <c r="BG32" s="204" t="str">
        <f t="shared" si="53"/>
        <v/>
      </c>
      <c r="BH32" s="205" t="str">
        <f t="shared" si="53"/>
        <v/>
      </c>
      <c r="BI32" s="203" t="str">
        <f t="shared" si="53"/>
        <v/>
      </c>
      <c r="BJ32" s="203" t="str">
        <f t="shared" si="53"/>
        <v/>
      </c>
      <c r="BK32" s="204" t="str">
        <f t="shared" si="53"/>
        <v/>
      </c>
      <c r="BL32" s="205" t="str">
        <f t="shared" si="53"/>
        <v/>
      </c>
      <c r="BM32" s="203" t="str">
        <f t="shared" si="53"/>
        <v/>
      </c>
      <c r="BN32" s="203" t="str">
        <f t="shared" si="53"/>
        <v/>
      </c>
      <c r="BO32" s="204" t="str">
        <f t="shared" si="53"/>
        <v/>
      </c>
      <c r="BP32" s="205" t="str">
        <f t="shared" ref="BP32:CE32" si="54">IF(AND(BO$3&gt;=$A32,BO$3&lt;$B32),1,IF(AND(BO$3&gt;=$C32,BO$3&lt;$D32),1,""))</f>
        <v/>
      </c>
      <c r="BQ32" s="203" t="str">
        <f t="shared" si="54"/>
        <v/>
      </c>
      <c r="BR32" s="203" t="str">
        <f t="shared" si="54"/>
        <v/>
      </c>
      <c r="BS32" s="204" t="str">
        <f t="shared" si="54"/>
        <v/>
      </c>
      <c r="BT32" s="205" t="str">
        <f t="shared" si="54"/>
        <v/>
      </c>
      <c r="BU32" s="203" t="str">
        <f t="shared" si="54"/>
        <v/>
      </c>
      <c r="BV32" s="203" t="str">
        <f t="shared" si="54"/>
        <v/>
      </c>
      <c r="BW32" s="204" t="str">
        <f t="shared" si="54"/>
        <v/>
      </c>
      <c r="BX32" s="205" t="str">
        <f t="shared" si="54"/>
        <v/>
      </c>
      <c r="BY32" s="203" t="str">
        <f t="shared" si="54"/>
        <v/>
      </c>
      <c r="BZ32" s="203" t="str">
        <f t="shared" si="54"/>
        <v/>
      </c>
      <c r="CA32" s="204" t="str">
        <f t="shared" si="54"/>
        <v/>
      </c>
      <c r="CB32" s="205" t="str">
        <f t="shared" si="54"/>
        <v/>
      </c>
      <c r="CC32" s="203" t="str">
        <f t="shared" si="54"/>
        <v/>
      </c>
      <c r="CD32" s="203" t="str">
        <f t="shared" si="54"/>
        <v/>
      </c>
      <c r="CE32" s="204" t="str">
        <f t="shared" si="54"/>
        <v/>
      </c>
    </row>
    <row r="33" spans="1:87" ht="18" customHeight="1">
      <c r="A33" s="22">
        <f>+TABELLA!E37</f>
        <v>0</v>
      </c>
      <c r="B33" s="22">
        <f>+TABELLA!F37</f>
        <v>0</v>
      </c>
      <c r="C33" s="22">
        <f>+TABELLA!G37</f>
        <v>0</v>
      </c>
      <c r="D33" s="22">
        <f>+TABELLA!H37</f>
        <v>0</v>
      </c>
      <c r="E33" s="22"/>
      <c r="F33" s="41">
        <f>IF(TABELLA!B37="","",TABELLA!B37)</f>
        <v>4</v>
      </c>
      <c r="G33" s="42" t="str">
        <f>IF(TABELLA!C37="","",TABELLA!C37)</f>
        <v/>
      </c>
      <c r="H33" s="206" t="str">
        <f t="shared" si="2"/>
        <v/>
      </c>
      <c r="I33" s="206" t="str">
        <f t="shared" ref="I33:BO33" si="55">IF(AND(H$3&gt;=$A33,H$3&lt;$B33),1,IF(AND(H$3&gt;=$C33,H$3&lt;$D33),1,""))</f>
        <v/>
      </c>
      <c r="J33" s="206" t="str">
        <f t="shared" si="55"/>
        <v/>
      </c>
      <c r="K33" s="207" t="str">
        <f t="shared" si="55"/>
        <v/>
      </c>
      <c r="L33" s="208" t="str">
        <f t="shared" si="55"/>
        <v/>
      </c>
      <c r="M33" s="206" t="str">
        <f t="shared" si="55"/>
        <v/>
      </c>
      <c r="N33" s="206" t="str">
        <f t="shared" si="55"/>
        <v/>
      </c>
      <c r="O33" s="207" t="str">
        <f t="shared" si="55"/>
        <v/>
      </c>
      <c r="P33" s="208" t="str">
        <f t="shared" si="55"/>
        <v/>
      </c>
      <c r="Q33" s="206" t="str">
        <f t="shared" si="55"/>
        <v/>
      </c>
      <c r="R33" s="206" t="str">
        <f t="shared" si="55"/>
        <v/>
      </c>
      <c r="S33" s="207" t="str">
        <f t="shared" si="55"/>
        <v/>
      </c>
      <c r="T33" s="208" t="str">
        <f t="shared" si="55"/>
        <v/>
      </c>
      <c r="U33" s="206" t="str">
        <f t="shared" si="55"/>
        <v/>
      </c>
      <c r="V33" s="206" t="str">
        <f t="shared" si="55"/>
        <v/>
      </c>
      <c r="W33" s="207" t="str">
        <f t="shared" si="55"/>
        <v/>
      </c>
      <c r="X33" s="208" t="str">
        <f t="shared" si="55"/>
        <v/>
      </c>
      <c r="Y33" s="206" t="str">
        <f t="shared" si="55"/>
        <v/>
      </c>
      <c r="Z33" s="206" t="str">
        <f t="shared" si="55"/>
        <v/>
      </c>
      <c r="AA33" s="207" t="str">
        <f t="shared" si="55"/>
        <v/>
      </c>
      <c r="AB33" s="208" t="str">
        <f t="shared" si="55"/>
        <v/>
      </c>
      <c r="AC33" s="206" t="str">
        <f t="shared" si="55"/>
        <v/>
      </c>
      <c r="AD33" s="206" t="str">
        <f t="shared" si="55"/>
        <v/>
      </c>
      <c r="AE33" s="207" t="str">
        <f t="shared" si="55"/>
        <v/>
      </c>
      <c r="AF33" s="208" t="str">
        <f t="shared" si="55"/>
        <v/>
      </c>
      <c r="AG33" s="206" t="str">
        <f t="shared" si="55"/>
        <v/>
      </c>
      <c r="AH33" s="206" t="str">
        <f t="shared" si="55"/>
        <v/>
      </c>
      <c r="AI33" s="207" t="str">
        <f t="shared" si="55"/>
        <v/>
      </c>
      <c r="AJ33" s="208" t="str">
        <f t="shared" si="55"/>
        <v/>
      </c>
      <c r="AK33" s="206" t="str">
        <f t="shared" si="55"/>
        <v/>
      </c>
      <c r="AL33" s="206" t="str">
        <f t="shared" si="55"/>
        <v/>
      </c>
      <c r="AM33" s="207" t="str">
        <f t="shared" si="55"/>
        <v/>
      </c>
      <c r="AN33" s="208" t="str">
        <f t="shared" si="55"/>
        <v/>
      </c>
      <c r="AO33" s="206" t="str">
        <f t="shared" si="55"/>
        <v/>
      </c>
      <c r="AP33" s="206" t="str">
        <f t="shared" si="55"/>
        <v/>
      </c>
      <c r="AQ33" s="207" t="str">
        <f t="shared" si="55"/>
        <v/>
      </c>
      <c r="AR33" s="208" t="str">
        <f t="shared" si="55"/>
        <v/>
      </c>
      <c r="AS33" s="206" t="str">
        <f t="shared" si="55"/>
        <v/>
      </c>
      <c r="AT33" s="206" t="str">
        <f t="shared" si="55"/>
        <v/>
      </c>
      <c r="AU33" s="207" t="str">
        <f t="shared" si="55"/>
        <v/>
      </c>
      <c r="AV33" s="208" t="str">
        <f t="shared" si="55"/>
        <v/>
      </c>
      <c r="AW33" s="206" t="str">
        <f t="shared" si="55"/>
        <v/>
      </c>
      <c r="AX33" s="206" t="str">
        <f t="shared" si="55"/>
        <v/>
      </c>
      <c r="AY33" s="207" t="str">
        <f t="shared" si="55"/>
        <v/>
      </c>
      <c r="AZ33" s="208" t="str">
        <f t="shared" si="55"/>
        <v/>
      </c>
      <c r="BA33" s="206" t="str">
        <f t="shared" si="55"/>
        <v/>
      </c>
      <c r="BB33" s="206" t="str">
        <f t="shared" si="55"/>
        <v/>
      </c>
      <c r="BC33" s="207" t="str">
        <f t="shared" si="55"/>
        <v/>
      </c>
      <c r="BD33" s="208" t="str">
        <f t="shared" si="55"/>
        <v/>
      </c>
      <c r="BE33" s="206" t="str">
        <f t="shared" si="55"/>
        <v/>
      </c>
      <c r="BF33" s="206" t="str">
        <f t="shared" si="55"/>
        <v/>
      </c>
      <c r="BG33" s="207" t="str">
        <f t="shared" si="55"/>
        <v/>
      </c>
      <c r="BH33" s="208" t="str">
        <f t="shared" si="55"/>
        <v/>
      </c>
      <c r="BI33" s="206" t="str">
        <f t="shared" si="55"/>
        <v/>
      </c>
      <c r="BJ33" s="206" t="str">
        <f t="shared" si="55"/>
        <v/>
      </c>
      <c r="BK33" s="207" t="str">
        <f t="shared" si="55"/>
        <v/>
      </c>
      <c r="BL33" s="208" t="str">
        <f t="shared" si="55"/>
        <v/>
      </c>
      <c r="BM33" s="206" t="str">
        <f t="shared" si="55"/>
        <v/>
      </c>
      <c r="BN33" s="206" t="str">
        <f t="shared" si="55"/>
        <v/>
      </c>
      <c r="BO33" s="207" t="str">
        <f t="shared" si="55"/>
        <v/>
      </c>
      <c r="BP33" s="208" t="str">
        <f t="shared" ref="BP33:CE33" si="56">IF(AND(BO$3&gt;=$A33,BO$3&lt;$B33),1,IF(AND(BO$3&gt;=$C33,BO$3&lt;$D33),1,""))</f>
        <v/>
      </c>
      <c r="BQ33" s="206" t="str">
        <f t="shared" si="56"/>
        <v/>
      </c>
      <c r="BR33" s="206" t="str">
        <f t="shared" si="56"/>
        <v/>
      </c>
      <c r="BS33" s="207" t="str">
        <f t="shared" si="56"/>
        <v/>
      </c>
      <c r="BT33" s="208" t="str">
        <f t="shared" si="56"/>
        <v/>
      </c>
      <c r="BU33" s="206" t="str">
        <f t="shared" si="56"/>
        <v/>
      </c>
      <c r="BV33" s="206" t="str">
        <f t="shared" si="56"/>
        <v/>
      </c>
      <c r="BW33" s="207" t="str">
        <f t="shared" si="56"/>
        <v/>
      </c>
      <c r="BX33" s="208" t="str">
        <f t="shared" si="56"/>
        <v/>
      </c>
      <c r="BY33" s="206" t="str">
        <f t="shared" si="56"/>
        <v/>
      </c>
      <c r="BZ33" s="206" t="str">
        <f t="shared" si="56"/>
        <v/>
      </c>
      <c r="CA33" s="207" t="str">
        <f t="shared" si="56"/>
        <v/>
      </c>
      <c r="CB33" s="208" t="str">
        <f t="shared" si="56"/>
        <v/>
      </c>
      <c r="CC33" s="206" t="str">
        <f t="shared" si="56"/>
        <v/>
      </c>
      <c r="CD33" s="206" t="str">
        <f t="shared" si="56"/>
        <v/>
      </c>
      <c r="CE33" s="207" t="str">
        <f t="shared" si="56"/>
        <v/>
      </c>
    </row>
    <row r="34" spans="1:87" ht="18" customHeight="1">
      <c r="A34" s="22">
        <f>+TABELLA!E38</f>
        <v>0</v>
      </c>
      <c r="B34" s="22">
        <f>+TABELLA!F38</f>
        <v>0</v>
      </c>
      <c r="C34" s="22">
        <f>+TABELLA!G38</f>
        <v>0</v>
      </c>
      <c r="D34" s="22">
        <f>+TABELLA!H38</f>
        <v>0</v>
      </c>
      <c r="E34" s="22"/>
      <c r="F34" s="26">
        <f>IF(TABELLA!B38="","",TABELLA!B38)</f>
        <v>4</v>
      </c>
      <c r="G34" s="27" t="str">
        <f>IF(TABELLA!C38="","",TABELLA!C38)</f>
        <v>GREGGIO MONICA</v>
      </c>
      <c r="H34" s="203" t="str">
        <f t="shared" si="2"/>
        <v/>
      </c>
      <c r="I34" s="203" t="str">
        <f t="shared" ref="I34:BO34" si="57">IF(AND(H$3&gt;=$A34,H$3&lt;$B34),1,IF(AND(H$3&gt;=$C34,H$3&lt;$D34),1,""))</f>
        <v/>
      </c>
      <c r="J34" s="203" t="str">
        <f t="shared" si="57"/>
        <v/>
      </c>
      <c r="K34" s="204" t="str">
        <f t="shared" si="57"/>
        <v/>
      </c>
      <c r="L34" s="205" t="str">
        <f t="shared" si="57"/>
        <v/>
      </c>
      <c r="M34" s="203" t="str">
        <f t="shared" si="57"/>
        <v/>
      </c>
      <c r="N34" s="203" t="str">
        <f t="shared" si="57"/>
        <v/>
      </c>
      <c r="O34" s="204" t="str">
        <f t="shared" si="57"/>
        <v/>
      </c>
      <c r="P34" s="205" t="str">
        <f t="shared" si="57"/>
        <v/>
      </c>
      <c r="Q34" s="203" t="str">
        <f t="shared" si="57"/>
        <v/>
      </c>
      <c r="R34" s="203" t="str">
        <f t="shared" si="57"/>
        <v/>
      </c>
      <c r="S34" s="204" t="str">
        <f t="shared" si="57"/>
        <v/>
      </c>
      <c r="T34" s="205" t="str">
        <f t="shared" si="57"/>
        <v/>
      </c>
      <c r="U34" s="203" t="str">
        <f t="shared" si="57"/>
        <v/>
      </c>
      <c r="V34" s="203" t="str">
        <f t="shared" si="57"/>
        <v/>
      </c>
      <c r="W34" s="204" t="str">
        <f t="shared" si="57"/>
        <v/>
      </c>
      <c r="X34" s="205" t="str">
        <f t="shared" si="57"/>
        <v/>
      </c>
      <c r="Y34" s="203" t="str">
        <f t="shared" si="57"/>
        <v/>
      </c>
      <c r="Z34" s="203" t="str">
        <f t="shared" si="57"/>
        <v/>
      </c>
      <c r="AA34" s="204" t="str">
        <f t="shared" si="57"/>
        <v/>
      </c>
      <c r="AB34" s="205" t="str">
        <f t="shared" si="57"/>
        <v/>
      </c>
      <c r="AC34" s="203" t="str">
        <f t="shared" si="57"/>
        <v/>
      </c>
      <c r="AD34" s="203" t="str">
        <f t="shared" si="57"/>
        <v/>
      </c>
      <c r="AE34" s="204" t="str">
        <f t="shared" si="57"/>
        <v/>
      </c>
      <c r="AF34" s="205" t="str">
        <f t="shared" si="57"/>
        <v/>
      </c>
      <c r="AG34" s="203" t="str">
        <f t="shared" si="57"/>
        <v/>
      </c>
      <c r="AH34" s="203" t="str">
        <f t="shared" si="57"/>
        <v/>
      </c>
      <c r="AI34" s="204" t="str">
        <f t="shared" si="57"/>
        <v/>
      </c>
      <c r="AJ34" s="205" t="str">
        <f t="shared" si="57"/>
        <v/>
      </c>
      <c r="AK34" s="203" t="str">
        <f t="shared" si="57"/>
        <v/>
      </c>
      <c r="AL34" s="203" t="str">
        <f t="shared" si="57"/>
        <v/>
      </c>
      <c r="AM34" s="204" t="str">
        <f t="shared" si="57"/>
        <v/>
      </c>
      <c r="AN34" s="205" t="str">
        <f t="shared" si="57"/>
        <v/>
      </c>
      <c r="AO34" s="203" t="str">
        <f t="shared" si="57"/>
        <v/>
      </c>
      <c r="AP34" s="203" t="str">
        <f t="shared" si="57"/>
        <v/>
      </c>
      <c r="AQ34" s="204" t="str">
        <f t="shared" si="57"/>
        <v/>
      </c>
      <c r="AR34" s="205" t="str">
        <f t="shared" si="57"/>
        <v/>
      </c>
      <c r="AS34" s="203" t="str">
        <f t="shared" si="57"/>
        <v/>
      </c>
      <c r="AT34" s="203" t="str">
        <f t="shared" si="57"/>
        <v/>
      </c>
      <c r="AU34" s="204" t="str">
        <f t="shared" si="57"/>
        <v/>
      </c>
      <c r="AV34" s="205" t="str">
        <f t="shared" si="57"/>
        <v/>
      </c>
      <c r="AW34" s="203" t="str">
        <f t="shared" si="57"/>
        <v/>
      </c>
      <c r="AX34" s="203" t="str">
        <f t="shared" si="57"/>
        <v/>
      </c>
      <c r="AY34" s="204" t="str">
        <f t="shared" si="57"/>
        <v/>
      </c>
      <c r="AZ34" s="205" t="str">
        <f t="shared" si="57"/>
        <v/>
      </c>
      <c r="BA34" s="203" t="str">
        <f t="shared" si="57"/>
        <v/>
      </c>
      <c r="BB34" s="203" t="str">
        <f t="shared" si="57"/>
        <v/>
      </c>
      <c r="BC34" s="204" t="str">
        <f t="shared" si="57"/>
        <v/>
      </c>
      <c r="BD34" s="205" t="str">
        <f t="shared" si="57"/>
        <v/>
      </c>
      <c r="BE34" s="203" t="str">
        <f t="shared" si="57"/>
        <v/>
      </c>
      <c r="BF34" s="203" t="str">
        <f t="shared" si="57"/>
        <v/>
      </c>
      <c r="BG34" s="204" t="str">
        <f t="shared" si="57"/>
        <v/>
      </c>
      <c r="BH34" s="205" t="str">
        <f t="shared" si="57"/>
        <v/>
      </c>
      <c r="BI34" s="203" t="str">
        <f t="shared" si="57"/>
        <v/>
      </c>
      <c r="BJ34" s="203" t="str">
        <f t="shared" si="57"/>
        <v/>
      </c>
      <c r="BK34" s="204" t="str">
        <f t="shared" si="57"/>
        <v/>
      </c>
      <c r="BL34" s="205" t="str">
        <f t="shared" si="57"/>
        <v/>
      </c>
      <c r="BM34" s="203" t="str">
        <f t="shared" si="57"/>
        <v/>
      </c>
      <c r="BN34" s="203" t="str">
        <f t="shared" si="57"/>
        <v/>
      </c>
      <c r="BO34" s="204" t="str">
        <f t="shared" si="57"/>
        <v/>
      </c>
      <c r="BP34" s="205" t="str">
        <f t="shared" ref="BP34:CE34" si="58">IF(AND(BO$3&gt;=$A34,BO$3&lt;$B34),1,IF(AND(BO$3&gt;=$C34,BO$3&lt;$D34),1,""))</f>
        <v/>
      </c>
      <c r="BQ34" s="203" t="str">
        <f t="shared" si="58"/>
        <v/>
      </c>
      <c r="BR34" s="203" t="str">
        <f t="shared" si="58"/>
        <v/>
      </c>
      <c r="BS34" s="204" t="str">
        <f t="shared" si="58"/>
        <v/>
      </c>
      <c r="BT34" s="205" t="str">
        <f t="shared" si="58"/>
        <v/>
      </c>
      <c r="BU34" s="203" t="str">
        <f t="shared" si="58"/>
        <v/>
      </c>
      <c r="BV34" s="203" t="str">
        <f t="shared" si="58"/>
        <v/>
      </c>
      <c r="BW34" s="204" t="str">
        <f t="shared" si="58"/>
        <v/>
      </c>
      <c r="BX34" s="205" t="str">
        <f t="shared" si="58"/>
        <v/>
      </c>
      <c r="BY34" s="203" t="str">
        <f t="shared" si="58"/>
        <v/>
      </c>
      <c r="BZ34" s="203" t="str">
        <f t="shared" si="58"/>
        <v/>
      </c>
      <c r="CA34" s="204" t="str">
        <f t="shared" si="58"/>
        <v/>
      </c>
      <c r="CB34" s="205" t="str">
        <f t="shared" si="58"/>
        <v/>
      </c>
      <c r="CC34" s="203" t="str">
        <f t="shared" si="58"/>
        <v/>
      </c>
      <c r="CD34" s="203" t="str">
        <f t="shared" si="58"/>
        <v/>
      </c>
      <c r="CE34" s="204" t="str">
        <f t="shared" si="58"/>
        <v/>
      </c>
    </row>
    <row r="35" spans="1:87" ht="18" customHeight="1">
      <c r="A35" s="22">
        <f>+TABELLA!E39</f>
        <v>0</v>
      </c>
      <c r="B35" s="22">
        <f>+TABELLA!F39</f>
        <v>0</v>
      </c>
      <c r="C35" s="22">
        <f>+TABELLA!G39</f>
        <v>0</v>
      </c>
      <c r="D35" s="22">
        <f>+TABELLA!H39</f>
        <v>0</v>
      </c>
      <c r="E35" s="22"/>
      <c r="F35" s="41">
        <f>IF(TABELLA!B39="","",TABELLA!B39)</f>
        <v>4</v>
      </c>
      <c r="G35" s="42" t="str">
        <f>IF(TABELLA!C39="","",TABELLA!C39)</f>
        <v>RACCAGNI CRISTIANA</v>
      </c>
      <c r="H35" s="206" t="str">
        <f t="shared" si="2"/>
        <v/>
      </c>
      <c r="I35" s="206" t="str">
        <f t="shared" ref="I35:BO35" si="59">IF(AND(H$3&gt;=$A35,H$3&lt;$B35),1,IF(AND(H$3&gt;=$C35,H$3&lt;$D35),1,""))</f>
        <v/>
      </c>
      <c r="J35" s="206" t="str">
        <f t="shared" si="59"/>
        <v/>
      </c>
      <c r="K35" s="207" t="str">
        <f t="shared" si="59"/>
        <v/>
      </c>
      <c r="L35" s="208" t="str">
        <f t="shared" si="59"/>
        <v/>
      </c>
      <c r="M35" s="206" t="str">
        <f t="shared" si="59"/>
        <v/>
      </c>
      <c r="N35" s="206" t="str">
        <f t="shared" si="59"/>
        <v/>
      </c>
      <c r="O35" s="207" t="str">
        <f t="shared" si="59"/>
        <v/>
      </c>
      <c r="P35" s="208" t="str">
        <f t="shared" si="59"/>
        <v/>
      </c>
      <c r="Q35" s="206" t="str">
        <f t="shared" si="59"/>
        <v/>
      </c>
      <c r="R35" s="206" t="str">
        <f t="shared" si="59"/>
        <v/>
      </c>
      <c r="S35" s="207" t="str">
        <f t="shared" si="59"/>
        <v/>
      </c>
      <c r="T35" s="208" t="str">
        <f t="shared" si="59"/>
        <v/>
      </c>
      <c r="U35" s="206" t="str">
        <f t="shared" si="59"/>
        <v/>
      </c>
      <c r="V35" s="206" t="str">
        <f t="shared" si="59"/>
        <v/>
      </c>
      <c r="W35" s="207" t="str">
        <f t="shared" si="59"/>
        <v/>
      </c>
      <c r="X35" s="208" t="str">
        <f t="shared" si="59"/>
        <v/>
      </c>
      <c r="Y35" s="206" t="str">
        <f t="shared" si="59"/>
        <v/>
      </c>
      <c r="Z35" s="206" t="str">
        <f t="shared" si="59"/>
        <v/>
      </c>
      <c r="AA35" s="207" t="str">
        <f t="shared" si="59"/>
        <v/>
      </c>
      <c r="AB35" s="208" t="str">
        <f t="shared" si="59"/>
        <v/>
      </c>
      <c r="AC35" s="206" t="str">
        <f t="shared" si="59"/>
        <v/>
      </c>
      <c r="AD35" s="206" t="str">
        <f t="shared" si="59"/>
        <v/>
      </c>
      <c r="AE35" s="207" t="str">
        <f t="shared" si="59"/>
        <v/>
      </c>
      <c r="AF35" s="208" t="str">
        <f t="shared" si="59"/>
        <v/>
      </c>
      <c r="AG35" s="206" t="str">
        <f t="shared" si="59"/>
        <v/>
      </c>
      <c r="AH35" s="206" t="str">
        <f t="shared" si="59"/>
        <v/>
      </c>
      <c r="AI35" s="207" t="str">
        <f t="shared" si="59"/>
        <v/>
      </c>
      <c r="AJ35" s="208" t="str">
        <f t="shared" si="59"/>
        <v/>
      </c>
      <c r="AK35" s="206" t="str">
        <f t="shared" si="59"/>
        <v/>
      </c>
      <c r="AL35" s="206" t="str">
        <f t="shared" si="59"/>
        <v/>
      </c>
      <c r="AM35" s="207" t="str">
        <f t="shared" si="59"/>
        <v/>
      </c>
      <c r="AN35" s="208" t="str">
        <f t="shared" si="59"/>
        <v/>
      </c>
      <c r="AO35" s="206" t="str">
        <f t="shared" si="59"/>
        <v/>
      </c>
      <c r="AP35" s="206" t="str">
        <f t="shared" si="59"/>
        <v/>
      </c>
      <c r="AQ35" s="207" t="str">
        <f t="shared" si="59"/>
        <v/>
      </c>
      <c r="AR35" s="208" t="str">
        <f t="shared" si="59"/>
        <v/>
      </c>
      <c r="AS35" s="206" t="str">
        <f t="shared" si="59"/>
        <v/>
      </c>
      <c r="AT35" s="206" t="str">
        <f t="shared" si="59"/>
        <v/>
      </c>
      <c r="AU35" s="207" t="str">
        <f t="shared" si="59"/>
        <v/>
      </c>
      <c r="AV35" s="208" t="str">
        <f t="shared" si="59"/>
        <v/>
      </c>
      <c r="AW35" s="206" t="str">
        <f t="shared" si="59"/>
        <v/>
      </c>
      <c r="AX35" s="206" t="str">
        <f t="shared" si="59"/>
        <v/>
      </c>
      <c r="AY35" s="207" t="str">
        <f t="shared" si="59"/>
        <v/>
      </c>
      <c r="AZ35" s="208" t="str">
        <f t="shared" si="59"/>
        <v/>
      </c>
      <c r="BA35" s="206" t="str">
        <f t="shared" si="59"/>
        <v/>
      </c>
      <c r="BB35" s="206" t="str">
        <f t="shared" si="59"/>
        <v/>
      </c>
      <c r="BC35" s="207" t="str">
        <f t="shared" si="59"/>
        <v/>
      </c>
      <c r="BD35" s="208" t="str">
        <f t="shared" si="59"/>
        <v/>
      </c>
      <c r="BE35" s="206" t="str">
        <f t="shared" si="59"/>
        <v/>
      </c>
      <c r="BF35" s="206" t="str">
        <f t="shared" si="59"/>
        <v/>
      </c>
      <c r="BG35" s="207" t="str">
        <f t="shared" si="59"/>
        <v/>
      </c>
      <c r="BH35" s="208" t="str">
        <f t="shared" si="59"/>
        <v/>
      </c>
      <c r="BI35" s="206" t="str">
        <f t="shared" si="59"/>
        <v/>
      </c>
      <c r="BJ35" s="206" t="str">
        <f t="shared" si="59"/>
        <v/>
      </c>
      <c r="BK35" s="207" t="str">
        <f t="shared" si="59"/>
        <v/>
      </c>
      <c r="BL35" s="208" t="str">
        <f t="shared" si="59"/>
        <v/>
      </c>
      <c r="BM35" s="206" t="str">
        <f t="shared" si="59"/>
        <v/>
      </c>
      <c r="BN35" s="206" t="str">
        <f t="shared" si="59"/>
        <v/>
      </c>
      <c r="BO35" s="207" t="str">
        <f t="shared" si="59"/>
        <v/>
      </c>
      <c r="BP35" s="208" t="str">
        <f t="shared" ref="BP35:CE35" si="60">IF(AND(BO$3&gt;=$A35,BO$3&lt;$B35),1,IF(AND(BO$3&gt;=$C35,BO$3&lt;$D35),1,""))</f>
        <v/>
      </c>
      <c r="BQ35" s="206" t="str">
        <f t="shared" si="60"/>
        <v/>
      </c>
      <c r="BR35" s="206" t="str">
        <f t="shared" si="60"/>
        <v/>
      </c>
      <c r="BS35" s="207" t="str">
        <f t="shared" si="60"/>
        <v/>
      </c>
      <c r="BT35" s="208" t="str">
        <f t="shared" si="60"/>
        <v/>
      </c>
      <c r="BU35" s="206" t="str">
        <f t="shared" si="60"/>
        <v/>
      </c>
      <c r="BV35" s="206" t="str">
        <f t="shared" si="60"/>
        <v/>
      </c>
      <c r="BW35" s="207" t="str">
        <f t="shared" si="60"/>
        <v/>
      </c>
      <c r="BX35" s="208" t="str">
        <f t="shared" si="60"/>
        <v/>
      </c>
      <c r="BY35" s="206" t="str">
        <f t="shared" si="60"/>
        <v/>
      </c>
      <c r="BZ35" s="206" t="str">
        <f t="shared" si="60"/>
        <v/>
      </c>
      <c r="CA35" s="207" t="str">
        <f t="shared" si="60"/>
        <v/>
      </c>
      <c r="CB35" s="208" t="str">
        <f t="shared" si="60"/>
        <v/>
      </c>
      <c r="CC35" s="206" t="str">
        <f t="shared" si="60"/>
        <v/>
      </c>
      <c r="CD35" s="206" t="str">
        <f t="shared" si="60"/>
        <v/>
      </c>
      <c r="CE35" s="207" t="str">
        <f t="shared" si="60"/>
        <v/>
      </c>
    </row>
    <row r="36" spans="1:87" ht="18" customHeight="1">
      <c r="A36" s="22">
        <f>+TABELLA!E40</f>
        <v>0</v>
      </c>
      <c r="B36" s="22">
        <f>+TABELLA!F40</f>
        <v>0</v>
      </c>
      <c r="C36" s="22">
        <f>+TABELLA!G40</f>
        <v>0</v>
      </c>
      <c r="D36" s="22">
        <f>+TABELLA!H40</f>
        <v>0</v>
      </c>
      <c r="E36" s="22"/>
      <c r="F36" s="26">
        <f>IF(TABELLA!B40="","",TABELLA!B40)</f>
        <v>4</v>
      </c>
      <c r="G36" s="27" t="str">
        <f>IF(TABELLA!C40="","",TABELLA!C40)</f>
        <v>LO BELLO ENRICHETTA</v>
      </c>
      <c r="H36" s="203" t="str">
        <f t="shared" si="2"/>
        <v/>
      </c>
      <c r="I36" s="203" t="str">
        <f t="shared" ref="I36:BO36" si="61">IF(AND(H$3&gt;=$A36,H$3&lt;$B36),1,IF(AND(H$3&gt;=$C36,H$3&lt;$D36),1,""))</f>
        <v/>
      </c>
      <c r="J36" s="203" t="str">
        <f t="shared" si="61"/>
        <v/>
      </c>
      <c r="K36" s="204" t="str">
        <f t="shared" si="61"/>
        <v/>
      </c>
      <c r="L36" s="205" t="str">
        <f t="shared" si="61"/>
        <v/>
      </c>
      <c r="M36" s="203" t="str">
        <f t="shared" si="61"/>
        <v/>
      </c>
      <c r="N36" s="203" t="str">
        <f t="shared" si="61"/>
        <v/>
      </c>
      <c r="O36" s="204" t="str">
        <f t="shared" si="61"/>
        <v/>
      </c>
      <c r="P36" s="205" t="str">
        <f t="shared" si="61"/>
        <v/>
      </c>
      <c r="Q36" s="203" t="str">
        <f t="shared" si="61"/>
        <v/>
      </c>
      <c r="R36" s="203" t="str">
        <f t="shared" si="61"/>
        <v/>
      </c>
      <c r="S36" s="204" t="str">
        <f t="shared" si="61"/>
        <v/>
      </c>
      <c r="T36" s="205" t="str">
        <f t="shared" si="61"/>
        <v/>
      </c>
      <c r="U36" s="203" t="str">
        <f t="shared" si="61"/>
        <v/>
      </c>
      <c r="V36" s="203" t="str">
        <f t="shared" si="61"/>
        <v/>
      </c>
      <c r="W36" s="204" t="str">
        <f t="shared" si="61"/>
        <v/>
      </c>
      <c r="X36" s="205" t="str">
        <f t="shared" si="61"/>
        <v/>
      </c>
      <c r="Y36" s="203" t="str">
        <f t="shared" si="61"/>
        <v/>
      </c>
      <c r="Z36" s="203" t="str">
        <f t="shared" si="61"/>
        <v/>
      </c>
      <c r="AA36" s="204" t="str">
        <f t="shared" si="61"/>
        <v/>
      </c>
      <c r="AB36" s="205" t="str">
        <f t="shared" si="61"/>
        <v/>
      </c>
      <c r="AC36" s="203" t="str">
        <f t="shared" si="61"/>
        <v/>
      </c>
      <c r="AD36" s="203" t="str">
        <f t="shared" si="61"/>
        <v/>
      </c>
      <c r="AE36" s="204" t="str">
        <f t="shared" si="61"/>
        <v/>
      </c>
      <c r="AF36" s="205" t="str">
        <f t="shared" si="61"/>
        <v/>
      </c>
      <c r="AG36" s="203" t="str">
        <f t="shared" si="61"/>
        <v/>
      </c>
      <c r="AH36" s="203" t="str">
        <f t="shared" si="61"/>
        <v/>
      </c>
      <c r="AI36" s="204" t="str">
        <f t="shared" si="61"/>
        <v/>
      </c>
      <c r="AJ36" s="205" t="str">
        <f t="shared" si="61"/>
        <v/>
      </c>
      <c r="AK36" s="203" t="str">
        <f t="shared" si="61"/>
        <v/>
      </c>
      <c r="AL36" s="203" t="str">
        <f t="shared" si="61"/>
        <v/>
      </c>
      <c r="AM36" s="204" t="str">
        <f t="shared" si="61"/>
        <v/>
      </c>
      <c r="AN36" s="205" t="str">
        <f t="shared" si="61"/>
        <v/>
      </c>
      <c r="AO36" s="203" t="str">
        <f t="shared" si="61"/>
        <v/>
      </c>
      <c r="AP36" s="203" t="str">
        <f t="shared" si="61"/>
        <v/>
      </c>
      <c r="AQ36" s="204" t="str">
        <f t="shared" si="61"/>
        <v/>
      </c>
      <c r="AR36" s="205" t="str">
        <f t="shared" si="61"/>
        <v/>
      </c>
      <c r="AS36" s="203" t="str">
        <f t="shared" si="61"/>
        <v/>
      </c>
      <c r="AT36" s="203" t="str">
        <f t="shared" si="61"/>
        <v/>
      </c>
      <c r="AU36" s="204" t="str">
        <f t="shared" si="61"/>
        <v/>
      </c>
      <c r="AV36" s="205" t="str">
        <f t="shared" si="61"/>
        <v/>
      </c>
      <c r="AW36" s="203" t="str">
        <f t="shared" si="61"/>
        <v/>
      </c>
      <c r="AX36" s="203" t="str">
        <f t="shared" si="61"/>
        <v/>
      </c>
      <c r="AY36" s="204" t="str">
        <f t="shared" si="61"/>
        <v/>
      </c>
      <c r="AZ36" s="205" t="str">
        <f t="shared" si="61"/>
        <v/>
      </c>
      <c r="BA36" s="203" t="str">
        <f t="shared" si="61"/>
        <v/>
      </c>
      <c r="BB36" s="203" t="str">
        <f t="shared" si="61"/>
        <v/>
      </c>
      <c r="BC36" s="204" t="str">
        <f t="shared" si="61"/>
        <v/>
      </c>
      <c r="BD36" s="205" t="str">
        <f t="shared" si="61"/>
        <v/>
      </c>
      <c r="BE36" s="203" t="str">
        <f t="shared" si="61"/>
        <v/>
      </c>
      <c r="BF36" s="203" t="str">
        <f t="shared" si="61"/>
        <v/>
      </c>
      <c r="BG36" s="204" t="str">
        <f t="shared" si="61"/>
        <v/>
      </c>
      <c r="BH36" s="205" t="str">
        <f t="shared" si="61"/>
        <v/>
      </c>
      <c r="BI36" s="203" t="str">
        <f t="shared" si="61"/>
        <v/>
      </c>
      <c r="BJ36" s="203" t="str">
        <f t="shared" si="61"/>
        <v/>
      </c>
      <c r="BK36" s="204" t="str">
        <f t="shared" si="61"/>
        <v/>
      </c>
      <c r="BL36" s="205" t="str">
        <f t="shared" si="61"/>
        <v/>
      </c>
      <c r="BM36" s="203" t="str">
        <f t="shared" si="61"/>
        <v/>
      </c>
      <c r="BN36" s="203" t="str">
        <f t="shared" si="61"/>
        <v/>
      </c>
      <c r="BO36" s="204" t="str">
        <f t="shared" si="61"/>
        <v/>
      </c>
      <c r="BP36" s="205" t="str">
        <f t="shared" ref="BP36:CE36" si="62">IF(AND(BO$3&gt;=$A36,BO$3&lt;$B36),1,IF(AND(BO$3&gt;=$C36,BO$3&lt;$D36),1,""))</f>
        <v/>
      </c>
      <c r="BQ36" s="203" t="str">
        <f t="shared" si="62"/>
        <v/>
      </c>
      <c r="BR36" s="203" t="str">
        <f t="shared" si="62"/>
        <v/>
      </c>
      <c r="BS36" s="204" t="str">
        <f t="shared" si="62"/>
        <v/>
      </c>
      <c r="BT36" s="205" t="str">
        <f t="shared" si="62"/>
        <v/>
      </c>
      <c r="BU36" s="203" t="str">
        <f t="shared" si="62"/>
        <v/>
      </c>
      <c r="BV36" s="203" t="str">
        <f t="shared" si="62"/>
        <v/>
      </c>
      <c r="BW36" s="204" t="str">
        <f t="shared" si="62"/>
        <v/>
      </c>
      <c r="BX36" s="205" t="str">
        <f t="shared" si="62"/>
        <v/>
      </c>
      <c r="BY36" s="203" t="str">
        <f t="shared" si="62"/>
        <v/>
      </c>
      <c r="BZ36" s="203" t="str">
        <f t="shared" si="62"/>
        <v/>
      </c>
      <c r="CA36" s="204" t="str">
        <f t="shared" si="62"/>
        <v/>
      </c>
      <c r="CB36" s="205" t="str">
        <f t="shared" si="62"/>
        <v/>
      </c>
      <c r="CC36" s="203" t="str">
        <f t="shared" si="62"/>
        <v/>
      </c>
      <c r="CD36" s="203" t="str">
        <f t="shared" si="62"/>
        <v/>
      </c>
      <c r="CE36" s="204" t="str">
        <f t="shared" si="62"/>
        <v/>
      </c>
    </row>
    <row r="37" spans="1:87" ht="18" customHeight="1">
      <c r="A37" s="22">
        <f>+TABELLA!E41</f>
        <v>0</v>
      </c>
      <c r="B37" s="22">
        <f>+TABELLA!F41</f>
        <v>0</v>
      </c>
      <c r="C37" s="22">
        <f>+TABELLA!G41</f>
        <v>0</v>
      </c>
      <c r="D37" s="22">
        <f>+TABELLA!H41</f>
        <v>0</v>
      </c>
      <c r="E37" s="22"/>
      <c r="F37" s="41">
        <f>IF(TABELLA!B41="","",TABELLA!B41)</f>
        <v>4</v>
      </c>
      <c r="G37" s="42" t="str">
        <f>IF(TABELLA!C41="","",TABELLA!C41)</f>
        <v/>
      </c>
      <c r="H37" s="206" t="str">
        <f t="shared" si="2"/>
        <v/>
      </c>
      <c r="I37" s="206" t="str">
        <f t="shared" ref="I37:BO37" si="63">IF(AND(H$3&gt;=$A37,H$3&lt;$B37),1,IF(AND(H$3&gt;=$C37,H$3&lt;$D37),1,""))</f>
        <v/>
      </c>
      <c r="J37" s="206" t="str">
        <f t="shared" si="63"/>
        <v/>
      </c>
      <c r="K37" s="207" t="str">
        <f t="shared" si="63"/>
        <v/>
      </c>
      <c r="L37" s="208" t="str">
        <f t="shared" si="63"/>
        <v/>
      </c>
      <c r="M37" s="206" t="str">
        <f t="shared" si="63"/>
        <v/>
      </c>
      <c r="N37" s="206" t="str">
        <f t="shared" si="63"/>
        <v/>
      </c>
      <c r="O37" s="207" t="str">
        <f t="shared" si="63"/>
        <v/>
      </c>
      <c r="P37" s="208" t="str">
        <f t="shared" si="63"/>
        <v/>
      </c>
      <c r="Q37" s="206" t="str">
        <f t="shared" si="63"/>
        <v/>
      </c>
      <c r="R37" s="206" t="str">
        <f t="shared" si="63"/>
        <v/>
      </c>
      <c r="S37" s="207" t="str">
        <f t="shared" si="63"/>
        <v/>
      </c>
      <c r="T37" s="208" t="str">
        <f t="shared" si="63"/>
        <v/>
      </c>
      <c r="U37" s="206" t="str">
        <f t="shared" si="63"/>
        <v/>
      </c>
      <c r="V37" s="206" t="str">
        <f t="shared" si="63"/>
        <v/>
      </c>
      <c r="W37" s="207" t="str">
        <f t="shared" si="63"/>
        <v/>
      </c>
      <c r="X37" s="208" t="str">
        <f t="shared" si="63"/>
        <v/>
      </c>
      <c r="Y37" s="206" t="str">
        <f t="shared" si="63"/>
        <v/>
      </c>
      <c r="Z37" s="206" t="str">
        <f t="shared" si="63"/>
        <v/>
      </c>
      <c r="AA37" s="207" t="str">
        <f t="shared" si="63"/>
        <v/>
      </c>
      <c r="AB37" s="208" t="str">
        <f t="shared" si="63"/>
        <v/>
      </c>
      <c r="AC37" s="206" t="str">
        <f t="shared" si="63"/>
        <v/>
      </c>
      <c r="AD37" s="206" t="str">
        <f t="shared" si="63"/>
        <v/>
      </c>
      <c r="AE37" s="207" t="str">
        <f t="shared" si="63"/>
        <v/>
      </c>
      <c r="AF37" s="208" t="str">
        <f t="shared" si="63"/>
        <v/>
      </c>
      <c r="AG37" s="206" t="str">
        <f t="shared" si="63"/>
        <v/>
      </c>
      <c r="AH37" s="206" t="str">
        <f t="shared" si="63"/>
        <v/>
      </c>
      <c r="AI37" s="207" t="str">
        <f t="shared" si="63"/>
        <v/>
      </c>
      <c r="AJ37" s="208" t="str">
        <f t="shared" si="63"/>
        <v/>
      </c>
      <c r="AK37" s="206" t="str">
        <f t="shared" si="63"/>
        <v/>
      </c>
      <c r="AL37" s="206" t="str">
        <f t="shared" si="63"/>
        <v/>
      </c>
      <c r="AM37" s="207" t="str">
        <f t="shared" si="63"/>
        <v/>
      </c>
      <c r="AN37" s="208" t="str">
        <f t="shared" si="63"/>
        <v/>
      </c>
      <c r="AO37" s="206" t="str">
        <f t="shared" si="63"/>
        <v/>
      </c>
      <c r="AP37" s="206" t="str">
        <f t="shared" si="63"/>
        <v/>
      </c>
      <c r="AQ37" s="207" t="str">
        <f t="shared" si="63"/>
        <v/>
      </c>
      <c r="AR37" s="208" t="str">
        <f t="shared" si="63"/>
        <v/>
      </c>
      <c r="AS37" s="206" t="str">
        <f t="shared" si="63"/>
        <v/>
      </c>
      <c r="AT37" s="206" t="str">
        <f t="shared" si="63"/>
        <v/>
      </c>
      <c r="AU37" s="207" t="str">
        <f t="shared" si="63"/>
        <v/>
      </c>
      <c r="AV37" s="208" t="str">
        <f t="shared" si="63"/>
        <v/>
      </c>
      <c r="AW37" s="206" t="str">
        <f t="shared" si="63"/>
        <v/>
      </c>
      <c r="AX37" s="206" t="str">
        <f t="shared" si="63"/>
        <v/>
      </c>
      <c r="AY37" s="207" t="str">
        <f t="shared" si="63"/>
        <v/>
      </c>
      <c r="AZ37" s="208" t="str">
        <f t="shared" si="63"/>
        <v/>
      </c>
      <c r="BA37" s="206" t="str">
        <f t="shared" si="63"/>
        <v/>
      </c>
      <c r="BB37" s="206" t="str">
        <f t="shared" si="63"/>
        <v/>
      </c>
      <c r="BC37" s="207" t="str">
        <f t="shared" si="63"/>
        <v/>
      </c>
      <c r="BD37" s="208" t="str">
        <f t="shared" si="63"/>
        <v/>
      </c>
      <c r="BE37" s="206" t="str">
        <f t="shared" si="63"/>
        <v/>
      </c>
      <c r="BF37" s="206" t="str">
        <f t="shared" si="63"/>
        <v/>
      </c>
      <c r="BG37" s="207" t="str">
        <f t="shared" si="63"/>
        <v/>
      </c>
      <c r="BH37" s="208" t="str">
        <f t="shared" si="63"/>
        <v/>
      </c>
      <c r="BI37" s="206" t="str">
        <f t="shared" si="63"/>
        <v/>
      </c>
      <c r="BJ37" s="206" t="str">
        <f t="shared" si="63"/>
        <v/>
      </c>
      <c r="BK37" s="207" t="str">
        <f t="shared" si="63"/>
        <v/>
      </c>
      <c r="BL37" s="208" t="str">
        <f t="shared" si="63"/>
        <v/>
      </c>
      <c r="BM37" s="206" t="str">
        <f t="shared" si="63"/>
        <v/>
      </c>
      <c r="BN37" s="206" t="str">
        <f t="shared" si="63"/>
        <v/>
      </c>
      <c r="BO37" s="207" t="str">
        <f t="shared" si="63"/>
        <v/>
      </c>
      <c r="BP37" s="208" t="str">
        <f t="shared" ref="BP37:CE37" si="64">IF(AND(BO$3&gt;=$A37,BO$3&lt;$B37),1,IF(AND(BO$3&gt;=$C37,BO$3&lt;$D37),1,""))</f>
        <v/>
      </c>
      <c r="BQ37" s="206" t="str">
        <f t="shared" si="64"/>
        <v/>
      </c>
      <c r="BR37" s="206" t="str">
        <f t="shared" si="64"/>
        <v/>
      </c>
      <c r="BS37" s="207" t="str">
        <f t="shared" si="64"/>
        <v/>
      </c>
      <c r="BT37" s="208" t="str">
        <f t="shared" si="64"/>
        <v/>
      </c>
      <c r="BU37" s="206" t="str">
        <f t="shared" si="64"/>
        <v/>
      </c>
      <c r="BV37" s="206" t="str">
        <f t="shared" si="64"/>
        <v/>
      </c>
      <c r="BW37" s="207" t="str">
        <f t="shared" si="64"/>
        <v/>
      </c>
      <c r="BX37" s="208" t="str">
        <f t="shared" si="64"/>
        <v/>
      </c>
      <c r="BY37" s="206" t="str">
        <f t="shared" si="64"/>
        <v/>
      </c>
      <c r="BZ37" s="206" t="str">
        <f t="shared" si="64"/>
        <v/>
      </c>
      <c r="CA37" s="207" t="str">
        <f t="shared" si="64"/>
        <v/>
      </c>
      <c r="CB37" s="208" t="str">
        <f t="shared" si="64"/>
        <v/>
      </c>
      <c r="CC37" s="206" t="str">
        <f t="shared" si="64"/>
        <v/>
      </c>
      <c r="CD37" s="206" t="str">
        <f t="shared" si="64"/>
        <v/>
      </c>
      <c r="CE37" s="207" t="str">
        <f t="shared" si="64"/>
        <v/>
      </c>
    </row>
    <row r="38" spans="1:87" ht="18" customHeight="1">
      <c r="A38" s="22">
        <f>+TABELLA!E42</f>
        <v>0</v>
      </c>
      <c r="B38" s="22">
        <f>+TABELLA!F42</f>
        <v>0</v>
      </c>
      <c r="C38" s="22">
        <f>+TABELLA!G42</f>
        <v>0</v>
      </c>
      <c r="D38" s="22">
        <f>+TABELLA!H42</f>
        <v>0</v>
      </c>
      <c r="E38" s="22"/>
      <c r="F38" s="26">
        <f>IF(TABELLA!B42="","",TABELLA!B42)</f>
        <v>4</v>
      </c>
      <c r="G38" s="27" t="str">
        <f>IF(TABELLA!C42="","",TABELLA!C42)</f>
        <v>BOLZONELLO MARCO</v>
      </c>
      <c r="H38" s="203" t="str">
        <f t="shared" si="2"/>
        <v/>
      </c>
      <c r="I38" s="203" t="str">
        <f t="shared" ref="I38:BO38" si="65">IF(AND(H$3&gt;=$A38,H$3&lt;$B38),1,IF(AND(H$3&gt;=$C38,H$3&lt;$D38),1,""))</f>
        <v/>
      </c>
      <c r="J38" s="203" t="str">
        <f t="shared" si="65"/>
        <v/>
      </c>
      <c r="K38" s="204" t="str">
        <f t="shared" si="65"/>
        <v/>
      </c>
      <c r="L38" s="205" t="str">
        <f t="shared" si="65"/>
        <v/>
      </c>
      <c r="M38" s="203" t="str">
        <f t="shared" si="65"/>
        <v/>
      </c>
      <c r="N38" s="203" t="str">
        <f t="shared" si="65"/>
        <v/>
      </c>
      <c r="O38" s="204" t="str">
        <f t="shared" si="65"/>
        <v/>
      </c>
      <c r="P38" s="205" t="str">
        <f t="shared" si="65"/>
        <v/>
      </c>
      <c r="Q38" s="203" t="str">
        <f t="shared" si="65"/>
        <v/>
      </c>
      <c r="R38" s="203" t="str">
        <f t="shared" si="65"/>
        <v/>
      </c>
      <c r="S38" s="204" t="str">
        <f t="shared" si="65"/>
        <v/>
      </c>
      <c r="T38" s="205" t="str">
        <f t="shared" si="65"/>
        <v/>
      </c>
      <c r="U38" s="203" t="str">
        <f t="shared" si="65"/>
        <v/>
      </c>
      <c r="V38" s="203" t="str">
        <f t="shared" si="65"/>
        <v/>
      </c>
      <c r="W38" s="204" t="str">
        <f t="shared" si="65"/>
        <v/>
      </c>
      <c r="X38" s="205" t="str">
        <f t="shared" si="65"/>
        <v/>
      </c>
      <c r="Y38" s="203" t="str">
        <f t="shared" si="65"/>
        <v/>
      </c>
      <c r="Z38" s="203" t="str">
        <f t="shared" si="65"/>
        <v/>
      </c>
      <c r="AA38" s="204" t="str">
        <f t="shared" si="65"/>
        <v/>
      </c>
      <c r="AB38" s="205" t="str">
        <f t="shared" si="65"/>
        <v/>
      </c>
      <c r="AC38" s="203" t="str">
        <f t="shared" si="65"/>
        <v/>
      </c>
      <c r="AD38" s="203" t="str">
        <f t="shared" si="65"/>
        <v/>
      </c>
      <c r="AE38" s="204" t="str">
        <f t="shared" si="65"/>
        <v/>
      </c>
      <c r="AF38" s="205" t="str">
        <f t="shared" si="65"/>
        <v/>
      </c>
      <c r="AG38" s="203" t="str">
        <f t="shared" si="65"/>
        <v/>
      </c>
      <c r="AH38" s="203" t="str">
        <f t="shared" si="65"/>
        <v/>
      </c>
      <c r="AI38" s="204" t="str">
        <f t="shared" si="65"/>
        <v/>
      </c>
      <c r="AJ38" s="205" t="str">
        <f t="shared" si="65"/>
        <v/>
      </c>
      <c r="AK38" s="203" t="str">
        <f t="shared" si="65"/>
        <v/>
      </c>
      <c r="AL38" s="203" t="str">
        <f t="shared" si="65"/>
        <v/>
      </c>
      <c r="AM38" s="204" t="str">
        <f t="shared" si="65"/>
        <v/>
      </c>
      <c r="AN38" s="205" t="str">
        <f t="shared" si="65"/>
        <v/>
      </c>
      <c r="AO38" s="203" t="str">
        <f t="shared" si="65"/>
        <v/>
      </c>
      <c r="AP38" s="203" t="str">
        <f t="shared" si="65"/>
        <v/>
      </c>
      <c r="AQ38" s="204" t="str">
        <f t="shared" si="65"/>
        <v/>
      </c>
      <c r="AR38" s="205" t="str">
        <f t="shared" si="65"/>
        <v/>
      </c>
      <c r="AS38" s="203" t="str">
        <f t="shared" si="65"/>
        <v/>
      </c>
      <c r="AT38" s="203" t="str">
        <f t="shared" si="65"/>
        <v/>
      </c>
      <c r="AU38" s="204" t="str">
        <f t="shared" si="65"/>
        <v/>
      </c>
      <c r="AV38" s="205" t="str">
        <f t="shared" si="65"/>
        <v/>
      </c>
      <c r="AW38" s="203" t="str">
        <f t="shared" si="65"/>
        <v/>
      </c>
      <c r="AX38" s="203" t="str">
        <f t="shared" si="65"/>
        <v/>
      </c>
      <c r="AY38" s="204" t="str">
        <f t="shared" si="65"/>
        <v/>
      </c>
      <c r="AZ38" s="205" t="str">
        <f t="shared" si="65"/>
        <v/>
      </c>
      <c r="BA38" s="203" t="str">
        <f t="shared" si="65"/>
        <v/>
      </c>
      <c r="BB38" s="203" t="str">
        <f t="shared" si="65"/>
        <v/>
      </c>
      <c r="BC38" s="204" t="str">
        <f t="shared" si="65"/>
        <v/>
      </c>
      <c r="BD38" s="205" t="str">
        <f t="shared" si="65"/>
        <v/>
      </c>
      <c r="BE38" s="203" t="str">
        <f t="shared" si="65"/>
        <v/>
      </c>
      <c r="BF38" s="203" t="str">
        <f t="shared" si="65"/>
        <v/>
      </c>
      <c r="BG38" s="204" t="str">
        <f t="shared" si="65"/>
        <v/>
      </c>
      <c r="BH38" s="205" t="str">
        <f t="shared" si="65"/>
        <v/>
      </c>
      <c r="BI38" s="203" t="str">
        <f t="shared" si="65"/>
        <v/>
      </c>
      <c r="BJ38" s="203" t="str">
        <f t="shared" si="65"/>
        <v/>
      </c>
      <c r="BK38" s="204" t="str">
        <f t="shared" si="65"/>
        <v/>
      </c>
      <c r="BL38" s="205" t="str">
        <f t="shared" si="65"/>
        <v/>
      </c>
      <c r="BM38" s="203" t="str">
        <f t="shared" si="65"/>
        <v/>
      </c>
      <c r="BN38" s="203" t="str">
        <f t="shared" si="65"/>
        <v/>
      </c>
      <c r="BO38" s="204" t="str">
        <f t="shared" si="65"/>
        <v/>
      </c>
      <c r="BP38" s="205" t="str">
        <f t="shared" ref="BP38:CE38" si="66">IF(AND(BO$3&gt;=$A38,BO$3&lt;$B38),1,IF(AND(BO$3&gt;=$C38,BO$3&lt;$D38),1,""))</f>
        <v/>
      </c>
      <c r="BQ38" s="203" t="str">
        <f t="shared" si="66"/>
        <v/>
      </c>
      <c r="BR38" s="203" t="str">
        <f t="shared" si="66"/>
        <v/>
      </c>
      <c r="BS38" s="204" t="str">
        <f t="shared" si="66"/>
        <v/>
      </c>
      <c r="BT38" s="205" t="str">
        <f t="shared" si="66"/>
        <v/>
      </c>
      <c r="BU38" s="203" t="str">
        <f t="shared" si="66"/>
        <v/>
      </c>
      <c r="BV38" s="203" t="str">
        <f t="shared" si="66"/>
        <v/>
      </c>
      <c r="BW38" s="204" t="str">
        <f t="shared" si="66"/>
        <v/>
      </c>
      <c r="BX38" s="205" t="str">
        <f t="shared" si="66"/>
        <v/>
      </c>
      <c r="BY38" s="203" t="str">
        <f t="shared" si="66"/>
        <v/>
      </c>
      <c r="BZ38" s="203" t="str">
        <f t="shared" si="66"/>
        <v/>
      </c>
      <c r="CA38" s="204" t="str">
        <f t="shared" si="66"/>
        <v/>
      </c>
      <c r="CB38" s="205" t="str">
        <f t="shared" si="66"/>
        <v/>
      </c>
      <c r="CC38" s="203" t="str">
        <f t="shared" si="66"/>
        <v/>
      </c>
      <c r="CD38" s="203" t="str">
        <f t="shared" si="66"/>
        <v/>
      </c>
      <c r="CE38" s="204" t="str">
        <f t="shared" si="66"/>
        <v/>
      </c>
    </row>
    <row r="39" spans="1:87" ht="18" customHeight="1">
      <c r="A39" s="22">
        <f>+TABELLA!E43</f>
        <v>0</v>
      </c>
      <c r="B39" s="22">
        <f>+TABELLA!F43</f>
        <v>0</v>
      </c>
      <c r="C39" s="22">
        <f>+TABELLA!G43</f>
        <v>0</v>
      </c>
      <c r="D39" s="22">
        <f>+TABELLA!H43</f>
        <v>0</v>
      </c>
      <c r="E39" s="22"/>
      <c r="F39" s="41">
        <f>IF(TABELLA!B43="","",TABELLA!B43)</f>
        <v>4</v>
      </c>
      <c r="G39" s="42" t="str">
        <f>IF(TABELLA!C43="","",TABELLA!C43)</f>
        <v>MOCELLIN MAURIZIO</v>
      </c>
      <c r="H39" s="206" t="str">
        <f t="shared" si="2"/>
        <v/>
      </c>
      <c r="I39" s="206" t="str">
        <f t="shared" ref="I39:BO39" si="67">IF(AND(H$3&gt;=$A39,H$3&lt;$B39),1,IF(AND(H$3&gt;=$C39,H$3&lt;$D39),1,""))</f>
        <v/>
      </c>
      <c r="J39" s="206" t="str">
        <f t="shared" si="67"/>
        <v/>
      </c>
      <c r="K39" s="207" t="str">
        <f t="shared" si="67"/>
        <v/>
      </c>
      <c r="L39" s="208" t="str">
        <f t="shared" si="67"/>
        <v/>
      </c>
      <c r="M39" s="206" t="str">
        <f t="shared" si="67"/>
        <v/>
      </c>
      <c r="N39" s="206" t="str">
        <f t="shared" si="67"/>
        <v/>
      </c>
      <c r="O39" s="207" t="str">
        <f t="shared" si="67"/>
        <v/>
      </c>
      <c r="P39" s="208" t="str">
        <f t="shared" si="67"/>
        <v/>
      </c>
      <c r="Q39" s="206" t="str">
        <f t="shared" si="67"/>
        <v/>
      </c>
      <c r="R39" s="206" t="str">
        <f t="shared" si="67"/>
        <v/>
      </c>
      <c r="S39" s="207" t="str">
        <f t="shared" si="67"/>
        <v/>
      </c>
      <c r="T39" s="208" t="str">
        <f t="shared" si="67"/>
        <v/>
      </c>
      <c r="U39" s="206" t="str">
        <f t="shared" si="67"/>
        <v/>
      </c>
      <c r="V39" s="206" t="str">
        <f t="shared" si="67"/>
        <v/>
      </c>
      <c r="W39" s="207" t="str">
        <f t="shared" si="67"/>
        <v/>
      </c>
      <c r="X39" s="208" t="str">
        <f t="shared" si="67"/>
        <v/>
      </c>
      <c r="Y39" s="206" t="str">
        <f t="shared" si="67"/>
        <v/>
      </c>
      <c r="Z39" s="206" t="str">
        <f t="shared" si="67"/>
        <v/>
      </c>
      <c r="AA39" s="207" t="str">
        <f t="shared" si="67"/>
        <v/>
      </c>
      <c r="AB39" s="208" t="str">
        <f t="shared" si="67"/>
        <v/>
      </c>
      <c r="AC39" s="206" t="str">
        <f t="shared" si="67"/>
        <v/>
      </c>
      <c r="AD39" s="206" t="str">
        <f t="shared" si="67"/>
        <v/>
      </c>
      <c r="AE39" s="207" t="str">
        <f t="shared" si="67"/>
        <v/>
      </c>
      <c r="AF39" s="208" t="str">
        <f t="shared" si="67"/>
        <v/>
      </c>
      <c r="AG39" s="206" t="str">
        <f t="shared" si="67"/>
        <v/>
      </c>
      <c r="AH39" s="206" t="str">
        <f t="shared" si="67"/>
        <v/>
      </c>
      <c r="AI39" s="207" t="str">
        <f t="shared" si="67"/>
        <v/>
      </c>
      <c r="AJ39" s="208" t="str">
        <f t="shared" si="67"/>
        <v/>
      </c>
      <c r="AK39" s="206" t="str">
        <f t="shared" si="67"/>
        <v/>
      </c>
      <c r="AL39" s="206" t="str">
        <f t="shared" si="67"/>
        <v/>
      </c>
      <c r="AM39" s="207" t="str">
        <f t="shared" si="67"/>
        <v/>
      </c>
      <c r="AN39" s="208" t="str">
        <f t="shared" si="67"/>
        <v/>
      </c>
      <c r="AO39" s="206" t="str">
        <f t="shared" si="67"/>
        <v/>
      </c>
      <c r="AP39" s="206" t="str">
        <f t="shared" si="67"/>
        <v/>
      </c>
      <c r="AQ39" s="207" t="str">
        <f t="shared" si="67"/>
        <v/>
      </c>
      <c r="AR39" s="208" t="str">
        <f t="shared" si="67"/>
        <v/>
      </c>
      <c r="AS39" s="206" t="str">
        <f t="shared" si="67"/>
        <v/>
      </c>
      <c r="AT39" s="206" t="str">
        <f t="shared" si="67"/>
        <v/>
      </c>
      <c r="AU39" s="207" t="str">
        <f t="shared" si="67"/>
        <v/>
      </c>
      <c r="AV39" s="208" t="str">
        <f t="shared" si="67"/>
        <v/>
      </c>
      <c r="AW39" s="206" t="str">
        <f t="shared" si="67"/>
        <v/>
      </c>
      <c r="AX39" s="206" t="str">
        <f t="shared" si="67"/>
        <v/>
      </c>
      <c r="AY39" s="207" t="str">
        <f t="shared" si="67"/>
        <v/>
      </c>
      <c r="AZ39" s="208" t="str">
        <f t="shared" si="67"/>
        <v/>
      </c>
      <c r="BA39" s="206" t="str">
        <f t="shared" si="67"/>
        <v/>
      </c>
      <c r="BB39" s="206" t="str">
        <f t="shared" si="67"/>
        <v/>
      </c>
      <c r="BC39" s="207" t="str">
        <f t="shared" si="67"/>
        <v/>
      </c>
      <c r="BD39" s="208" t="str">
        <f t="shared" si="67"/>
        <v/>
      </c>
      <c r="BE39" s="206" t="str">
        <f t="shared" si="67"/>
        <v/>
      </c>
      <c r="BF39" s="206" t="str">
        <f t="shared" si="67"/>
        <v/>
      </c>
      <c r="BG39" s="207" t="str">
        <f t="shared" si="67"/>
        <v/>
      </c>
      <c r="BH39" s="208" t="str">
        <f t="shared" si="67"/>
        <v/>
      </c>
      <c r="BI39" s="206" t="str">
        <f t="shared" si="67"/>
        <v/>
      </c>
      <c r="BJ39" s="206" t="str">
        <f t="shared" si="67"/>
        <v/>
      </c>
      <c r="BK39" s="207" t="str">
        <f t="shared" si="67"/>
        <v/>
      </c>
      <c r="BL39" s="208" t="str">
        <f t="shared" si="67"/>
        <v/>
      </c>
      <c r="BM39" s="206" t="str">
        <f t="shared" si="67"/>
        <v/>
      </c>
      <c r="BN39" s="206" t="str">
        <f t="shared" si="67"/>
        <v/>
      </c>
      <c r="BO39" s="207" t="str">
        <f t="shared" si="67"/>
        <v/>
      </c>
      <c r="BP39" s="208" t="str">
        <f t="shared" ref="BP39:CE39" si="68">IF(AND(BO$3&gt;=$A39,BO$3&lt;$B39),1,IF(AND(BO$3&gt;=$C39,BO$3&lt;$D39),1,""))</f>
        <v/>
      </c>
      <c r="BQ39" s="206" t="str">
        <f t="shared" si="68"/>
        <v/>
      </c>
      <c r="BR39" s="206" t="str">
        <f t="shared" si="68"/>
        <v/>
      </c>
      <c r="BS39" s="207" t="str">
        <f t="shared" si="68"/>
        <v/>
      </c>
      <c r="BT39" s="208" t="str">
        <f t="shared" si="68"/>
        <v/>
      </c>
      <c r="BU39" s="206" t="str">
        <f t="shared" si="68"/>
        <v/>
      </c>
      <c r="BV39" s="206" t="str">
        <f t="shared" si="68"/>
        <v/>
      </c>
      <c r="BW39" s="207" t="str">
        <f t="shared" si="68"/>
        <v/>
      </c>
      <c r="BX39" s="208" t="str">
        <f t="shared" si="68"/>
        <v/>
      </c>
      <c r="BY39" s="206" t="str">
        <f t="shared" si="68"/>
        <v/>
      </c>
      <c r="BZ39" s="206" t="str">
        <f t="shared" si="68"/>
        <v/>
      </c>
      <c r="CA39" s="207" t="str">
        <f t="shared" si="68"/>
        <v/>
      </c>
      <c r="CB39" s="208" t="str">
        <f t="shared" si="68"/>
        <v/>
      </c>
      <c r="CC39" s="206" t="str">
        <f t="shared" si="68"/>
        <v/>
      </c>
      <c r="CD39" s="206" t="str">
        <f t="shared" si="68"/>
        <v/>
      </c>
      <c r="CE39" s="207" t="str">
        <f t="shared" si="68"/>
        <v/>
      </c>
    </row>
    <row r="40" spans="1:87" ht="18" customHeight="1">
      <c r="A40" s="22">
        <f>+TABELLA!E44</f>
        <v>0</v>
      </c>
      <c r="B40" s="22">
        <f>+TABELLA!F44</f>
        <v>0</v>
      </c>
      <c r="C40" s="22">
        <f>+TABELLA!G44</f>
        <v>0</v>
      </c>
      <c r="D40" s="22">
        <f>+TABELLA!H44</f>
        <v>0</v>
      </c>
      <c r="E40" s="22"/>
      <c r="F40" s="26" t="str">
        <f>IF(TABELLA!B44="","",TABELLA!B44)</f>
        <v/>
      </c>
      <c r="G40" s="27" t="str">
        <f>IF(TABELLA!C44="","",TABELLA!C44)</f>
        <v/>
      </c>
      <c r="H40" s="203" t="str">
        <f t="shared" si="2"/>
        <v/>
      </c>
      <c r="I40" s="203" t="str">
        <f t="shared" ref="I40:BO40" si="69">IF(AND(H$3&gt;=$A40,H$3&lt;$B40),1,IF(AND(H$3&gt;=$C40,H$3&lt;$D40),1,""))</f>
        <v/>
      </c>
      <c r="J40" s="203" t="str">
        <f t="shared" si="69"/>
        <v/>
      </c>
      <c r="K40" s="204" t="str">
        <f t="shared" si="69"/>
        <v/>
      </c>
      <c r="L40" s="205" t="str">
        <f t="shared" si="69"/>
        <v/>
      </c>
      <c r="M40" s="203" t="str">
        <f t="shared" si="69"/>
        <v/>
      </c>
      <c r="N40" s="203" t="str">
        <f t="shared" si="69"/>
        <v/>
      </c>
      <c r="O40" s="204" t="str">
        <f t="shared" si="69"/>
        <v/>
      </c>
      <c r="P40" s="205" t="str">
        <f t="shared" si="69"/>
        <v/>
      </c>
      <c r="Q40" s="203" t="str">
        <f t="shared" si="69"/>
        <v/>
      </c>
      <c r="R40" s="203" t="str">
        <f t="shared" si="69"/>
        <v/>
      </c>
      <c r="S40" s="204" t="str">
        <f t="shared" si="69"/>
        <v/>
      </c>
      <c r="T40" s="205" t="str">
        <f t="shared" si="69"/>
        <v/>
      </c>
      <c r="U40" s="203" t="str">
        <f t="shared" si="69"/>
        <v/>
      </c>
      <c r="V40" s="203" t="str">
        <f t="shared" si="69"/>
        <v/>
      </c>
      <c r="W40" s="204" t="str">
        <f t="shared" si="69"/>
        <v/>
      </c>
      <c r="X40" s="205" t="str">
        <f t="shared" si="69"/>
        <v/>
      </c>
      <c r="Y40" s="203" t="str">
        <f t="shared" si="69"/>
        <v/>
      </c>
      <c r="Z40" s="203" t="str">
        <f t="shared" si="69"/>
        <v/>
      </c>
      <c r="AA40" s="204" t="str">
        <f t="shared" si="69"/>
        <v/>
      </c>
      <c r="AB40" s="205" t="str">
        <f t="shared" si="69"/>
        <v/>
      </c>
      <c r="AC40" s="203" t="str">
        <f t="shared" si="69"/>
        <v/>
      </c>
      <c r="AD40" s="203" t="str">
        <f t="shared" si="69"/>
        <v/>
      </c>
      <c r="AE40" s="204" t="str">
        <f t="shared" si="69"/>
        <v/>
      </c>
      <c r="AF40" s="205" t="str">
        <f t="shared" si="69"/>
        <v/>
      </c>
      <c r="AG40" s="203" t="str">
        <f t="shared" si="69"/>
        <v/>
      </c>
      <c r="AH40" s="203" t="str">
        <f t="shared" si="69"/>
        <v/>
      </c>
      <c r="AI40" s="204" t="str">
        <f t="shared" si="69"/>
        <v/>
      </c>
      <c r="AJ40" s="205" t="str">
        <f t="shared" si="69"/>
        <v/>
      </c>
      <c r="AK40" s="203" t="str">
        <f t="shared" si="69"/>
        <v/>
      </c>
      <c r="AL40" s="203" t="str">
        <f t="shared" si="69"/>
        <v/>
      </c>
      <c r="AM40" s="204" t="str">
        <f t="shared" si="69"/>
        <v/>
      </c>
      <c r="AN40" s="205" t="str">
        <f t="shared" si="69"/>
        <v/>
      </c>
      <c r="AO40" s="203" t="str">
        <f t="shared" si="69"/>
        <v/>
      </c>
      <c r="AP40" s="203" t="str">
        <f t="shared" si="69"/>
        <v/>
      </c>
      <c r="AQ40" s="204" t="str">
        <f t="shared" si="69"/>
        <v/>
      </c>
      <c r="AR40" s="205" t="str">
        <f t="shared" si="69"/>
        <v/>
      </c>
      <c r="AS40" s="203" t="str">
        <f t="shared" si="69"/>
        <v/>
      </c>
      <c r="AT40" s="203" t="str">
        <f t="shared" si="69"/>
        <v/>
      </c>
      <c r="AU40" s="204" t="str">
        <f t="shared" si="69"/>
        <v/>
      </c>
      <c r="AV40" s="205" t="str">
        <f t="shared" si="69"/>
        <v/>
      </c>
      <c r="AW40" s="203" t="str">
        <f t="shared" si="69"/>
        <v/>
      </c>
      <c r="AX40" s="203" t="str">
        <f t="shared" si="69"/>
        <v/>
      </c>
      <c r="AY40" s="204" t="str">
        <f t="shared" si="69"/>
        <v/>
      </c>
      <c r="AZ40" s="205" t="str">
        <f t="shared" si="69"/>
        <v/>
      </c>
      <c r="BA40" s="203" t="str">
        <f t="shared" si="69"/>
        <v/>
      </c>
      <c r="BB40" s="203" t="str">
        <f t="shared" si="69"/>
        <v/>
      </c>
      <c r="BC40" s="204" t="str">
        <f t="shared" si="69"/>
        <v/>
      </c>
      <c r="BD40" s="205" t="str">
        <f t="shared" si="69"/>
        <v/>
      </c>
      <c r="BE40" s="203" t="str">
        <f t="shared" si="69"/>
        <v/>
      </c>
      <c r="BF40" s="203" t="str">
        <f t="shared" si="69"/>
        <v/>
      </c>
      <c r="BG40" s="204" t="str">
        <f t="shared" si="69"/>
        <v/>
      </c>
      <c r="BH40" s="205" t="str">
        <f t="shared" si="69"/>
        <v/>
      </c>
      <c r="BI40" s="203" t="str">
        <f t="shared" si="69"/>
        <v/>
      </c>
      <c r="BJ40" s="203" t="str">
        <f t="shared" si="69"/>
        <v/>
      </c>
      <c r="BK40" s="204" t="str">
        <f t="shared" si="69"/>
        <v/>
      </c>
      <c r="BL40" s="205" t="str">
        <f t="shared" si="69"/>
        <v/>
      </c>
      <c r="BM40" s="203" t="str">
        <f t="shared" si="69"/>
        <v/>
      </c>
      <c r="BN40" s="203" t="str">
        <f t="shared" si="69"/>
        <v/>
      </c>
      <c r="BO40" s="204" t="str">
        <f t="shared" si="69"/>
        <v/>
      </c>
      <c r="BP40" s="205" t="str">
        <f t="shared" ref="BP40:CE40" si="70">IF(AND(BO$3&gt;=$A40,BO$3&lt;$B40),1,IF(AND(BO$3&gt;=$C40,BO$3&lt;$D40),1,""))</f>
        <v/>
      </c>
      <c r="BQ40" s="203" t="str">
        <f t="shared" si="70"/>
        <v/>
      </c>
      <c r="BR40" s="203" t="str">
        <f t="shared" si="70"/>
        <v/>
      </c>
      <c r="BS40" s="204" t="str">
        <f t="shared" si="70"/>
        <v/>
      </c>
      <c r="BT40" s="205" t="str">
        <f t="shared" si="70"/>
        <v/>
      </c>
      <c r="BU40" s="203" t="str">
        <f t="shared" si="70"/>
        <v/>
      </c>
      <c r="BV40" s="203" t="str">
        <f t="shared" si="70"/>
        <v/>
      </c>
      <c r="BW40" s="204" t="str">
        <f t="shared" si="70"/>
        <v/>
      </c>
      <c r="BX40" s="205" t="str">
        <f t="shared" si="70"/>
        <v/>
      </c>
      <c r="BY40" s="203" t="str">
        <f t="shared" si="70"/>
        <v/>
      </c>
      <c r="BZ40" s="203" t="str">
        <f t="shared" si="70"/>
        <v/>
      </c>
      <c r="CA40" s="204" t="str">
        <f t="shared" si="70"/>
        <v/>
      </c>
      <c r="CB40" s="205" t="str">
        <f t="shared" si="70"/>
        <v/>
      </c>
      <c r="CC40" s="203" t="str">
        <f t="shared" si="70"/>
        <v/>
      </c>
      <c r="CD40" s="203" t="str">
        <f t="shared" si="70"/>
        <v/>
      </c>
      <c r="CE40" s="204" t="str">
        <f t="shared" si="70"/>
        <v/>
      </c>
    </row>
    <row r="41" spans="1:87" ht="18" customHeight="1">
      <c r="A41" s="22">
        <f>+TABELLA!E45</f>
        <v>0</v>
      </c>
      <c r="B41" s="22">
        <f>+TABELLA!F45</f>
        <v>0</v>
      </c>
      <c r="C41" s="22">
        <f>+TABELLA!G45</f>
        <v>0</v>
      </c>
      <c r="D41" s="22">
        <f>+TABELLA!H45</f>
        <v>0</v>
      </c>
      <c r="E41" s="22"/>
      <c r="F41" s="41">
        <f>IF(TABELLA!B45="","",TABELLA!B45)</f>
        <v>9</v>
      </c>
      <c r="G41" s="42" t="str">
        <f>IF(TABELLA!C45="","",TABELLA!C45)</f>
        <v>CANELLA PAOLO</v>
      </c>
      <c r="H41" s="206" t="str">
        <f t="shared" si="2"/>
        <v/>
      </c>
      <c r="I41" s="206" t="str">
        <f t="shared" ref="I41:BO41" si="71">IF(AND(H$3&gt;=$A41,H$3&lt;$B41),1,IF(AND(H$3&gt;=$C41,H$3&lt;$D41),1,""))</f>
        <v/>
      </c>
      <c r="J41" s="206" t="str">
        <f t="shared" si="71"/>
        <v/>
      </c>
      <c r="K41" s="207" t="str">
        <f t="shared" si="71"/>
        <v/>
      </c>
      <c r="L41" s="208" t="str">
        <f t="shared" si="71"/>
        <v/>
      </c>
      <c r="M41" s="206" t="str">
        <f t="shared" si="71"/>
        <v/>
      </c>
      <c r="N41" s="206" t="str">
        <f t="shared" si="71"/>
        <v/>
      </c>
      <c r="O41" s="207" t="str">
        <f t="shared" si="71"/>
        <v/>
      </c>
      <c r="P41" s="208" t="str">
        <f t="shared" si="71"/>
        <v/>
      </c>
      <c r="Q41" s="206" t="str">
        <f t="shared" si="71"/>
        <v/>
      </c>
      <c r="R41" s="206" t="str">
        <f t="shared" si="71"/>
        <v/>
      </c>
      <c r="S41" s="207" t="str">
        <f t="shared" si="71"/>
        <v/>
      </c>
      <c r="T41" s="208" t="str">
        <f t="shared" si="71"/>
        <v/>
      </c>
      <c r="U41" s="206" t="str">
        <f t="shared" si="71"/>
        <v/>
      </c>
      <c r="V41" s="206" t="str">
        <f t="shared" si="71"/>
        <v/>
      </c>
      <c r="W41" s="207" t="str">
        <f t="shared" si="71"/>
        <v/>
      </c>
      <c r="X41" s="208" t="str">
        <f t="shared" si="71"/>
        <v/>
      </c>
      <c r="Y41" s="206" t="str">
        <f t="shared" si="71"/>
        <v/>
      </c>
      <c r="Z41" s="206" t="str">
        <f t="shared" si="71"/>
        <v/>
      </c>
      <c r="AA41" s="207" t="str">
        <f t="shared" si="71"/>
        <v/>
      </c>
      <c r="AB41" s="208" t="str">
        <f t="shared" si="71"/>
        <v/>
      </c>
      <c r="AC41" s="206" t="str">
        <f t="shared" si="71"/>
        <v/>
      </c>
      <c r="AD41" s="206" t="str">
        <f t="shared" si="71"/>
        <v/>
      </c>
      <c r="AE41" s="207" t="str">
        <f t="shared" si="71"/>
        <v/>
      </c>
      <c r="AF41" s="208" t="str">
        <f t="shared" si="71"/>
        <v/>
      </c>
      <c r="AG41" s="206" t="str">
        <f t="shared" si="71"/>
        <v/>
      </c>
      <c r="AH41" s="206" t="str">
        <f t="shared" si="71"/>
        <v/>
      </c>
      <c r="AI41" s="207" t="str">
        <f t="shared" si="71"/>
        <v/>
      </c>
      <c r="AJ41" s="208" t="str">
        <f t="shared" si="71"/>
        <v/>
      </c>
      <c r="AK41" s="206" t="str">
        <f t="shared" si="71"/>
        <v/>
      </c>
      <c r="AL41" s="206" t="str">
        <f t="shared" si="71"/>
        <v/>
      </c>
      <c r="AM41" s="207" t="str">
        <f t="shared" si="71"/>
        <v/>
      </c>
      <c r="AN41" s="208" t="str">
        <f t="shared" si="71"/>
        <v/>
      </c>
      <c r="AO41" s="206" t="str">
        <f t="shared" si="71"/>
        <v/>
      </c>
      <c r="AP41" s="206" t="str">
        <f t="shared" si="71"/>
        <v/>
      </c>
      <c r="AQ41" s="207" t="str">
        <f t="shared" si="71"/>
        <v/>
      </c>
      <c r="AR41" s="208" t="str">
        <f t="shared" si="71"/>
        <v/>
      </c>
      <c r="AS41" s="206" t="str">
        <f t="shared" si="71"/>
        <v/>
      </c>
      <c r="AT41" s="206" t="str">
        <f t="shared" si="71"/>
        <v/>
      </c>
      <c r="AU41" s="207" t="str">
        <f t="shared" si="71"/>
        <v/>
      </c>
      <c r="AV41" s="208" t="str">
        <f t="shared" si="71"/>
        <v/>
      </c>
      <c r="AW41" s="206" t="str">
        <f t="shared" si="71"/>
        <v/>
      </c>
      <c r="AX41" s="206" t="str">
        <f t="shared" si="71"/>
        <v/>
      </c>
      <c r="AY41" s="207" t="str">
        <f t="shared" si="71"/>
        <v/>
      </c>
      <c r="AZ41" s="208" t="str">
        <f t="shared" si="71"/>
        <v/>
      </c>
      <c r="BA41" s="206" t="str">
        <f t="shared" si="71"/>
        <v/>
      </c>
      <c r="BB41" s="206" t="str">
        <f t="shared" si="71"/>
        <v/>
      </c>
      <c r="BC41" s="207" t="str">
        <f t="shared" si="71"/>
        <v/>
      </c>
      <c r="BD41" s="208" t="str">
        <f t="shared" si="71"/>
        <v/>
      </c>
      <c r="BE41" s="206" t="str">
        <f t="shared" si="71"/>
        <v/>
      </c>
      <c r="BF41" s="206" t="str">
        <f t="shared" si="71"/>
        <v/>
      </c>
      <c r="BG41" s="207" t="str">
        <f t="shared" si="71"/>
        <v/>
      </c>
      <c r="BH41" s="208" t="str">
        <f t="shared" si="71"/>
        <v/>
      </c>
      <c r="BI41" s="206" t="str">
        <f t="shared" si="71"/>
        <v/>
      </c>
      <c r="BJ41" s="206" t="str">
        <f t="shared" si="71"/>
        <v/>
      </c>
      <c r="BK41" s="207" t="str">
        <f t="shared" si="71"/>
        <v/>
      </c>
      <c r="BL41" s="208" t="str">
        <f t="shared" si="71"/>
        <v/>
      </c>
      <c r="BM41" s="206" t="str">
        <f t="shared" si="71"/>
        <v/>
      </c>
      <c r="BN41" s="206" t="str">
        <f t="shared" si="71"/>
        <v/>
      </c>
      <c r="BO41" s="207" t="str">
        <f t="shared" si="71"/>
        <v/>
      </c>
      <c r="BP41" s="208" t="str">
        <f t="shared" ref="BP41:CE41" si="72">IF(AND(BO$3&gt;=$A41,BO$3&lt;$B41),1,IF(AND(BO$3&gt;=$C41,BO$3&lt;$D41),1,""))</f>
        <v/>
      </c>
      <c r="BQ41" s="206" t="str">
        <f t="shared" si="72"/>
        <v/>
      </c>
      <c r="BR41" s="206" t="str">
        <f t="shared" si="72"/>
        <v/>
      </c>
      <c r="BS41" s="207" t="str">
        <f t="shared" si="72"/>
        <v/>
      </c>
      <c r="BT41" s="208" t="str">
        <f t="shared" si="72"/>
        <v/>
      </c>
      <c r="BU41" s="206" t="str">
        <f t="shared" si="72"/>
        <v/>
      </c>
      <c r="BV41" s="206" t="str">
        <f t="shared" si="72"/>
        <v/>
      </c>
      <c r="BW41" s="207" t="str">
        <f t="shared" si="72"/>
        <v/>
      </c>
      <c r="BX41" s="208" t="str">
        <f t="shared" si="72"/>
        <v/>
      </c>
      <c r="BY41" s="206" t="str">
        <f t="shared" si="72"/>
        <v/>
      </c>
      <c r="BZ41" s="206" t="str">
        <f t="shared" si="72"/>
        <v/>
      </c>
      <c r="CA41" s="207" t="str">
        <f t="shared" si="72"/>
        <v/>
      </c>
      <c r="CB41" s="208" t="str">
        <f t="shared" si="72"/>
        <v/>
      </c>
      <c r="CC41" s="206" t="str">
        <f t="shared" si="72"/>
        <v/>
      </c>
      <c r="CD41" s="206" t="str">
        <f t="shared" si="72"/>
        <v/>
      </c>
      <c r="CE41" s="207" t="str">
        <f t="shared" si="72"/>
        <v/>
      </c>
    </row>
    <row r="42" spans="1:87" ht="18" customHeight="1">
      <c r="A42" s="22">
        <f>+TABELLA!E46</f>
        <v>0</v>
      </c>
      <c r="B42" s="22">
        <f>+TABELLA!F46</f>
        <v>0</v>
      </c>
      <c r="C42" s="22">
        <f>+TABELLA!G46</f>
        <v>0</v>
      </c>
      <c r="D42" s="22">
        <f>+TABELLA!H46</f>
        <v>0</v>
      </c>
      <c r="E42" s="22"/>
      <c r="F42" s="26" t="str">
        <f>IF(TABELLA!B46="","",TABELLA!B46)</f>
        <v/>
      </c>
      <c r="G42" s="27" t="str">
        <f>IF(TABELLA!C46="","",TABELLA!C46)</f>
        <v/>
      </c>
      <c r="H42" s="203" t="str">
        <f t="shared" si="2"/>
        <v/>
      </c>
      <c r="I42" s="203" t="str">
        <f t="shared" ref="I42:BO42" si="73">IF(AND(H$3&gt;=$A42,H$3&lt;$B42),1,IF(AND(H$3&gt;=$C42,H$3&lt;$D42),1,""))</f>
        <v/>
      </c>
      <c r="J42" s="203" t="str">
        <f t="shared" si="73"/>
        <v/>
      </c>
      <c r="K42" s="204" t="str">
        <f t="shared" si="73"/>
        <v/>
      </c>
      <c r="L42" s="205" t="str">
        <f t="shared" si="73"/>
        <v/>
      </c>
      <c r="M42" s="203" t="str">
        <f t="shared" si="73"/>
        <v/>
      </c>
      <c r="N42" s="203" t="str">
        <f t="shared" si="73"/>
        <v/>
      </c>
      <c r="O42" s="204" t="str">
        <f t="shared" si="73"/>
        <v/>
      </c>
      <c r="P42" s="205" t="str">
        <f t="shared" si="73"/>
        <v/>
      </c>
      <c r="Q42" s="203" t="str">
        <f t="shared" si="73"/>
        <v/>
      </c>
      <c r="R42" s="203" t="str">
        <f t="shared" si="73"/>
        <v/>
      </c>
      <c r="S42" s="204" t="str">
        <f t="shared" si="73"/>
        <v/>
      </c>
      <c r="T42" s="205" t="str">
        <f t="shared" si="73"/>
        <v/>
      </c>
      <c r="U42" s="203" t="str">
        <f t="shared" si="73"/>
        <v/>
      </c>
      <c r="V42" s="203" t="str">
        <f t="shared" si="73"/>
        <v/>
      </c>
      <c r="W42" s="204" t="str">
        <f t="shared" si="73"/>
        <v/>
      </c>
      <c r="X42" s="205" t="str">
        <f t="shared" si="73"/>
        <v/>
      </c>
      <c r="Y42" s="203" t="str">
        <f t="shared" si="73"/>
        <v/>
      </c>
      <c r="Z42" s="203" t="str">
        <f t="shared" si="73"/>
        <v/>
      </c>
      <c r="AA42" s="204" t="str">
        <f t="shared" si="73"/>
        <v/>
      </c>
      <c r="AB42" s="205" t="str">
        <f t="shared" si="73"/>
        <v/>
      </c>
      <c r="AC42" s="203" t="str">
        <f t="shared" si="73"/>
        <v/>
      </c>
      <c r="AD42" s="203" t="str">
        <f t="shared" si="73"/>
        <v/>
      </c>
      <c r="AE42" s="204" t="str">
        <f t="shared" si="73"/>
        <v/>
      </c>
      <c r="AF42" s="205" t="str">
        <f t="shared" si="73"/>
        <v/>
      </c>
      <c r="AG42" s="203" t="str">
        <f t="shared" si="73"/>
        <v/>
      </c>
      <c r="AH42" s="203" t="str">
        <f t="shared" si="73"/>
        <v/>
      </c>
      <c r="AI42" s="204" t="str">
        <f t="shared" si="73"/>
        <v/>
      </c>
      <c r="AJ42" s="205" t="str">
        <f t="shared" si="73"/>
        <v/>
      </c>
      <c r="AK42" s="203" t="str">
        <f t="shared" si="73"/>
        <v/>
      </c>
      <c r="AL42" s="203" t="str">
        <f t="shared" si="73"/>
        <v/>
      </c>
      <c r="AM42" s="204" t="str">
        <f t="shared" si="73"/>
        <v/>
      </c>
      <c r="AN42" s="205" t="str">
        <f t="shared" si="73"/>
        <v/>
      </c>
      <c r="AO42" s="203" t="str">
        <f t="shared" si="73"/>
        <v/>
      </c>
      <c r="AP42" s="203" t="str">
        <f t="shared" si="73"/>
        <v/>
      </c>
      <c r="AQ42" s="204" t="str">
        <f t="shared" si="73"/>
        <v/>
      </c>
      <c r="AR42" s="205" t="str">
        <f t="shared" si="73"/>
        <v/>
      </c>
      <c r="AS42" s="203" t="str">
        <f t="shared" si="73"/>
        <v/>
      </c>
      <c r="AT42" s="203" t="str">
        <f t="shared" si="73"/>
        <v/>
      </c>
      <c r="AU42" s="204" t="str">
        <f t="shared" si="73"/>
        <v/>
      </c>
      <c r="AV42" s="205" t="str">
        <f t="shared" si="73"/>
        <v/>
      </c>
      <c r="AW42" s="203" t="str">
        <f t="shared" si="73"/>
        <v/>
      </c>
      <c r="AX42" s="203" t="str">
        <f t="shared" si="73"/>
        <v/>
      </c>
      <c r="AY42" s="204" t="str">
        <f t="shared" si="73"/>
        <v/>
      </c>
      <c r="AZ42" s="205" t="str">
        <f t="shared" si="73"/>
        <v/>
      </c>
      <c r="BA42" s="203" t="str">
        <f t="shared" si="73"/>
        <v/>
      </c>
      <c r="BB42" s="203" t="str">
        <f t="shared" si="73"/>
        <v/>
      </c>
      <c r="BC42" s="204" t="str">
        <f t="shared" si="73"/>
        <v/>
      </c>
      <c r="BD42" s="205" t="str">
        <f t="shared" si="73"/>
        <v/>
      </c>
      <c r="BE42" s="203" t="str">
        <f t="shared" si="73"/>
        <v/>
      </c>
      <c r="BF42" s="203" t="str">
        <f t="shared" si="73"/>
        <v/>
      </c>
      <c r="BG42" s="204" t="str">
        <f t="shared" si="73"/>
        <v/>
      </c>
      <c r="BH42" s="205" t="str">
        <f t="shared" si="73"/>
        <v/>
      </c>
      <c r="BI42" s="203" t="str">
        <f t="shared" si="73"/>
        <v/>
      </c>
      <c r="BJ42" s="203" t="str">
        <f t="shared" si="73"/>
        <v/>
      </c>
      <c r="BK42" s="204" t="str">
        <f t="shared" si="73"/>
        <v/>
      </c>
      <c r="BL42" s="205" t="str">
        <f t="shared" si="73"/>
        <v/>
      </c>
      <c r="BM42" s="203" t="str">
        <f t="shared" si="73"/>
        <v/>
      </c>
      <c r="BN42" s="203" t="str">
        <f t="shared" si="73"/>
        <v/>
      </c>
      <c r="BO42" s="204" t="str">
        <f t="shared" si="73"/>
        <v/>
      </c>
      <c r="BP42" s="205" t="str">
        <f t="shared" ref="BP42:CE42" si="74">IF(AND(BO$3&gt;=$A42,BO$3&lt;$B42),1,IF(AND(BO$3&gt;=$C42,BO$3&lt;$D42),1,""))</f>
        <v/>
      </c>
      <c r="BQ42" s="203" t="str">
        <f t="shared" si="74"/>
        <v/>
      </c>
      <c r="BR42" s="203" t="str">
        <f t="shared" si="74"/>
        <v/>
      </c>
      <c r="BS42" s="204" t="str">
        <f t="shared" si="74"/>
        <v/>
      </c>
      <c r="BT42" s="205" t="str">
        <f t="shared" si="74"/>
        <v/>
      </c>
      <c r="BU42" s="203" t="str">
        <f t="shared" si="74"/>
        <v/>
      </c>
      <c r="BV42" s="203" t="str">
        <f t="shared" si="74"/>
        <v/>
      </c>
      <c r="BW42" s="204" t="str">
        <f t="shared" si="74"/>
        <v/>
      </c>
      <c r="BX42" s="205" t="str">
        <f t="shared" si="74"/>
        <v/>
      </c>
      <c r="BY42" s="203" t="str">
        <f t="shared" si="74"/>
        <v/>
      </c>
      <c r="BZ42" s="203" t="str">
        <f t="shared" si="74"/>
        <v/>
      </c>
      <c r="CA42" s="204" t="str">
        <f t="shared" si="74"/>
        <v/>
      </c>
      <c r="CB42" s="205" t="str">
        <f t="shared" si="74"/>
        <v/>
      </c>
      <c r="CC42" s="203" t="str">
        <f t="shared" si="74"/>
        <v/>
      </c>
      <c r="CD42" s="203" t="str">
        <f t="shared" si="74"/>
        <v/>
      </c>
      <c r="CE42" s="204" t="str">
        <f t="shared" si="74"/>
        <v/>
      </c>
    </row>
    <row r="43" spans="1:87" ht="18" customHeight="1">
      <c r="A43" s="22">
        <f>+TABELLA!E47</f>
        <v>0</v>
      </c>
      <c r="B43" s="22">
        <f>+TABELLA!F47</f>
        <v>0</v>
      </c>
      <c r="C43" s="22">
        <f>+TABELLA!G47</f>
        <v>0</v>
      </c>
      <c r="D43" s="22">
        <f>+TABELLA!H47</f>
        <v>0</v>
      </c>
      <c r="E43" s="22"/>
      <c r="F43" s="41" t="str">
        <f>IF(TABELLA!B47="","",TABELLA!B47)</f>
        <v/>
      </c>
      <c r="G43" s="42" t="str">
        <f>IF(TABELLA!C47="","",TABELLA!C47)</f>
        <v/>
      </c>
      <c r="H43" s="206" t="str">
        <f t="shared" si="2"/>
        <v/>
      </c>
      <c r="I43" s="206" t="str">
        <f t="shared" ref="I43:BO43" si="75">IF(AND(H$3&gt;=$A43,H$3&lt;$B43),1,IF(AND(H$3&gt;=$C43,H$3&lt;$D43),1,""))</f>
        <v/>
      </c>
      <c r="J43" s="206" t="str">
        <f t="shared" si="75"/>
        <v/>
      </c>
      <c r="K43" s="207" t="str">
        <f t="shared" si="75"/>
        <v/>
      </c>
      <c r="L43" s="208" t="str">
        <f t="shared" si="75"/>
        <v/>
      </c>
      <c r="M43" s="206" t="str">
        <f t="shared" si="75"/>
        <v/>
      </c>
      <c r="N43" s="206" t="str">
        <f t="shared" si="75"/>
        <v/>
      </c>
      <c r="O43" s="207" t="str">
        <f t="shared" si="75"/>
        <v/>
      </c>
      <c r="P43" s="208" t="str">
        <f t="shared" si="75"/>
        <v/>
      </c>
      <c r="Q43" s="206" t="str">
        <f t="shared" si="75"/>
        <v/>
      </c>
      <c r="R43" s="206" t="str">
        <f t="shared" si="75"/>
        <v/>
      </c>
      <c r="S43" s="207" t="str">
        <f t="shared" si="75"/>
        <v/>
      </c>
      <c r="T43" s="208" t="str">
        <f t="shared" si="75"/>
        <v/>
      </c>
      <c r="U43" s="206" t="str">
        <f t="shared" si="75"/>
        <v/>
      </c>
      <c r="V43" s="206" t="str">
        <f t="shared" si="75"/>
        <v/>
      </c>
      <c r="W43" s="207" t="str">
        <f t="shared" si="75"/>
        <v/>
      </c>
      <c r="X43" s="208" t="str">
        <f t="shared" si="75"/>
        <v/>
      </c>
      <c r="Y43" s="206" t="str">
        <f t="shared" si="75"/>
        <v/>
      </c>
      <c r="Z43" s="206" t="str">
        <f t="shared" si="75"/>
        <v/>
      </c>
      <c r="AA43" s="207" t="str">
        <f t="shared" si="75"/>
        <v/>
      </c>
      <c r="AB43" s="208" t="str">
        <f t="shared" si="75"/>
        <v/>
      </c>
      <c r="AC43" s="206" t="str">
        <f t="shared" si="75"/>
        <v/>
      </c>
      <c r="AD43" s="206" t="str">
        <f t="shared" si="75"/>
        <v/>
      </c>
      <c r="AE43" s="207" t="str">
        <f t="shared" si="75"/>
        <v/>
      </c>
      <c r="AF43" s="208" t="str">
        <f t="shared" si="75"/>
        <v/>
      </c>
      <c r="AG43" s="206" t="str">
        <f t="shared" si="75"/>
        <v/>
      </c>
      <c r="AH43" s="206" t="str">
        <f t="shared" si="75"/>
        <v/>
      </c>
      <c r="AI43" s="207" t="str">
        <f t="shared" si="75"/>
        <v/>
      </c>
      <c r="AJ43" s="208" t="str">
        <f t="shared" si="75"/>
        <v/>
      </c>
      <c r="AK43" s="206" t="str">
        <f t="shared" si="75"/>
        <v/>
      </c>
      <c r="AL43" s="206" t="str">
        <f t="shared" si="75"/>
        <v/>
      </c>
      <c r="AM43" s="207" t="str">
        <f t="shared" si="75"/>
        <v/>
      </c>
      <c r="AN43" s="208" t="str">
        <f t="shared" si="75"/>
        <v/>
      </c>
      <c r="AO43" s="206" t="str">
        <f t="shared" si="75"/>
        <v/>
      </c>
      <c r="AP43" s="206" t="str">
        <f t="shared" si="75"/>
        <v/>
      </c>
      <c r="AQ43" s="207" t="str">
        <f t="shared" si="75"/>
        <v/>
      </c>
      <c r="AR43" s="208" t="str">
        <f t="shared" si="75"/>
        <v/>
      </c>
      <c r="AS43" s="206" t="str">
        <f t="shared" si="75"/>
        <v/>
      </c>
      <c r="AT43" s="206" t="str">
        <f t="shared" si="75"/>
        <v/>
      </c>
      <c r="AU43" s="207" t="str">
        <f t="shared" si="75"/>
        <v/>
      </c>
      <c r="AV43" s="208" t="str">
        <f t="shared" si="75"/>
        <v/>
      </c>
      <c r="AW43" s="206" t="str">
        <f t="shared" si="75"/>
        <v/>
      </c>
      <c r="AX43" s="206" t="str">
        <f t="shared" si="75"/>
        <v/>
      </c>
      <c r="AY43" s="207" t="str">
        <f t="shared" si="75"/>
        <v/>
      </c>
      <c r="AZ43" s="208" t="str">
        <f t="shared" si="75"/>
        <v/>
      </c>
      <c r="BA43" s="206" t="str">
        <f t="shared" si="75"/>
        <v/>
      </c>
      <c r="BB43" s="206" t="str">
        <f t="shared" si="75"/>
        <v/>
      </c>
      <c r="BC43" s="207" t="str">
        <f t="shared" si="75"/>
        <v/>
      </c>
      <c r="BD43" s="208" t="str">
        <f t="shared" si="75"/>
        <v/>
      </c>
      <c r="BE43" s="206" t="str">
        <f t="shared" si="75"/>
        <v/>
      </c>
      <c r="BF43" s="206" t="str">
        <f t="shared" si="75"/>
        <v/>
      </c>
      <c r="BG43" s="207" t="str">
        <f t="shared" si="75"/>
        <v/>
      </c>
      <c r="BH43" s="208" t="str">
        <f t="shared" si="75"/>
        <v/>
      </c>
      <c r="BI43" s="206" t="str">
        <f t="shared" si="75"/>
        <v/>
      </c>
      <c r="BJ43" s="206" t="str">
        <f t="shared" si="75"/>
        <v/>
      </c>
      <c r="BK43" s="207" t="str">
        <f t="shared" si="75"/>
        <v/>
      </c>
      <c r="BL43" s="208" t="str">
        <f t="shared" si="75"/>
        <v/>
      </c>
      <c r="BM43" s="206" t="str">
        <f t="shared" si="75"/>
        <v/>
      </c>
      <c r="BN43" s="206" t="str">
        <f t="shared" si="75"/>
        <v/>
      </c>
      <c r="BO43" s="207" t="str">
        <f t="shared" si="75"/>
        <v/>
      </c>
      <c r="BP43" s="208" t="str">
        <f t="shared" ref="BP43:CE43" si="76">IF(AND(BO$3&gt;=$A43,BO$3&lt;$B43),1,IF(AND(BO$3&gt;=$C43,BO$3&lt;$D43),1,""))</f>
        <v/>
      </c>
      <c r="BQ43" s="206" t="str">
        <f t="shared" si="76"/>
        <v/>
      </c>
      <c r="BR43" s="206" t="str">
        <f t="shared" si="76"/>
        <v/>
      </c>
      <c r="BS43" s="207" t="str">
        <f t="shared" si="76"/>
        <v/>
      </c>
      <c r="BT43" s="208" t="str">
        <f t="shared" si="76"/>
        <v/>
      </c>
      <c r="BU43" s="206" t="str">
        <f t="shared" si="76"/>
        <v/>
      </c>
      <c r="BV43" s="206" t="str">
        <f t="shared" si="76"/>
        <v/>
      </c>
      <c r="BW43" s="207" t="str">
        <f t="shared" si="76"/>
        <v/>
      </c>
      <c r="BX43" s="208" t="str">
        <f t="shared" si="76"/>
        <v/>
      </c>
      <c r="BY43" s="206" t="str">
        <f t="shared" si="76"/>
        <v/>
      </c>
      <c r="BZ43" s="206" t="str">
        <f t="shared" si="76"/>
        <v/>
      </c>
      <c r="CA43" s="207" t="str">
        <f t="shared" si="76"/>
        <v/>
      </c>
      <c r="CB43" s="208" t="str">
        <f t="shared" si="76"/>
        <v/>
      </c>
      <c r="CC43" s="206" t="str">
        <f t="shared" si="76"/>
        <v/>
      </c>
      <c r="CD43" s="206" t="str">
        <f t="shared" si="76"/>
        <v/>
      </c>
      <c r="CE43" s="207" t="str">
        <f t="shared" si="76"/>
        <v/>
      </c>
    </row>
    <row r="44" spans="1:87" ht="18" customHeight="1">
      <c r="A44" s="22">
        <f>+TABELLA!E48</f>
        <v>0</v>
      </c>
      <c r="B44" s="22">
        <f>+TABELLA!F48</f>
        <v>0</v>
      </c>
      <c r="C44" s="22">
        <f>+TABELLA!G48</f>
        <v>0</v>
      </c>
      <c r="D44" s="22">
        <f>+TABELLA!H48</f>
        <v>0</v>
      </c>
      <c r="E44" s="22"/>
      <c r="F44" s="26" t="str">
        <f>IF(TABELLA!B48="","",TABELLA!B48)</f>
        <v/>
      </c>
      <c r="G44" s="27" t="str">
        <f>IF(TABELLA!C48="","",TABELLA!C48)</f>
        <v/>
      </c>
      <c r="H44" s="203" t="str">
        <f t="shared" si="2"/>
        <v/>
      </c>
      <c r="I44" s="203" t="str">
        <f t="shared" ref="I44:BO44" si="77">IF(AND(H$3&gt;=$A44,H$3&lt;$B44),1,IF(AND(H$3&gt;=$C44,H$3&lt;$D44),1,""))</f>
        <v/>
      </c>
      <c r="J44" s="203" t="str">
        <f t="shared" si="77"/>
        <v/>
      </c>
      <c r="K44" s="204" t="str">
        <f t="shared" si="77"/>
        <v/>
      </c>
      <c r="L44" s="205" t="str">
        <f t="shared" si="77"/>
        <v/>
      </c>
      <c r="M44" s="203" t="str">
        <f t="shared" si="77"/>
        <v/>
      </c>
      <c r="N44" s="203" t="str">
        <f t="shared" si="77"/>
        <v/>
      </c>
      <c r="O44" s="204" t="str">
        <f t="shared" si="77"/>
        <v/>
      </c>
      <c r="P44" s="205" t="str">
        <f t="shared" si="77"/>
        <v/>
      </c>
      <c r="Q44" s="203" t="str">
        <f t="shared" si="77"/>
        <v/>
      </c>
      <c r="R44" s="203" t="str">
        <f t="shared" si="77"/>
        <v/>
      </c>
      <c r="S44" s="204" t="str">
        <f t="shared" si="77"/>
        <v/>
      </c>
      <c r="T44" s="205" t="str">
        <f t="shared" si="77"/>
        <v/>
      </c>
      <c r="U44" s="203" t="str">
        <f t="shared" si="77"/>
        <v/>
      </c>
      <c r="V44" s="203" t="str">
        <f t="shared" si="77"/>
        <v/>
      </c>
      <c r="W44" s="204" t="str">
        <f t="shared" si="77"/>
        <v/>
      </c>
      <c r="X44" s="205" t="str">
        <f t="shared" si="77"/>
        <v/>
      </c>
      <c r="Y44" s="203" t="str">
        <f t="shared" si="77"/>
        <v/>
      </c>
      <c r="Z44" s="203" t="str">
        <f t="shared" si="77"/>
        <v/>
      </c>
      <c r="AA44" s="204" t="str">
        <f t="shared" si="77"/>
        <v/>
      </c>
      <c r="AB44" s="205" t="str">
        <f t="shared" si="77"/>
        <v/>
      </c>
      <c r="AC44" s="203" t="str">
        <f t="shared" si="77"/>
        <v/>
      </c>
      <c r="AD44" s="203" t="str">
        <f t="shared" si="77"/>
        <v/>
      </c>
      <c r="AE44" s="204" t="str">
        <f t="shared" si="77"/>
        <v/>
      </c>
      <c r="AF44" s="205" t="str">
        <f t="shared" si="77"/>
        <v/>
      </c>
      <c r="AG44" s="203" t="str">
        <f t="shared" si="77"/>
        <v/>
      </c>
      <c r="AH44" s="203" t="str">
        <f t="shared" si="77"/>
        <v/>
      </c>
      <c r="AI44" s="204" t="str">
        <f t="shared" si="77"/>
        <v/>
      </c>
      <c r="AJ44" s="205" t="str">
        <f t="shared" si="77"/>
        <v/>
      </c>
      <c r="AK44" s="203" t="str">
        <f t="shared" si="77"/>
        <v/>
      </c>
      <c r="AL44" s="203" t="str">
        <f t="shared" si="77"/>
        <v/>
      </c>
      <c r="AM44" s="204" t="str">
        <f t="shared" si="77"/>
        <v/>
      </c>
      <c r="AN44" s="205" t="str">
        <f t="shared" si="77"/>
        <v/>
      </c>
      <c r="AO44" s="203" t="str">
        <f t="shared" si="77"/>
        <v/>
      </c>
      <c r="AP44" s="203" t="str">
        <f t="shared" si="77"/>
        <v/>
      </c>
      <c r="AQ44" s="204" t="str">
        <f t="shared" si="77"/>
        <v/>
      </c>
      <c r="AR44" s="205" t="str">
        <f t="shared" si="77"/>
        <v/>
      </c>
      <c r="AS44" s="203" t="str">
        <f t="shared" si="77"/>
        <v/>
      </c>
      <c r="AT44" s="203" t="str">
        <f t="shared" si="77"/>
        <v/>
      </c>
      <c r="AU44" s="204" t="str">
        <f t="shared" si="77"/>
        <v/>
      </c>
      <c r="AV44" s="205" t="str">
        <f t="shared" si="77"/>
        <v/>
      </c>
      <c r="AW44" s="203" t="str">
        <f t="shared" si="77"/>
        <v/>
      </c>
      <c r="AX44" s="203" t="str">
        <f t="shared" si="77"/>
        <v/>
      </c>
      <c r="AY44" s="204" t="str">
        <f t="shared" si="77"/>
        <v/>
      </c>
      <c r="AZ44" s="205" t="str">
        <f t="shared" si="77"/>
        <v/>
      </c>
      <c r="BA44" s="203" t="str">
        <f t="shared" si="77"/>
        <v/>
      </c>
      <c r="BB44" s="203" t="str">
        <f t="shared" si="77"/>
        <v/>
      </c>
      <c r="BC44" s="204" t="str">
        <f t="shared" si="77"/>
        <v/>
      </c>
      <c r="BD44" s="205" t="str">
        <f t="shared" si="77"/>
        <v/>
      </c>
      <c r="BE44" s="203" t="str">
        <f t="shared" si="77"/>
        <v/>
      </c>
      <c r="BF44" s="203" t="str">
        <f t="shared" si="77"/>
        <v/>
      </c>
      <c r="BG44" s="204" t="str">
        <f t="shared" si="77"/>
        <v/>
      </c>
      <c r="BH44" s="205" t="str">
        <f t="shared" si="77"/>
        <v/>
      </c>
      <c r="BI44" s="203" t="str">
        <f t="shared" si="77"/>
        <v/>
      </c>
      <c r="BJ44" s="203" t="str">
        <f t="shared" si="77"/>
        <v/>
      </c>
      <c r="BK44" s="204" t="str">
        <f t="shared" si="77"/>
        <v/>
      </c>
      <c r="BL44" s="205" t="str">
        <f t="shared" si="77"/>
        <v/>
      </c>
      <c r="BM44" s="203" t="str">
        <f t="shared" si="77"/>
        <v/>
      </c>
      <c r="BN44" s="203" t="str">
        <f t="shared" si="77"/>
        <v/>
      </c>
      <c r="BO44" s="204" t="str">
        <f t="shared" si="77"/>
        <v/>
      </c>
      <c r="BP44" s="205" t="str">
        <f t="shared" ref="BP44:CE44" si="78">IF(AND(BO$3&gt;=$A44,BO$3&lt;$B44),1,IF(AND(BO$3&gt;=$C44,BO$3&lt;$D44),1,""))</f>
        <v/>
      </c>
      <c r="BQ44" s="203" t="str">
        <f t="shared" si="78"/>
        <v/>
      </c>
      <c r="BR44" s="203" t="str">
        <f t="shared" si="78"/>
        <v/>
      </c>
      <c r="BS44" s="204" t="str">
        <f t="shared" si="78"/>
        <v/>
      </c>
      <c r="BT44" s="205" t="str">
        <f t="shared" si="78"/>
        <v/>
      </c>
      <c r="BU44" s="203" t="str">
        <f t="shared" si="78"/>
        <v/>
      </c>
      <c r="BV44" s="203" t="str">
        <f t="shared" si="78"/>
        <v/>
      </c>
      <c r="BW44" s="204" t="str">
        <f t="shared" si="78"/>
        <v/>
      </c>
      <c r="BX44" s="205" t="str">
        <f t="shared" si="78"/>
        <v/>
      </c>
      <c r="BY44" s="203" t="str">
        <f t="shared" si="78"/>
        <v/>
      </c>
      <c r="BZ44" s="203" t="str">
        <f t="shared" si="78"/>
        <v/>
      </c>
      <c r="CA44" s="204" t="str">
        <f t="shared" si="78"/>
        <v/>
      </c>
      <c r="CB44" s="205" t="str">
        <f t="shared" si="78"/>
        <v/>
      </c>
      <c r="CC44" s="203" t="str">
        <f t="shared" si="78"/>
        <v/>
      </c>
      <c r="CD44" s="203" t="str">
        <f t="shared" si="78"/>
        <v/>
      </c>
      <c r="CE44" s="204" t="str">
        <f t="shared" si="78"/>
        <v/>
      </c>
    </row>
    <row r="45" spans="1:87" ht="18" customHeight="1">
      <c r="A45" s="22">
        <f>+TABELLA!E49</f>
        <v>0</v>
      </c>
      <c r="B45" s="22">
        <f>+TABELLA!F49</f>
        <v>0</v>
      </c>
      <c r="C45" s="22">
        <f>+TABELLA!G49</f>
        <v>0</v>
      </c>
      <c r="D45" s="22">
        <f>+TABELLA!H49</f>
        <v>0</v>
      </c>
      <c r="E45" s="22"/>
      <c r="F45" s="41" t="str">
        <f>IF(TABELLA!B49="","",TABELLA!B49)</f>
        <v/>
      </c>
      <c r="G45" s="42" t="str">
        <f>IF(TABELLA!C49="","",TABELLA!C49)</f>
        <v/>
      </c>
      <c r="H45" s="206" t="str">
        <f t="shared" si="2"/>
        <v/>
      </c>
      <c r="I45" s="206" t="str">
        <f t="shared" ref="I45:BO45" si="79">IF(AND(H$3&gt;=$A45,H$3&lt;$B45),1,IF(AND(H$3&gt;=$C45,H$3&lt;$D45),1,""))</f>
        <v/>
      </c>
      <c r="J45" s="206" t="str">
        <f t="shared" si="79"/>
        <v/>
      </c>
      <c r="K45" s="207" t="str">
        <f t="shared" si="79"/>
        <v/>
      </c>
      <c r="L45" s="208" t="str">
        <f t="shared" si="79"/>
        <v/>
      </c>
      <c r="M45" s="206" t="str">
        <f t="shared" si="79"/>
        <v/>
      </c>
      <c r="N45" s="206" t="str">
        <f t="shared" si="79"/>
        <v/>
      </c>
      <c r="O45" s="207" t="str">
        <f t="shared" si="79"/>
        <v/>
      </c>
      <c r="P45" s="208" t="str">
        <f t="shared" si="79"/>
        <v/>
      </c>
      <c r="Q45" s="206" t="str">
        <f t="shared" si="79"/>
        <v/>
      </c>
      <c r="R45" s="206" t="str">
        <f t="shared" si="79"/>
        <v/>
      </c>
      <c r="S45" s="207" t="str">
        <f t="shared" si="79"/>
        <v/>
      </c>
      <c r="T45" s="208" t="str">
        <f t="shared" si="79"/>
        <v/>
      </c>
      <c r="U45" s="206" t="str">
        <f t="shared" si="79"/>
        <v/>
      </c>
      <c r="V45" s="206" t="str">
        <f t="shared" si="79"/>
        <v/>
      </c>
      <c r="W45" s="207" t="str">
        <f t="shared" si="79"/>
        <v/>
      </c>
      <c r="X45" s="208" t="str">
        <f t="shared" si="79"/>
        <v/>
      </c>
      <c r="Y45" s="206" t="str">
        <f t="shared" si="79"/>
        <v/>
      </c>
      <c r="Z45" s="206" t="str">
        <f t="shared" si="79"/>
        <v/>
      </c>
      <c r="AA45" s="207" t="str">
        <f t="shared" si="79"/>
        <v/>
      </c>
      <c r="AB45" s="208" t="str">
        <f t="shared" si="79"/>
        <v/>
      </c>
      <c r="AC45" s="206" t="str">
        <f t="shared" si="79"/>
        <v/>
      </c>
      <c r="AD45" s="206" t="str">
        <f t="shared" si="79"/>
        <v/>
      </c>
      <c r="AE45" s="207" t="str">
        <f t="shared" si="79"/>
        <v/>
      </c>
      <c r="AF45" s="208" t="str">
        <f t="shared" si="79"/>
        <v/>
      </c>
      <c r="AG45" s="206" t="str">
        <f t="shared" si="79"/>
        <v/>
      </c>
      <c r="AH45" s="206" t="str">
        <f t="shared" si="79"/>
        <v/>
      </c>
      <c r="AI45" s="207" t="str">
        <f t="shared" si="79"/>
        <v/>
      </c>
      <c r="AJ45" s="208" t="str">
        <f t="shared" si="79"/>
        <v/>
      </c>
      <c r="AK45" s="206" t="str">
        <f t="shared" si="79"/>
        <v/>
      </c>
      <c r="AL45" s="206" t="str">
        <f t="shared" si="79"/>
        <v/>
      </c>
      <c r="AM45" s="207" t="str">
        <f t="shared" si="79"/>
        <v/>
      </c>
      <c r="AN45" s="208" t="str">
        <f t="shared" si="79"/>
        <v/>
      </c>
      <c r="AO45" s="206" t="str">
        <f t="shared" si="79"/>
        <v/>
      </c>
      <c r="AP45" s="206" t="str">
        <f t="shared" si="79"/>
        <v/>
      </c>
      <c r="AQ45" s="207" t="str">
        <f t="shared" si="79"/>
        <v/>
      </c>
      <c r="AR45" s="208" t="str">
        <f t="shared" si="79"/>
        <v/>
      </c>
      <c r="AS45" s="206" t="str">
        <f t="shared" si="79"/>
        <v/>
      </c>
      <c r="AT45" s="206" t="str">
        <f t="shared" si="79"/>
        <v/>
      </c>
      <c r="AU45" s="207" t="str">
        <f t="shared" si="79"/>
        <v/>
      </c>
      <c r="AV45" s="208" t="str">
        <f t="shared" si="79"/>
        <v/>
      </c>
      <c r="AW45" s="206" t="str">
        <f t="shared" si="79"/>
        <v/>
      </c>
      <c r="AX45" s="206" t="str">
        <f t="shared" si="79"/>
        <v/>
      </c>
      <c r="AY45" s="207" t="str">
        <f t="shared" si="79"/>
        <v/>
      </c>
      <c r="AZ45" s="208" t="str">
        <f t="shared" si="79"/>
        <v/>
      </c>
      <c r="BA45" s="206" t="str">
        <f t="shared" si="79"/>
        <v/>
      </c>
      <c r="BB45" s="206" t="str">
        <f t="shared" si="79"/>
        <v/>
      </c>
      <c r="BC45" s="207" t="str">
        <f t="shared" si="79"/>
        <v/>
      </c>
      <c r="BD45" s="208" t="str">
        <f t="shared" si="79"/>
        <v/>
      </c>
      <c r="BE45" s="206" t="str">
        <f t="shared" si="79"/>
        <v/>
      </c>
      <c r="BF45" s="206" t="str">
        <f t="shared" si="79"/>
        <v/>
      </c>
      <c r="BG45" s="207" t="str">
        <f t="shared" si="79"/>
        <v/>
      </c>
      <c r="BH45" s="208" t="str">
        <f t="shared" si="79"/>
        <v/>
      </c>
      <c r="BI45" s="206" t="str">
        <f t="shared" si="79"/>
        <v/>
      </c>
      <c r="BJ45" s="206" t="str">
        <f t="shared" si="79"/>
        <v/>
      </c>
      <c r="BK45" s="207" t="str">
        <f t="shared" si="79"/>
        <v/>
      </c>
      <c r="BL45" s="208" t="str">
        <f t="shared" si="79"/>
        <v/>
      </c>
      <c r="BM45" s="206" t="str">
        <f t="shared" si="79"/>
        <v/>
      </c>
      <c r="BN45" s="206" t="str">
        <f t="shared" si="79"/>
        <v/>
      </c>
      <c r="BO45" s="207" t="str">
        <f t="shared" si="79"/>
        <v/>
      </c>
      <c r="BP45" s="208" t="str">
        <f t="shared" ref="BP45:CE45" si="80">IF(AND(BO$3&gt;=$A45,BO$3&lt;$B45),1,IF(AND(BO$3&gt;=$C45,BO$3&lt;$D45),1,""))</f>
        <v/>
      </c>
      <c r="BQ45" s="206" t="str">
        <f t="shared" si="80"/>
        <v/>
      </c>
      <c r="BR45" s="206" t="str">
        <f t="shared" si="80"/>
        <v/>
      </c>
      <c r="BS45" s="207" t="str">
        <f t="shared" si="80"/>
        <v/>
      </c>
      <c r="BT45" s="208" t="str">
        <f t="shared" si="80"/>
        <v/>
      </c>
      <c r="BU45" s="206" t="str">
        <f t="shared" si="80"/>
        <v/>
      </c>
      <c r="BV45" s="206" t="str">
        <f t="shared" si="80"/>
        <v/>
      </c>
      <c r="BW45" s="207" t="str">
        <f t="shared" si="80"/>
        <v/>
      </c>
      <c r="BX45" s="208" t="str">
        <f t="shared" si="80"/>
        <v/>
      </c>
      <c r="BY45" s="206" t="str">
        <f t="shared" si="80"/>
        <v/>
      </c>
      <c r="BZ45" s="206" t="str">
        <f t="shared" si="80"/>
        <v/>
      </c>
      <c r="CA45" s="207" t="str">
        <f t="shared" si="80"/>
        <v/>
      </c>
      <c r="CB45" s="208" t="str">
        <f t="shared" si="80"/>
        <v/>
      </c>
      <c r="CC45" s="206" t="str">
        <f t="shared" si="80"/>
        <v/>
      </c>
      <c r="CD45" s="206" t="str">
        <f t="shared" si="80"/>
        <v/>
      </c>
      <c r="CE45" s="207" t="str">
        <f t="shared" si="80"/>
        <v/>
      </c>
    </row>
    <row r="46" spans="1:87" ht="20.100000000000001" customHeight="1">
      <c r="F46" s="9">
        <v>1</v>
      </c>
      <c r="G46" s="10" t="s">
        <v>80</v>
      </c>
      <c r="H46" s="177">
        <f t="shared" ref="H46:Q54" si="81">SUMIF($F$6:$F$45,$F46,H$6:H$45)</f>
        <v>0</v>
      </c>
      <c r="I46" s="178">
        <f t="shared" si="81"/>
        <v>0</v>
      </c>
      <c r="J46" s="178">
        <f t="shared" si="81"/>
        <v>0</v>
      </c>
      <c r="K46" s="179">
        <f t="shared" si="81"/>
        <v>0</v>
      </c>
      <c r="L46" s="177">
        <f t="shared" si="81"/>
        <v>0</v>
      </c>
      <c r="M46" s="178">
        <f t="shared" si="81"/>
        <v>0</v>
      </c>
      <c r="N46" s="178">
        <f t="shared" si="81"/>
        <v>0</v>
      </c>
      <c r="O46" s="179">
        <f t="shared" si="81"/>
        <v>0</v>
      </c>
      <c r="P46" s="177">
        <f t="shared" si="81"/>
        <v>0</v>
      </c>
      <c r="Q46" s="178">
        <f t="shared" si="81"/>
        <v>0</v>
      </c>
      <c r="R46" s="178">
        <f t="shared" ref="R46:AA54" si="82">SUMIF($F$6:$F$45,$F46,R$6:R$45)</f>
        <v>0</v>
      </c>
      <c r="S46" s="179">
        <f t="shared" si="82"/>
        <v>0</v>
      </c>
      <c r="T46" s="177">
        <f t="shared" si="82"/>
        <v>0</v>
      </c>
      <c r="U46" s="178">
        <f t="shared" si="82"/>
        <v>0</v>
      </c>
      <c r="V46" s="178">
        <f t="shared" si="82"/>
        <v>0</v>
      </c>
      <c r="W46" s="179">
        <f t="shared" si="82"/>
        <v>0</v>
      </c>
      <c r="X46" s="177">
        <f t="shared" si="82"/>
        <v>0</v>
      </c>
      <c r="Y46" s="178">
        <f t="shared" si="82"/>
        <v>0</v>
      </c>
      <c r="Z46" s="178">
        <f t="shared" si="82"/>
        <v>0</v>
      </c>
      <c r="AA46" s="179">
        <f t="shared" si="82"/>
        <v>0</v>
      </c>
      <c r="AB46" s="177">
        <f t="shared" ref="AB46:AK54" si="83">SUMIF($F$6:$F$45,$F46,AB$6:AB$45)</f>
        <v>0</v>
      </c>
      <c r="AC46" s="178">
        <f t="shared" si="83"/>
        <v>0</v>
      </c>
      <c r="AD46" s="178">
        <f t="shared" si="83"/>
        <v>0</v>
      </c>
      <c r="AE46" s="179">
        <f t="shared" si="83"/>
        <v>0</v>
      </c>
      <c r="AF46" s="177">
        <f t="shared" si="83"/>
        <v>0</v>
      </c>
      <c r="AG46" s="178">
        <f t="shared" si="83"/>
        <v>0</v>
      </c>
      <c r="AH46" s="178">
        <f t="shared" si="83"/>
        <v>0</v>
      </c>
      <c r="AI46" s="179">
        <f t="shared" si="83"/>
        <v>0</v>
      </c>
      <c r="AJ46" s="177">
        <f t="shared" si="83"/>
        <v>0</v>
      </c>
      <c r="AK46" s="178">
        <f t="shared" si="83"/>
        <v>0</v>
      </c>
      <c r="AL46" s="178">
        <f t="shared" ref="AL46:AU54" si="84">SUMIF($F$6:$F$45,$F46,AL$6:AL$45)</f>
        <v>0</v>
      </c>
      <c r="AM46" s="179">
        <f t="shared" si="84"/>
        <v>0</v>
      </c>
      <c r="AN46" s="177">
        <f t="shared" si="84"/>
        <v>0</v>
      </c>
      <c r="AO46" s="178">
        <f t="shared" si="84"/>
        <v>0</v>
      </c>
      <c r="AP46" s="178">
        <f t="shared" si="84"/>
        <v>0</v>
      </c>
      <c r="AQ46" s="179">
        <f t="shared" si="84"/>
        <v>0</v>
      </c>
      <c r="AR46" s="177">
        <f t="shared" si="84"/>
        <v>0</v>
      </c>
      <c r="AS46" s="178">
        <f t="shared" si="84"/>
        <v>0</v>
      </c>
      <c r="AT46" s="178">
        <f t="shared" si="84"/>
        <v>0</v>
      </c>
      <c r="AU46" s="179">
        <f t="shared" si="84"/>
        <v>0</v>
      </c>
      <c r="AV46" s="177">
        <f t="shared" ref="AV46:BE54" si="85">SUMIF($F$6:$F$45,$F46,AV$6:AV$45)</f>
        <v>0</v>
      </c>
      <c r="AW46" s="178">
        <f t="shared" si="85"/>
        <v>0</v>
      </c>
      <c r="AX46" s="178">
        <f t="shared" si="85"/>
        <v>0</v>
      </c>
      <c r="AY46" s="179">
        <f t="shared" si="85"/>
        <v>0</v>
      </c>
      <c r="AZ46" s="177">
        <f t="shared" si="85"/>
        <v>0</v>
      </c>
      <c r="BA46" s="178">
        <f t="shared" si="85"/>
        <v>0</v>
      </c>
      <c r="BB46" s="178">
        <f t="shared" si="85"/>
        <v>0</v>
      </c>
      <c r="BC46" s="179">
        <f t="shared" si="85"/>
        <v>0</v>
      </c>
      <c r="BD46" s="177">
        <f t="shared" si="85"/>
        <v>0</v>
      </c>
      <c r="BE46" s="178">
        <f t="shared" si="85"/>
        <v>0</v>
      </c>
      <c r="BF46" s="178">
        <f t="shared" ref="BF46:BO54" si="86">SUMIF($F$6:$F$45,$F46,BF$6:BF$45)</f>
        <v>0</v>
      </c>
      <c r="BG46" s="179">
        <f t="shared" si="86"/>
        <v>0</v>
      </c>
      <c r="BH46" s="177">
        <f t="shared" si="86"/>
        <v>0</v>
      </c>
      <c r="BI46" s="178">
        <f t="shared" si="86"/>
        <v>0</v>
      </c>
      <c r="BJ46" s="178">
        <f t="shared" si="86"/>
        <v>0</v>
      </c>
      <c r="BK46" s="179">
        <f t="shared" si="86"/>
        <v>0</v>
      </c>
      <c r="BL46" s="177">
        <f t="shared" si="86"/>
        <v>0</v>
      </c>
      <c r="BM46" s="178">
        <f t="shared" si="86"/>
        <v>0</v>
      </c>
      <c r="BN46" s="178">
        <f t="shared" si="86"/>
        <v>0</v>
      </c>
      <c r="BO46" s="179">
        <f t="shared" si="86"/>
        <v>0</v>
      </c>
      <c r="BP46" s="177">
        <f t="shared" ref="BP46:BY54" si="87">SUMIF($F$6:$F$45,$F46,BP$6:BP$45)</f>
        <v>0</v>
      </c>
      <c r="BQ46" s="178">
        <f t="shared" si="87"/>
        <v>0</v>
      </c>
      <c r="BR46" s="178">
        <f t="shared" si="87"/>
        <v>0</v>
      </c>
      <c r="BS46" s="179">
        <f t="shared" si="87"/>
        <v>0</v>
      </c>
      <c r="BT46" s="177">
        <f t="shared" si="87"/>
        <v>0</v>
      </c>
      <c r="BU46" s="178">
        <f t="shared" si="87"/>
        <v>0</v>
      </c>
      <c r="BV46" s="178">
        <f t="shared" si="87"/>
        <v>0</v>
      </c>
      <c r="BW46" s="179">
        <f t="shared" si="87"/>
        <v>0</v>
      </c>
      <c r="BX46" s="177">
        <f t="shared" si="87"/>
        <v>0</v>
      </c>
      <c r="BY46" s="178">
        <f t="shared" si="87"/>
        <v>0</v>
      </c>
      <c r="BZ46" s="178">
        <f t="shared" ref="BZ46:CE54" si="88">SUMIF($F$6:$F$45,$F46,BZ$6:BZ$45)</f>
        <v>0</v>
      </c>
      <c r="CA46" s="179">
        <f t="shared" si="88"/>
        <v>0</v>
      </c>
      <c r="CB46" s="177">
        <f t="shared" si="88"/>
        <v>0</v>
      </c>
      <c r="CC46" s="178">
        <f t="shared" si="88"/>
        <v>0</v>
      </c>
      <c r="CD46" s="178">
        <f t="shared" si="88"/>
        <v>0</v>
      </c>
      <c r="CE46" s="179">
        <f t="shared" si="88"/>
        <v>0</v>
      </c>
      <c r="CF46" s="13"/>
      <c r="CG46" s="13"/>
      <c r="CH46" s="13"/>
      <c r="CI46" s="13"/>
    </row>
    <row r="47" spans="1:87" ht="20.100000000000001" customHeight="1">
      <c r="F47" s="3">
        <v>2</v>
      </c>
      <c r="G47" s="4" t="s">
        <v>11</v>
      </c>
      <c r="H47" s="180">
        <f t="shared" si="81"/>
        <v>0</v>
      </c>
      <c r="I47" s="181">
        <f t="shared" si="81"/>
        <v>0</v>
      </c>
      <c r="J47" s="181">
        <f t="shared" si="81"/>
        <v>0</v>
      </c>
      <c r="K47" s="182">
        <f t="shared" si="81"/>
        <v>0</v>
      </c>
      <c r="L47" s="180">
        <f t="shared" si="81"/>
        <v>0</v>
      </c>
      <c r="M47" s="181">
        <f t="shared" si="81"/>
        <v>0</v>
      </c>
      <c r="N47" s="181">
        <f t="shared" si="81"/>
        <v>0</v>
      </c>
      <c r="O47" s="182">
        <f t="shared" si="81"/>
        <v>0</v>
      </c>
      <c r="P47" s="180">
        <f t="shared" si="81"/>
        <v>0</v>
      </c>
      <c r="Q47" s="181">
        <f t="shared" si="81"/>
        <v>0</v>
      </c>
      <c r="R47" s="181">
        <f t="shared" si="82"/>
        <v>0</v>
      </c>
      <c r="S47" s="182">
        <f t="shared" si="82"/>
        <v>0</v>
      </c>
      <c r="T47" s="180">
        <f t="shared" si="82"/>
        <v>0</v>
      </c>
      <c r="U47" s="181">
        <f t="shared" si="82"/>
        <v>0</v>
      </c>
      <c r="V47" s="181">
        <f t="shared" si="82"/>
        <v>0</v>
      </c>
      <c r="W47" s="182">
        <f t="shared" si="82"/>
        <v>0</v>
      </c>
      <c r="X47" s="180">
        <f t="shared" si="82"/>
        <v>0</v>
      </c>
      <c r="Y47" s="181">
        <f t="shared" si="82"/>
        <v>0</v>
      </c>
      <c r="Z47" s="181">
        <f t="shared" si="82"/>
        <v>0</v>
      </c>
      <c r="AA47" s="182">
        <f t="shared" si="82"/>
        <v>0</v>
      </c>
      <c r="AB47" s="180">
        <f t="shared" si="83"/>
        <v>0</v>
      </c>
      <c r="AC47" s="181">
        <f t="shared" si="83"/>
        <v>0</v>
      </c>
      <c r="AD47" s="181">
        <f t="shared" si="83"/>
        <v>0</v>
      </c>
      <c r="AE47" s="182">
        <f t="shared" si="83"/>
        <v>0</v>
      </c>
      <c r="AF47" s="180">
        <f t="shared" si="83"/>
        <v>0</v>
      </c>
      <c r="AG47" s="181">
        <f t="shared" si="83"/>
        <v>0</v>
      </c>
      <c r="AH47" s="181">
        <f t="shared" si="83"/>
        <v>0</v>
      </c>
      <c r="AI47" s="182">
        <f t="shared" si="83"/>
        <v>0</v>
      </c>
      <c r="AJ47" s="180">
        <f t="shared" si="83"/>
        <v>0</v>
      </c>
      <c r="AK47" s="181">
        <f t="shared" si="83"/>
        <v>0</v>
      </c>
      <c r="AL47" s="181">
        <f t="shared" si="84"/>
        <v>0</v>
      </c>
      <c r="AM47" s="182">
        <f t="shared" si="84"/>
        <v>0</v>
      </c>
      <c r="AN47" s="180">
        <f t="shared" si="84"/>
        <v>0</v>
      </c>
      <c r="AO47" s="181">
        <f t="shared" si="84"/>
        <v>0</v>
      </c>
      <c r="AP47" s="181">
        <f t="shared" si="84"/>
        <v>0</v>
      </c>
      <c r="AQ47" s="182">
        <f t="shared" si="84"/>
        <v>0</v>
      </c>
      <c r="AR47" s="180">
        <f t="shared" si="84"/>
        <v>0</v>
      </c>
      <c r="AS47" s="181">
        <f t="shared" si="84"/>
        <v>0</v>
      </c>
      <c r="AT47" s="181">
        <f t="shared" si="84"/>
        <v>0</v>
      </c>
      <c r="AU47" s="182">
        <f t="shared" si="84"/>
        <v>0</v>
      </c>
      <c r="AV47" s="180">
        <f t="shared" si="85"/>
        <v>0</v>
      </c>
      <c r="AW47" s="181">
        <f t="shared" si="85"/>
        <v>0</v>
      </c>
      <c r="AX47" s="181">
        <f t="shared" si="85"/>
        <v>0</v>
      </c>
      <c r="AY47" s="182">
        <f t="shared" si="85"/>
        <v>0</v>
      </c>
      <c r="AZ47" s="180">
        <f t="shared" si="85"/>
        <v>0</v>
      </c>
      <c r="BA47" s="181">
        <f t="shared" si="85"/>
        <v>0</v>
      </c>
      <c r="BB47" s="181">
        <f t="shared" si="85"/>
        <v>0</v>
      </c>
      <c r="BC47" s="182">
        <f t="shared" si="85"/>
        <v>0</v>
      </c>
      <c r="BD47" s="180">
        <f t="shared" si="85"/>
        <v>0</v>
      </c>
      <c r="BE47" s="181">
        <f t="shared" si="85"/>
        <v>0</v>
      </c>
      <c r="BF47" s="181">
        <f t="shared" si="86"/>
        <v>0</v>
      </c>
      <c r="BG47" s="182">
        <f t="shared" si="86"/>
        <v>0</v>
      </c>
      <c r="BH47" s="180">
        <f t="shared" si="86"/>
        <v>0</v>
      </c>
      <c r="BI47" s="181">
        <f t="shared" si="86"/>
        <v>0</v>
      </c>
      <c r="BJ47" s="181">
        <f t="shared" si="86"/>
        <v>0</v>
      </c>
      <c r="BK47" s="182">
        <f t="shared" si="86"/>
        <v>0</v>
      </c>
      <c r="BL47" s="180">
        <f t="shared" si="86"/>
        <v>0</v>
      </c>
      <c r="BM47" s="181">
        <f t="shared" si="86"/>
        <v>0</v>
      </c>
      <c r="BN47" s="181">
        <f t="shared" si="86"/>
        <v>0</v>
      </c>
      <c r="BO47" s="182">
        <f t="shared" si="86"/>
        <v>0</v>
      </c>
      <c r="BP47" s="180">
        <f t="shared" si="87"/>
        <v>0</v>
      </c>
      <c r="BQ47" s="181">
        <f t="shared" si="87"/>
        <v>0</v>
      </c>
      <c r="BR47" s="181">
        <f t="shared" si="87"/>
        <v>0</v>
      </c>
      <c r="BS47" s="182">
        <f t="shared" si="87"/>
        <v>0</v>
      </c>
      <c r="BT47" s="180">
        <f t="shared" si="87"/>
        <v>0</v>
      </c>
      <c r="BU47" s="181">
        <f t="shared" si="87"/>
        <v>0</v>
      </c>
      <c r="BV47" s="181">
        <f t="shared" si="87"/>
        <v>0</v>
      </c>
      <c r="BW47" s="182">
        <f t="shared" si="87"/>
        <v>0</v>
      </c>
      <c r="BX47" s="180">
        <f t="shared" si="87"/>
        <v>0</v>
      </c>
      <c r="BY47" s="181">
        <f t="shared" si="87"/>
        <v>0</v>
      </c>
      <c r="BZ47" s="181">
        <f t="shared" si="88"/>
        <v>0</v>
      </c>
      <c r="CA47" s="182">
        <f t="shared" si="88"/>
        <v>0</v>
      </c>
      <c r="CB47" s="180">
        <f t="shared" si="88"/>
        <v>0</v>
      </c>
      <c r="CC47" s="181">
        <f t="shared" si="88"/>
        <v>0</v>
      </c>
      <c r="CD47" s="181">
        <f t="shared" si="88"/>
        <v>0</v>
      </c>
      <c r="CE47" s="182">
        <f t="shared" si="88"/>
        <v>0</v>
      </c>
      <c r="CF47" s="13"/>
      <c r="CG47" s="13"/>
      <c r="CH47" s="13"/>
      <c r="CI47" s="13"/>
    </row>
    <row r="48" spans="1:87" ht="20.100000000000001" customHeight="1">
      <c r="F48" s="198">
        <v>3</v>
      </c>
      <c r="G48" s="199" t="s">
        <v>12</v>
      </c>
      <c r="H48" s="219">
        <f t="shared" si="81"/>
        <v>0</v>
      </c>
      <c r="I48" s="220">
        <f t="shared" si="81"/>
        <v>0</v>
      </c>
      <c r="J48" s="220">
        <f t="shared" si="81"/>
        <v>0</v>
      </c>
      <c r="K48" s="221">
        <f t="shared" si="81"/>
        <v>0</v>
      </c>
      <c r="L48" s="219">
        <f t="shared" si="81"/>
        <v>0</v>
      </c>
      <c r="M48" s="220">
        <f t="shared" si="81"/>
        <v>0</v>
      </c>
      <c r="N48" s="220">
        <f t="shared" si="81"/>
        <v>0</v>
      </c>
      <c r="O48" s="221">
        <f t="shared" si="81"/>
        <v>0</v>
      </c>
      <c r="P48" s="219">
        <f t="shared" si="81"/>
        <v>0</v>
      </c>
      <c r="Q48" s="220">
        <f t="shared" si="81"/>
        <v>0</v>
      </c>
      <c r="R48" s="220">
        <f t="shared" si="82"/>
        <v>0</v>
      </c>
      <c r="S48" s="221">
        <f t="shared" si="82"/>
        <v>0</v>
      </c>
      <c r="T48" s="219">
        <f t="shared" si="82"/>
        <v>0</v>
      </c>
      <c r="U48" s="220">
        <f t="shared" si="82"/>
        <v>0</v>
      </c>
      <c r="V48" s="220">
        <f t="shared" si="82"/>
        <v>0</v>
      </c>
      <c r="W48" s="221">
        <f t="shared" si="82"/>
        <v>0</v>
      </c>
      <c r="X48" s="219">
        <f t="shared" si="82"/>
        <v>0</v>
      </c>
      <c r="Y48" s="220">
        <f t="shared" si="82"/>
        <v>0</v>
      </c>
      <c r="Z48" s="220">
        <f t="shared" si="82"/>
        <v>0</v>
      </c>
      <c r="AA48" s="221">
        <f t="shared" si="82"/>
        <v>0</v>
      </c>
      <c r="AB48" s="219">
        <f t="shared" si="83"/>
        <v>0</v>
      </c>
      <c r="AC48" s="220">
        <f t="shared" si="83"/>
        <v>0</v>
      </c>
      <c r="AD48" s="220">
        <f t="shared" si="83"/>
        <v>0</v>
      </c>
      <c r="AE48" s="221">
        <f t="shared" si="83"/>
        <v>0</v>
      </c>
      <c r="AF48" s="219">
        <f t="shared" si="83"/>
        <v>0</v>
      </c>
      <c r="AG48" s="220">
        <f t="shared" si="83"/>
        <v>0</v>
      </c>
      <c r="AH48" s="220">
        <f t="shared" si="83"/>
        <v>0</v>
      </c>
      <c r="AI48" s="221">
        <f t="shared" si="83"/>
        <v>0</v>
      </c>
      <c r="AJ48" s="219">
        <f t="shared" si="83"/>
        <v>0</v>
      </c>
      <c r="AK48" s="220">
        <f t="shared" si="83"/>
        <v>0</v>
      </c>
      <c r="AL48" s="220">
        <f t="shared" si="84"/>
        <v>0</v>
      </c>
      <c r="AM48" s="221">
        <f t="shared" si="84"/>
        <v>0</v>
      </c>
      <c r="AN48" s="219">
        <f t="shared" si="84"/>
        <v>0</v>
      </c>
      <c r="AO48" s="220">
        <f t="shared" si="84"/>
        <v>0</v>
      </c>
      <c r="AP48" s="220">
        <f t="shared" si="84"/>
        <v>0</v>
      </c>
      <c r="AQ48" s="221">
        <f t="shared" si="84"/>
        <v>0</v>
      </c>
      <c r="AR48" s="219">
        <f t="shared" si="84"/>
        <v>0</v>
      </c>
      <c r="AS48" s="220">
        <f t="shared" si="84"/>
        <v>0</v>
      </c>
      <c r="AT48" s="220">
        <f t="shared" si="84"/>
        <v>0</v>
      </c>
      <c r="AU48" s="221">
        <f t="shared" si="84"/>
        <v>0</v>
      </c>
      <c r="AV48" s="219">
        <f t="shared" si="85"/>
        <v>0</v>
      </c>
      <c r="AW48" s="220">
        <f t="shared" si="85"/>
        <v>0</v>
      </c>
      <c r="AX48" s="220">
        <f t="shared" si="85"/>
        <v>0</v>
      </c>
      <c r="AY48" s="221">
        <f t="shared" si="85"/>
        <v>0</v>
      </c>
      <c r="AZ48" s="219">
        <f t="shared" si="85"/>
        <v>0</v>
      </c>
      <c r="BA48" s="220">
        <f t="shared" si="85"/>
        <v>0</v>
      </c>
      <c r="BB48" s="220">
        <f t="shared" si="85"/>
        <v>0</v>
      </c>
      <c r="BC48" s="221">
        <f t="shared" si="85"/>
        <v>0</v>
      </c>
      <c r="BD48" s="219">
        <f t="shared" si="85"/>
        <v>0</v>
      </c>
      <c r="BE48" s="220">
        <f t="shared" si="85"/>
        <v>0</v>
      </c>
      <c r="BF48" s="220">
        <f t="shared" si="86"/>
        <v>0</v>
      </c>
      <c r="BG48" s="221">
        <f t="shared" si="86"/>
        <v>0</v>
      </c>
      <c r="BH48" s="219">
        <f t="shared" si="86"/>
        <v>0</v>
      </c>
      <c r="BI48" s="220">
        <f t="shared" si="86"/>
        <v>0</v>
      </c>
      <c r="BJ48" s="220">
        <f t="shared" si="86"/>
        <v>0</v>
      </c>
      <c r="BK48" s="221">
        <f t="shared" si="86"/>
        <v>0</v>
      </c>
      <c r="BL48" s="219">
        <f t="shared" si="86"/>
        <v>0</v>
      </c>
      <c r="BM48" s="220">
        <f t="shared" si="86"/>
        <v>0</v>
      </c>
      <c r="BN48" s="220">
        <f t="shared" si="86"/>
        <v>0</v>
      </c>
      <c r="BO48" s="221">
        <f t="shared" si="86"/>
        <v>0</v>
      </c>
      <c r="BP48" s="219">
        <f t="shared" si="87"/>
        <v>0</v>
      </c>
      <c r="BQ48" s="220">
        <f t="shared" si="87"/>
        <v>0</v>
      </c>
      <c r="BR48" s="220">
        <f t="shared" si="87"/>
        <v>0</v>
      </c>
      <c r="BS48" s="221">
        <f t="shared" si="87"/>
        <v>0</v>
      </c>
      <c r="BT48" s="219">
        <f t="shared" si="87"/>
        <v>0</v>
      </c>
      <c r="BU48" s="220">
        <f t="shared" si="87"/>
        <v>0</v>
      </c>
      <c r="BV48" s="220">
        <f t="shared" si="87"/>
        <v>0</v>
      </c>
      <c r="BW48" s="221">
        <f t="shared" si="87"/>
        <v>0</v>
      </c>
      <c r="BX48" s="219">
        <f t="shared" si="87"/>
        <v>0</v>
      </c>
      <c r="BY48" s="220">
        <f t="shared" si="87"/>
        <v>0</v>
      </c>
      <c r="BZ48" s="220">
        <f t="shared" si="88"/>
        <v>0</v>
      </c>
      <c r="CA48" s="221">
        <f t="shared" si="88"/>
        <v>0</v>
      </c>
      <c r="CB48" s="219">
        <f t="shared" si="88"/>
        <v>0</v>
      </c>
      <c r="CC48" s="220">
        <f t="shared" si="88"/>
        <v>0</v>
      </c>
      <c r="CD48" s="220">
        <f t="shared" si="88"/>
        <v>0</v>
      </c>
      <c r="CE48" s="221">
        <f t="shared" si="88"/>
        <v>0</v>
      </c>
      <c r="CF48" s="13"/>
      <c r="CG48" s="13"/>
      <c r="CH48" s="13"/>
      <c r="CI48" s="13"/>
    </row>
    <row r="49" spans="1:87" ht="20.100000000000001" customHeight="1">
      <c r="B49" s="28"/>
      <c r="F49" s="1">
        <v>4</v>
      </c>
      <c r="G49" s="2" t="s">
        <v>81</v>
      </c>
      <c r="H49" s="214">
        <f t="shared" si="81"/>
        <v>0</v>
      </c>
      <c r="I49" s="215">
        <f t="shared" si="81"/>
        <v>0</v>
      </c>
      <c r="J49" s="215">
        <f t="shared" si="81"/>
        <v>0</v>
      </c>
      <c r="K49" s="216">
        <f t="shared" si="81"/>
        <v>0</v>
      </c>
      <c r="L49" s="214">
        <f t="shared" si="81"/>
        <v>0</v>
      </c>
      <c r="M49" s="215">
        <f t="shared" si="81"/>
        <v>0</v>
      </c>
      <c r="N49" s="215">
        <f t="shared" si="81"/>
        <v>0</v>
      </c>
      <c r="O49" s="216">
        <f t="shared" si="81"/>
        <v>0</v>
      </c>
      <c r="P49" s="214">
        <f t="shared" si="81"/>
        <v>0</v>
      </c>
      <c r="Q49" s="215">
        <f t="shared" si="81"/>
        <v>0</v>
      </c>
      <c r="R49" s="215">
        <f t="shared" si="82"/>
        <v>0</v>
      </c>
      <c r="S49" s="216">
        <f t="shared" si="82"/>
        <v>0</v>
      </c>
      <c r="T49" s="214">
        <f t="shared" si="82"/>
        <v>0</v>
      </c>
      <c r="U49" s="215">
        <f t="shared" si="82"/>
        <v>0</v>
      </c>
      <c r="V49" s="215">
        <f t="shared" si="82"/>
        <v>0</v>
      </c>
      <c r="W49" s="216">
        <f t="shared" si="82"/>
        <v>0</v>
      </c>
      <c r="X49" s="214">
        <f t="shared" si="82"/>
        <v>0</v>
      </c>
      <c r="Y49" s="215">
        <f t="shared" si="82"/>
        <v>0</v>
      </c>
      <c r="Z49" s="215">
        <f t="shared" si="82"/>
        <v>0</v>
      </c>
      <c r="AA49" s="216">
        <f t="shared" si="82"/>
        <v>0</v>
      </c>
      <c r="AB49" s="214">
        <f t="shared" si="83"/>
        <v>0</v>
      </c>
      <c r="AC49" s="215">
        <f t="shared" si="83"/>
        <v>0</v>
      </c>
      <c r="AD49" s="215">
        <f t="shared" si="83"/>
        <v>0</v>
      </c>
      <c r="AE49" s="216">
        <f t="shared" si="83"/>
        <v>0</v>
      </c>
      <c r="AF49" s="214">
        <f t="shared" si="83"/>
        <v>0</v>
      </c>
      <c r="AG49" s="215">
        <f t="shared" si="83"/>
        <v>0</v>
      </c>
      <c r="AH49" s="215">
        <f t="shared" si="83"/>
        <v>0</v>
      </c>
      <c r="AI49" s="216">
        <f t="shared" si="83"/>
        <v>0</v>
      </c>
      <c r="AJ49" s="214">
        <f t="shared" si="83"/>
        <v>0</v>
      </c>
      <c r="AK49" s="215">
        <f t="shared" si="83"/>
        <v>0</v>
      </c>
      <c r="AL49" s="215">
        <f t="shared" si="84"/>
        <v>0</v>
      </c>
      <c r="AM49" s="216">
        <f t="shared" si="84"/>
        <v>0</v>
      </c>
      <c r="AN49" s="214">
        <f t="shared" si="84"/>
        <v>0</v>
      </c>
      <c r="AO49" s="215">
        <f t="shared" si="84"/>
        <v>0</v>
      </c>
      <c r="AP49" s="215">
        <f t="shared" si="84"/>
        <v>0</v>
      </c>
      <c r="AQ49" s="216">
        <f t="shared" si="84"/>
        <v>0</v>
      </c>
      <c r="AR49" s="214">
        <f t="shared" si="84"/>
        <v>0</v>
      </c>
      <c r="AS49" s="215">
        <f t="shared" si="84"/>
        <v>0</v>
      </c>
      <c r="AT49" s="215">
        <f t="shared" si="84"/>
        <v>0</v>
      </c>
      <c r="AU49" s="216">
        <f t="shared" si="84"/>
        <v>0</v>
      </c>
      <c r="AV49" s="214">
        <f t="shared" si="85"/>
        <v>0</v>
      </c>
      <c r="AW49" s="215">
        <f t="shared" si="85"/>
        <v>0</v>
      </c>
      <c r="AX49" s="215">
        <f t="shared" si="85"/>
        <v>0</v>
      </c>
      <c r="AY49" s="216">
        <f t="shared" si="85"/>
        <v>0</v>
      </c>
      <c r="AZ49" s="214">
        <f t="shared" si="85"/>
        <v>0</v>
      </c>
      <c r="BA49" s="215">
        <f t="shared" si="85"/>
        <v>0</v>
      </c>
      <c r="BB49" s="215">
        <f t="shared" si="85"/>
        <v>0</v>
      </c>
      <c r="BC49" s="216">
        <f t="shared" si="85"/>
        <v>0</v>
      </c>
      <c r="BD49" s="214">
        <f t="shared" si="85"/>
        <v>0</v>
      </c>
      <c r="BE49" s="215">
        <f t="shared" si="85"/>
        <v>0</v>
      </c>
      <c r="BF49" s="215">
        <f t="shared" si="86"/>
        <v>0</v>
      </c>
      <c r="BG49" s="216">
        <f t="shared" si="86"/>
        <v>0</v>
      </c>
      <c r="BH49" s="214">
        <f t="shared" si="86"/>
        <v>0</v>
      </c>
      <c r="BI49" s="215">
        <f t="shared" si="86"/>
        <v>0</v>
      </c>
      <c r="BJ49" s="215">
        <f t="shared" si="86"/>
        <v>0</v>
      </c>
      <c r="BK49" s="216">
        <f t="shared" si="86"/>
        <v>0</v>
      </c>
      <c r="BL49" s="214">
        <f t="shared" si="86"/>
        <v>0</v>
      </c>
      <c r="BM49" s="215">
        <f t="shared" si="86"/>
        <v>0</v>
      </c>
      <c r="BN49" s="215">
        <f t="shared" si="86"/>
        <v>0</v>
      </c>
      <c r="BO49" s="216">
        <f t="shared" si="86"/>
        <v>0</v>
      </c>
      <c r="BP49" s="214">
        <f t="shared" si="87"/>
        <v>0</v>
      </c>
      <c r="BQ49" s="215">
        <f t="shared" si="87"/>
        <v>0</v>
      </c>
      <c r="BR49" s="215">
        <f t="shared" si="87"/>
        <v>0</v>
      </c>
      <c r="BS49" s="216">
        <f t="shared" si="87"/>
        <v>0</v>
      </c>
      <c r="BT49" s="214">
        <f t="shared" si="87"/>
        <v>0</v>
      </c>
      <c r="BU49" s="215">
        <f t="shared" si="87"/>
        <v>0</v>
      </c>
      <c r="BV49" s="215">
        <f t="shared" si="87"/>
        <v>0</v>
      </c>
      <c r="BW49" s="216">
        <f t="shared" si="87"/>
        <v>0</v>
      </c>
      <c r="BX49" s="214">
        <f t="shared" si="87"/>
        <v>0</v>
      </c>
      <c r="BY49" s="215">
        <f t="shared" si="87"/>
        <v>0</v>
      </c>
      <c r="BZ49" s="215">
        <f t="shared" si="88"/>
        <v>0</v>
      </c>
      <c r="CA49" s="216">
        <f t="shared" si="88"/>
        <v>0</v>
      </c>
      <c r="CB49" s="214">
        <f t="shared" si="88"/>
        <v>0</v>
      </c>
      <c r="CC49" s="215">
        <f t="shared" si="88"/>
        <v>0</v>
      </c>
      <c r="CD49" s="215">
        <f t="shared" si="88"/>
        <v>0</v>
      </c>
      <c r="CE49" s="216">
        <f t="shared" si="88"/>
        <v>0</v>
      </c>
      <c r="CF49" s="13"/>
      <c r="CG49" s="13"/>
      <c r="CH49" s="13"/>
      <c r="CI49" s="13"/>
    </row>
    <row r="50" spans="1:87" ht="20.100000000000001" customHeight="1">
      <c r="F50" s="217">
        <v>8</v>
      </c>
      <c r="G50" s="218" t="s">
        <v>14</v>
      </c>
      <c r="H50" s="183">
        <f t="shared" si="81"/>
        <v>0</v>
      </c>
      <c r="I50" s="184">
        <f t="shared" si="81"/>
        <v>0</v>
      </c>
      <c r="J50" s="184">
        <f t="shared" si="81"/>
        <v>0</v>
      </c>
      <c r="K50" s="185">
        <f t="shared" si="81"/>
        <v>0</v>
      </c>
      <c r="L50" s="183">
        <f t="shared" si="81"/>
        <v>0</v>
      </c>
      <c r="M50" s="184">
        <f t="shared" si="81"/>
        <v>0</v>
      </c>
      <c r="N50" s="184">
        <f t="shared" si="81"/>
        <v>0</v>
      </c>
      <c r="O50" s="185">
        <f t="shared" si="81"/>
        <v>0</v>
      </c>
      <c r="P50" s="183">
        <f t="shared" si="81"/>
        <v>0</v>
      </c>
      <c r="Q50" s="184">
        <f t="shared" si="81"/>
        <v>0</v>
      </c>
      <c r="R50" s="184">
        <f t="shared" si="82"/>
        <v>0</v>
      </c>
      <c r="S50" s="185">
        <f t="shared" si="82"/>
        <v>0</v>
      </c>
      <c r="T50" s="183">
        <f t="shared" si="82"/>
        <v>0</v>
      </c>
      <c r="U50" s="184">
        <f t="shared" si="82"/>
        <v>0</v>
      </c>
      <c r="V50" s="184">
        <f t="shared" si="82"/>
        <v>0</v>
      </c>
      <c r="W50" s="185">
        <f t="shared" si="82"/>
        <v>0</v>
      </c>
      <c r="X50" s="183">
        <f t="shared" si="82"/>
        <v>0</v>
      </c>
      <c r="Y50" s="184">
        <f t="shared" si="82"/>
        <v>0</v>
      </c>
      <c r="Z50" s="184">
        <f t="shared" si="82"/>
        <v>0</v>
      </c>
      <c r="AA50" s="185">
        <f t="shared" si="82"/>
        <v>0</v>
      </c>
      <c r="AB50" s="183">
        <f t="shared" si="83"/>
        <v>0</v>
      </c>
      <c r="AC50" s="184">
        <f t="shared" si="83"/>
        <v>0</v>
      </c>
      <c r="AD50" s="184">
        <f t="shared" si="83"/>
        <v>0</v>
      </c>
      <c r="AE50" s="185">
        <f t="shared" si="83"/>
        <v>0</v>
      </c>
      <c r="AF50" s="183">
        <f t="shared" si="83"/>
        <v>0</v>
      </c>
      <c r="AG50" s="184">
        <f t="shared" si="83"/>
        <v>0</v>
      </c>
      <c r="AH50" s="184">
        <f t="shared" si="83"/>
        <v>0</v>
      </c>
      <c r="AI50" s="185">
        <f t="shared" si="83"/>
        <v>0</v>
      </c>
      <c r="AJ50" s="183">
        <f t="shared" si="83"/>
        <v>0</v>
      </c>
      <c r="AK50" s="184">
        <f t="shared" si="83"/>
        <v>0</v>
      </c>
      <c r="AL50" s="184">
        <f t="shared" si="84"/>
        <v>0</v>
      </c>
      <c r="AM50" s="185">
        <f t="shared" si="84"/>
        <v>0</v>
      </c>
      <c r="AN50" s="183">
        <f t="shared" si="84"/>
        <v>0</v>
      </c>
      <c r="AO50" s="184">
        <f t="shared" si="84"/>
        <v>0</v>
      </c>
      <c r="AP50" s="184">
        <f t="shared" si="84"/>
        <v>0</v>
      </c>
      <c r="AQ50" s="185">
        <f t="shared" si="84"/>
        <v>0</v>
      </c>
      <c r="AR50" s="183">
        <f t="shared" si="84"/>
        <v>0</v>
      </c>
      <c r="AS50" s="184">
        <f t="shared" si="84"/>
        <v>0</v>
      </c>
      <c r="AT50" s="184">
        <f t="shared" si="84"/>
        <v>0</v>
      </c>
      <c r="AU50" s="185">
        <f t="shared" si="84"/>
        <v>0</v>
      </c>
      <c r="AV50" s="183">
        <f t="shared" si="85"/>
        <v>0</v>
      </c>
      <c r="AW50" s="184">
        <f t="shared" si="85"/>
        <v>0</v>
      </c>
      <c r="AX50" s="184">
        <f t="shared" si="85"/>
        <v>0</v>
      </c>
      <c r="AY50" s="185">
        <f t="shared" si="85"/>
        <v>0</v>
      </c>
      <c r="AZ50" s="183">
        <f t="shared" si="85"/>
        <v>0</v>
      </c>
      <c r="BA50" s="184">
        <f t="shared" si="85"/>
        <v>0</v>
      </c>
      <c r="BB50" s="184">
        <f t="shared" si="85"/>
        <v>0</v>
      </c>
      <c r="BC50" s="185">
        <f t="shared" si="85"/>
        <v>0</v>
      </c>
      <c r="BD50" s="183">
        <f t="shared" si="85"/>
        <v>0</v>
      </c>
      <c r="BE50" s="184">
        <f t="shared" si="85"/>
        <v>0</v>
      </c>
      <c r="BF50" s="184">
        <f t="shared" si="86"/>
        <v>0</v>
      </c>
      <c r="BG50" s="185">
        <f t="shared" si="86"/>
        <v>0</v>
      </c>
      <c r="BH50" s="183">
        <f t="shared" si="86"/>
        <v>0</v>
      </c>
      <c r="BI50" s="184">
        <f t="shared" si="86"/>
        <v>0</v>
      </c>
      <c r="BJ50" s="184">
        <f t="shared" si="86"/>
        <v>0</v>
      </c>
      <c r="BK50" s="185">
        <f t="shared" si="86"/>
        <v>0</v>
      </c>
      <c r="BL50" s="183">
        <f t="shared" si="86"/>
        <v>0</v>
      </c>
      <c r="BM50" s="184">
        <f t="shared" si="86"/>
        <v>0</v>
      </c>
      <c r="BN50" s="184">
        <f t="shared" si="86"/>
        <v>0</v>
      </c>
      <c r="BO50" s="185">
        <f t="shared" si="86"/>
        <v>0</v>
      </c>
      <c r="BP50" s="183">
        <f t="shared" si="87"/>
        <v>0</v>
      </c>
      <c r="BQ50" s="184">
        <f t="shared" si="87"/>
        <v>0</v>
      </c>
      <c r="BR50" s="184">
        <f t="shared" si="87"/>
        <v>0</v>
      </c>
      <c r="BS50" s="185">
        <f t="shared" si="87"/>
        <v>0</v>
      </c>
      <c r="BT50" s="183">
        <f t="shared" si="87"/>
        <v>0</v>
      </c>
      <c r="BU50" s="184">
        <f t="shared" si="87"/>
        <v>0</v>
      </c>
      <c r="BV50" s="184">
        <f t="shared" si="87"/>
        <v>0</v>
      </c>
      <c r="BW50" s="185">
        <f t="shared" si="87"/>
        <v>0</v>
      </c>
      <c r="BX50" s="183">
        <f t="shared" si="87"/>
        <v>0</v>
      </c>
      <c r="BY50" s="184">
        <f t="shared" si="87"/>
        <v>0</v>
      </c>
      <c r="BZ50" s="184">
        <f t="shared" si="88"/>
        <v>0</v>
      </c>
      <c r="CA50" s="185">
        <f t="shared" si="88"/>
        <v>0</v>
      </c>
      <c r="CB50" s="183">
        <f t="shared" si="88"/>
        <v>0</v>
      </c>
      <c r="CC50" s="184">
        <f t="shared" si="88"/>
        <v>0</v>
      </c>
      <c r="CD50" s="184">
        <f t="shared" si="88"/>
        <v>0</v>
      </c>
      <c r="CE50" s="185">
        <f t="shared" si="88"/>
        <v>0</v>
      </c>
      <c r="CF50" s="13"/>
      <c r="CG50" s="13"/>
      <c r="CH50" s="13"/>
      <c r="CI50" s="13"/>
    </row>
    <row r="51" spans="1:87" ht="20.100000000000001" customHeight="1">
      <c r="F51" s="5">
        <v>9</v>
      </c>
      <c r="G51" s="6" t="s">
        <v>82</v>
      </c>
      <c r="H51" s="186">
        <f t="shared" si="81"/>
        <v>0</v>
      </c>
      <c r="I51" s="187">
        <f t="shared" si="81"/>
        <v>0</v>
      </c>
      <c r="J51" s="187">
        <f t="shared" si="81"/>
        <v>0</v>
      </c>
      <c r="K51" s="188">
        <f t="shared" si="81"/>
        <v>0</v>
      </c>
      <c r="L51" s="186">
        <f t="shared" si="81"/>
        <v>0</v>
      </c>
      <c r="M51" s="187">
        <f t="shared" si="81"/>
        <v>0</v>
      </c>
      <c r="N51" s="187">
        <f t="shared" si="81"/>
        <v>0</v>
      </c>
      <c r="O51" s="188">
        <f t="shared" si="81"/>
        <v>0</v>
      </c>
      <c r="P51" s="186">
        <f t="shared" si="81"/>
        <v>0</v>
      </c>
      <c r="Q51" s="187">
        <f t="shared" si="81"/>
        <v>0</v>
      </c>
      <c r="R51" s="187">
        <f t="shared" si="82"/>
        <v>0</v>
      </c>
      <c r="S51" s="188">
        <f t="shared" si="82"/>
        <v>0</v>
      </c>
      <c r="T51" s="186">
        <f t="shared" si="82"/>
        <v>0</v>
      </c>
      <c r="U51" s="187">
        <f t="shared" si="82"/>
        <v>0</v>
      </c>
      <c r="V51" s="187">
        <f t="shared" si="82"/>
        <v>0</v>
      </c>
      <c r="W51" s="188">
        <f t="shared" si="82"/>
        <v>0</v>
      </c>
      <c r="X51" s="186">
        <f t="shared" si="82"/>
        <v>0</v>
      </c>
      <c r="Y51" s="187">
        <f t="shared" si="82"/>
        <v>0</v>
      </c>
      <c r="Z51" s="187">
        <f t="shared" si="82"/>
        <v>0</v>
      </c>
      <c r="AA51" s="188">
        <f t="shared" si="82"/>
        <v>0</v>
      </c>
      <c r="AB51" s="186">
        <f t="shared" si="83"/>
        <v>0</v>
      </c>
      <c r="AC51" s="187">
        <f t="shared" si="83"/>
        <v>0</v>
      </c>
      <c r="AD51" s="187">
        <f t="shared" si="83"/>
        <v>0</v>
      </c>
      <c r="AE51" s="188">
        <f t="shared" si="83"/>
        <v>0</v>
      </c>
      <c r="AF51" s="186">
        <f t="shared" si="83"/>
        <v>0</v>
      </c>
      <c r="AG51" s="187">
        <f t="shared" si="83"/>
        <v>0</v>
      </c>
      <c r="AH51" s="187">
        <f t="shared" si="83"/>
        <v>0</v>
      </c>
      <c r="AI51" s="188">
        <f t="shared" si="83"/>
        <v>0</v>
      </c>
      <c r="AJ51" s="186">
        <f t="shared" si="83"/>
        <v>0</v>
      </c>
      <c r="AK51" s="187">
        <f t="shared" si="83"/>
        <v>0</v>
      </c>
      <c r="AL51" s="187">
        <f t="shared" si="84"/>
        <v>0</v>
      </c>
      <c r="AM51" s="188">
        <f t="shared" si="84"/>
        <v>0</v>
      </c>
      <c r="AN51" s="186">
        <f t="shared" si="84"/>
        <v>0</v>
      </c>
      <c r="AO51" s="187">
        <f t="shared" si="84"/>
        <v>0</v>
      </c>
      <c r="AP51" s="187">
        <f t="shared" si="84"/>
        <v>0</v>
      </c>
      <c r="AQ51" s="188">
        <f t="shared" si="84"/>
        <v>0</v>
      </c>
      <c r="AR51" s="186">
        <f t="shared" si="84"/>
        <v>0</v>
      </c>
      <c r="AS51" s="187">
        <f t="shared" si="84"/>
        <v>0</v>
      </c>
      <c r="AT51" s="187">
        <f t="shared" si="84"/>
        <v>0</v>
      </c>
      <c r="AU51" s="188">
        <f t="shared" si="84"/>
        <v>0</v>
      </c>
      <c r="AV51" s="186">
        <f t="shared" si="85"/>
        <v>0</v>
      </c>
      <c r="AW51" s="187">
        <f t="shared" si="85"/>
        <v>0</v>
      </c>
      <c r="AX51" s="187">
        <f t="shared" si="85"/>
        <v>0</v>
      </c>
      <c r="AY51" s="188">
        <f t="shared" si="85"/>
        <v>0</v>
      </c>
      <c r="AZ51" s="186">
        <f t="shared" si="85"/>
        <v>0</v>
      </c>
      <c r="BA51" s="187">
        <f t="shared" si="85"/>
        <v>0</v>
      </c>
      <c r="BB51" s="187">
        <f t="shared" si="85"/>
        <v>0</v>
      </c>
      <c r="BC51" s="188">
        <f t="shared" si="85"/>
        <v>0</v>
      </c>
      <c r="BD51" s="186">
        <f t="shared" si="85"/>
        <v>0</v>
      </c>
      <c r="BE51" s="187">
        <f t="shared" si="85"/>
        <v>0</v>
      </c>
      <c r="BF51" s="187">
        <f t="shared" si="86"/>
        <v>0</v>
      </c>
      <c r="BG51" s="188">
        <f t="shared" si="86"/>
        <v>0</v>
      </c>
      <c r="BH51" s="186">
        <f t="shared" si="86"/>
        <v>0</v>
      </c>
      <c r="BI51" s="187">
        <f t="shared" si="86"/>
        <v>0</v>
      </c>
      <c r="BJ51" s="187">
        <f t="shared" si="86"/>
        <v>0</v>
      </c>
      <c r="BK51" s="188">
        <f t="shared" si="86"/>
        <v>0</v>
      </c>
      <c r="BL51" s="186">
        <f t="shared" si="86"/>
        <v>0</v>
      </c>
      <c r="BM51" s="187">
        <f t="shared" si="86"/>
        <v>0</v>
      </c>
      <c r="BN51" s="187">
        <f t="shared" si="86"/>
        <v>0</v>
      </c>
      <c r="BO51" s="188">
        <f t="shared" si="86"/>
        <v>0</v>
      </c>
      <c r="BP51" s="186">
        <f t="shared" si="87"/>
        <v>0</v>
      </c>
      <c r="BQ51" s="187">
        <f t="shared" si="87"/>
        <v>0</v>
      </c>
      <c r="BR51" s="187">
        <f t="shared" si="87"/>
        <v>0</v>
      </c>
      <c r="BS51" s="188">
        <f t="shared" si="87"/>
        <v>0</v>
      </c>
      <c r="BT51" s="186">
        <f t="shared" si="87"/>
        <v>0</v>
      </c>
      <c r="BU51" s="187">
        <f t="shared" si="87"/>
        <v>0</v>
      </c>
      <c r="BV51" s="187">
        <f t="shared" si="87"/>
        <v>0</v>
      </c>
      <c r="BW51" s="188">
        <f t="shared" si="87"/>
        <v>0</v>
      </c>
      <c r="BX51" s="186">
        <f t="shared" si="87"/>
        <v>0</v>
      </c>
      <c r="BY51" s="187">
        <f t="shared" si="87"/>
        <v>0</v>
      </c>
      <c r="BZ51" s="187">
        <f t="shared" si="88"/>
        <v>0</v>
      </c>
      <c r="CA51" s="188">
        <f t="shared" si="88"/>
        <v>0</v>
      </c>
      <c r="CB51" s="186">
        <f t="shared" si="88"/>
        <v>0</v>
      </c>
      <c r="CC51" s="187">
        <f t="shared" si="88"/>
        <v>0</v>
      </c>
      <c r="CD51" s="187">
        <f t="shared" si="88"/>
        <v>0</v>
      </c>
      <c r="CE51" s="188">
        <f t="shared" si="88"/>
        <v>0</v>
      </c>
      <c r="CF51" s="13"/>
      <c r="CG51" s="13"/>
      <c r="CH51" s="13"/>
      <c r="CI51" s="13"/>
    </row>
    <row r="52" spans="1:87" ht="20.100000000000001" customHeight="1">
      <c r="F52" s="212">
        <v>10</v>
      </c>
      <c r="G52" s="213" t="s">
        <v>16</v>
      </c>
      <c r="H52" s="209">
        <f t="shared" si="81"/>
        <v>0</v>
      </c>
      <c r="I52" s="210">
        <f t="shared" si="81"/>
        <v>0</v>
      </c>
      <c r="J52" s="210">
        <f t="shared" si="81"/>
        <v>0</v>
      </c>
      <c r="K52" s="211">
        <f t="shared" si="81"/>
        <v>0</v>
      </c>
      <c r="L52" s="209">
        <f t="shared" si="81"/>
        <v>0</v>
      </c>
      <c r="M52" s="210">
        <f t="shared" si="81"/>
        <v>0</v>
      </c>
      <c r="N52" s="210">
        <f t="shared" si="81"/>
        <v>0</v>
      </c>
      <c r="O52" s="211">
        <f t="shared" si="81"/>
        <v>0</v>
      </c>
      <c r="P52" s="209">
        <f t="shared" si="81"/>
        <v>0</v>
      </c>
      <c r="Q52" s="210">
        <f t="shared" si="81"/>
        <v>0</v>
      </c>
      <c r="R52" s="210">
        <f t="shared" si="82"/>
        <v>0</v>
      </c>
      <c r="S52" s="211">
        <f t="shared" si="82"/>
        <v>0</v>
      </c>
      <c r="T52" s="209">
        <f t="shared" si="82"/>
        <v>0</v>
      </c>
      <c r="U52" s="210">
        <f t="shared" si="82"/>
        <v>0</v>
      </c>
      <c r="V52" s="210">
        <f t="shared" si="82"/>
        <v>0</v>
      </c>
      <c r="W52" s="211">
        <f t="shared" si="82"/>
        <v>0</v>
      </c>
      <c r="X52" s="209">
        <f t="shared" si="82"/>
        <v>1</v>
      </c>
      <c r="Y52" s="210">
        <f t="shared" si="82"/>
        <v>1</v>
      </c>
      <c r="Z52" s="210">
        <f t="shared" si="82"/>
        <v>2</v>
      </c>
      <c r="AA52" s="211">
        <f t="shared" si="82"/>
        <v>2</v>
      </c>
      <c r="AB52" s="209">
        <f t="shared" si="83"/>
        <v>3</v>
      </c>
      <c r="AC52" s="210">
        <f t="shared" si="83"/>
        <v>3</v>
      </c>
      <c r="AD52" s="210">
        <f t="shared" si="83"/>
        <v>3</v>
      </c>
      <c r="AE52" s="211">
        <f t="shared" si="83"/>
        <v>3</v>
      </c>
      <c r="AF52" s="209">
        <f t="shared" si="83"/>
        <v>3</v>
      </c>
      <c r="AG52" s="210">
        <f t="shared" si="83"/>
        <v>3</v>
      </c>
      <c r="AH52" s="210">
        <f t="shared" si="83"/>
        <v>3</v>
      </c>
      <c r="AI52" s="211">
        <f t="shared" si="83"/>
        <v>3</v>
      </c>
      <c r="AJ52" s="209">
        <f t="shared" si="83"/>
        <v>3</v>
      </c>
      <c r="AK52" s="210">
        <f t="shared" si="83"/>
        <v>3</v>
      </c>
      <c r="AL52" s="210">
        <f t="shared" si="84"/>
        <v>3</v>
      </c>
      <c r="AM52" s="211">
        <f t="shared" si="84"/>
        <v>3</v>
      </c>
      <c r="AN52" s="209">
        <f t="shared" si="84"/>
        <v>2</v>
      </c>
      <c r="AO52" s="210">
        <f t="shared" si="84"/>
        <v>2</v>
      </c>
      <c r="AP52" s="210">
        <f t="shared" si="84"/>
        <v>0</v>
      </c>
      <c r="AQ52" s="211">
        <f t="shared" si="84"/>
        <v>0</v>
      </c>
      <c r="AR52" s="209">
        <f t="shared" si="84"/>
        <v>0</v>
      </c>
      <c r="AS52" s="210">
        <f t="shared" si="84"/>
        <v>0</v>
      </c>
      <c r="AT52" s="210">
        <f t="shared" si="84"/>
        <v>0</v>
      </c>
      <c r="AU52" s="211">
        <f t="shared" si="84"/>
        <v>0</v>
      </c>
      <c r="AV52" s="209">
        <f t="shared" si="85"/>
        <v>0</v>
      </c>
      <c r="AW52" s="210">
        <f t="shared" si="85"/>
        <v>0</v>
      </c>
      <c r="AX52" s="210">
        <f t="shared" si="85"/>
        <v>1</v>
      </c>
      <c r="AY52" s="211">
        <f t="shared" si="85"/>
        <v>1</v>
      </c>
      <c r="AZ52" s="209">
        <f t="shared" si="85"/>
        <v>2</v>
      </c>
      <c r="BA52" s="210">
        <f t="shared" si="85"/>
        <v>2</v>
      </c>
      <c r="BB52" s="210">
        <f t="shared" si="85"/>
        <v>2</v>
      </c>
      <c r="BC52" s="211">
        <f t="shared" si="85"/>
        <v>2</v>
      </c>
      <c r="BD52" s="209">
        <f t="shared" si="85"/>
        <v>2</v>
      </c>
      <c r="BE52" s="210">
        <f t="shared" si="85"/>
        <v>2</v>
      </c>
      <c r="BF52" s="210">
        <f t="shared" si="86"/>
        <v>3</v>
      </c>
      <c r="BG52" s="211">
        <f t="shared" si="86"/>
        <v>3</v>
      </c>
      <c r="BH52" s="209">
        <f t="shared" si="86"/>
        <v>3</v>
      </c>
      <c r="BI52" s="210">
        <f t="shared" si="86"/>
        <v>3</v>
      </c>
      <c r="BJ52" s="210">
        <f t="shared" si="86"/>
        <v>3</v>
      </c>
      <c r="BK52" s="211">
        <f t="shared" si="86"/>
        <v>3</v>
      </c>
      <c r="BL52" s="209">
        <f t="shared" si="86"/>
        <v>3</v>
      </c>
      <c r="BM52" s="210">
        <f t="shared" si="86"/>
        <v>3</v>
      </c>
      <c r="BN52" s="210">
        <f t="shared" si="86"/>
        <v>2</v>
      </c>
      <c r="BO52" s="211">
        <f t="shared" si="86"/>
        <v>2</v>
      </c>
      <c r="BP52" s="209">
        <f t="shared" si="87"/>
        <v>2</v>
      </c>
      <c r="BQ52" s="210">
        <f t="shared" si="87"/>
        <v>0</v>
      </c>
      <c r="BR52" s="210">
        <f t="shared" si="87"/>
        <v>0</v>
      </c>
      <c r="BS52" s="211">
        <f t="shared" si="87"/>
        <v>0</v>
      </c>
      <c r="BT52" s="209">
        <f t="shared" si="87"/>
        <v>0</v>
      </c>
      <c r="BU52" s="210">
        <f t="shared" si="87"/>
        <v>0</v>
      </c>
      <c r="BV52" s="210">
        <f t="shared" si="87"/>
        <v>0</v>
      </c>
      <c r="BW52" s="211">
        <f t="shared" si="87"/>
        <v>0</v>
      </c>
      <c r="BX52" s="209">
        <f t="shared" si="87"/>
        <v>0</v>
      </c>
      <c r="BY52" s="210">
        <f t="shared" si="87"/>
        <v>0</v>
      </c>
      <c r="BZ52" s="210">
        <f t="shared" si="88"/>
        <v>0</v>
      </c>
      <c r="CA52" s="211">
        <f t="shared" si="88"/>
        <v>0</v>
      </c>
      <c r="CB52" s="209">
        <f t="shared" si="88"/>
        <v>0</v>
      </c>
      <c r="CC52" s="210">
        <f t="shared" si="88"/>
        <v>0</v>
      </c>
      <c r="CD52" s="210">
        <f t="shared" si="88"/>
        <v>0</v>
      </c>
      <c r="CE52" s="211">
        <f t="shared" si="88"/>
        <v>0</v>
      </c>
      <c r="CF52" s="13"/>
      <c r="CG52" s="13"/>
      <c r="CH52" s="13"/>
      <c r="CI52" s="13"/>
    </row>
    <row r="53" spans="1:87" ht="20.100000000000001" customHeight="1">
      <c r="F53" s="7">
        <v>12</v>
      </c>
      <c r="G53" s="8" t="s">
        <v>17</v>
      </c>
      <c r="H53" s="189">
        <f t="shared" si="81"/>
        <v>0</v>
      </c>
      <c r="I53" s="190">
        <f t="shared" si="81"/>
        <v>0</v>
      </c>
      <c r="J53" s="190">
        <f t="shared" si="81"/>
        <v>0</v>
      </c>
      <c r="K53" s="191">
        <f t="shared" si="81"/>
        <v>0</v>
      </c>
      <c r="L53" s="189">
        <f t="shared" si="81"/>
        <v>0</v>
      </c>
      <c r="M53" s="190">
        <f t="shared" si="81"/>
        <v>0</v>
      </c>
      <c r="N53" s="190">
        <f t="shared" si="81"/>
        <v>0</v>
      </c>
      <c r="O53" s="191">
        <f t="shared" si="81"/>
        <v>0</v>
      </c>
      <c r="P53" s="189">
        <f t="shared" si="81"/>
        <v>0</v>
      </c>
      <c r="Q53" s="190">
        <f t="shared" si="81"/>
        <v>0</v>
      </c>
      <c r="R53" s="190">
        <f t="shared" si="82"/>
        <v>0</v>
      </c>
      <c r="S53" s="191">
        <f t="shared" si="82"/>
        <v>0</v>
      </c>
      <c r="T53" s="189">
        <f t="shared" si="82"/>
        <v>0</v>
      </c>
      <c r="U53" s="190">
        <f t="shared" si="82"/>
        <v>0</v>
      </c>
      <c r="V53" s="190">
        <f t="shared" si="82"/>
        <v>0</v>
      </c>
      <c r="W53" s="191">
        <f t="shared" si="82"/>
        <v>0</v>
      </c>
      <c r="X53" s="189">
        <f t="shared" si="82"/>
        <v>0</v>
      </c>
      <c r="Y53" s="190">
        <f t="shared" si="82"/>
        <v>0</v>
      </c>
      <c r="Z53" s="190">
        <f t="shared" si="82"/>
        <v>0</v>
      </c>
      <c r="AA53" s="191">
        <f t="shared" si="82"/>
        <v>0</v>
      </c>
      <c r="AB53" s="189">
        <f t="shared" si="83"/>
        <v>0</v>
      </c>
      <c r="AC53" s="190">
        <f t="shared" si="83"/>
        <v>0</v>
      </c>
      <c r="AD53" s="190">
        <f t="shared" si="83"/>
        <v>0</v>
      </c>
      <c r="AE53" s="191">
        <f t="shared" si="83"/>
        <v>0</v>
      </c>
      <c r="AF53" s="189">
        <f t="shared" si="83"/>
        <v>0</v>
      </c>
      <c r="AG53" s="190">
        <f t="shared" si="83"/>
        <v>0</v>
      </c>
      <c r="AH53" s="190">
        <f t="shared" si="83"/>
        <v>0</v>
      </c>
      <c r="AI53" s="191">
        <f t="shared" si="83"/>
        <v>0</v>
      </c>
      <c r="AJ53" s="189">
        <f t="shared" si="83"/>
        <v>0</v>
      </c>
      <c r="AK53" s="190">
        <f t="shared" si="83"/>
        <v>0</v>
      </c>
      <c r="AL53" s="190">
        <f t="shared" si="84"/>
        <v>0</v>
      </c>
      <c r="AM53" s="191">
        <f t="shared" si="84"/>
        <v>0</v>
      </c>
      <c r="AN53" s="189">
        <f t="shared" si="84"/>
        <v>0</v>
      </c>
      <c r="AO53" s="190">
        <f t="shared" si="84"/>
        <v>0</v>
      </c>
      <c r="AP53" s="190">
        <f t="shared" si="84"/>
        <v>0</v>
      </c>
      <c r="AQ53" s="191">
        <f t="shared" si="84"/>
        <v>0</v>
      </c>
      <c r="AR53" s="189">
        <f t="shared" si="84"/>
        <v>0</v>
      </c>
      <c r="AS53" s="190">
        <f t="shared" si="84"/>
        <v>0</v>
      </c>
      <c r="AT53" s="190">
        <f t="shared" si="84"/>
        <v>0</v>
      </c>
      <c r="AU53" s="191">
        <f t="shared" si="84"/>
        <v>0</v>
      </c>
      <c r="AV53" s="189">
        <f t="shared" si="85"/>
        <v>0</v>
      </c>
      <c r="AW53" s="190">
        <f t="shared" si="85"/>
        <v>0</v>
      </c>
      <c r="AX53" s="190">
        <f t="shared" si="85"/>
        <v>0</v>
      </c>
      <c r="AY53" s="191">
        <f t="shared" si="85"/>
        <v>0</v>
      </c>
      <c r="AZ53" s="189">
        <f t="shared" si="85"/>
        <v>0</v>
      </c>
      <c r="BA53" s="190">
        <f t="shared" si="85"/>
        <v>0</v>
      </c>
      <c r="BB53" s="190">
        <f t="shared" si="85"/>
        <v>0</v>
      </c>
      <c r="BC53" s="191">
        <f t="shared" si="85"/>
        <v>0</v>
      </c>
      <c r="BD53" s="189">
        <f t="shared" si="85"/>
        <v>0</v>
      </c>
      <c r="BE53" s="190">
        <f t="shared" si="85"/>
        <v>0</v>
      </c>
      <c r="BF53" s="190">
        <f t="shared" si="86"/>
        <v>0</v>
      </c>
      <c r="BG53" s="191">
        <f t="shared" si="86"/>
        <v>0</v>
      </c>
      <c r="BH53" s="189">
        <f t="shared" si="86"/>
        <v>0</v>
      </c>
      <c r="BI53" s="190">
        <f t="shared" si="86"/>
        <v>0</v>
      </c>
      <c r="BJ53" s="190">
        <f t="shared" si="86"/>
        <v>0</v>
      </c>
      <c r="BK53" s="191">
        <f t="shared" si="86"/>
        <v>0</v>
      </c>
      <c r="BL53" s="189">
        <f t="shared" si="86"/>
        <v>0</v>
      </c>
      <c r="BM53" s="190">
        <f t="shared" si="86"/>
        <v>0</v>
      </c>
      <c r="BN53" s="190">
        <f t="shared" si="86"/>
        <v>0</v>
      </c>
      <c r="BO53" s="191">
        <f t="shared" si="86"/>
        <v>0</v>
      </c>
      <c r="BP53" s="189">
        <f t="shared" si="87"/>
        <v>0</v>
      </c>
      <c r="BQ53" s="190">
        <f t="shared" si="87"/>
        <v>0</v>
      </c>
      <c r="BR53" s="190">
        <f t="shared" si="87"/>
        <v>0</v>
      </c>
      <c r="BS53" s="191">
        <f t="shared" si="87"/>
        <v>0</v>
      </c>
      <c r="BT53" s="189">
        <f t="shared" si="87"/>
        <v>0</v>
      </c>
      <c r="BU53" s="190">
        <f t="shared" si="87"/>
        <v>0</v>
      </c>
      <c r="BV53" s="190">
        <f t="shared" si="87"/>
        <v>0</v>
      </c>
      <c r="BW53" s="191">
        <f t="shared" si="87"/>
        <v>0</v>
      </c>
      <c r="BX53" s="189">
        <f t="shared" si="87"/>
        <v>0</v>
      </c>
      <c r="BY53" s="190">
        <f t="shared" si="87"/>
        <v>0</v>
      </c>
      <c r="BZ53" s="190">
        <f t="shared" si="88"/>
        <v>0</v>
      </c>
      <c r="CA53" s="191">
        <f t="shared" si="88"/>
        <v>0</v>
      </c>
      <c r="CB53" s="189">
        <f t="shared" si="88"/>
        <v>0</v>
      </c>
      <c r="CC53" s="190">
        <f t="shared" si="88"/>
        <v>0</v>
      </c>
      <c r="CD53" s="190">
        <f t="shared" si="88"/>
        <v>0</v>
      </c>
      <c r="CE53" s="191">
        <f t="shared" si="88"/>
        <v>0</v>
      </c>
      <c r="CF53" s="13"/>
      <c r="CG53" s="13"/>
      <c r="CH53" s="13"/>
      <c r="CI53" s="13"/>
    </row>
    <row r="54" spans="1:87" ht="20.100000000000001" customHeight="1">
      <c r="F54" s="155">
        <v>13</v>
      </c>
      <c r="G54" s="156" t="s">
        <v>83</v>
      </c>
      <c r="H54" s="192">
        <f t="shared" si="81"/>
        <v>0</v>
      </c>
      <c r="I54" s="193">
        <f t="shared" si="81"/>
        <v>0</v>
      </c>
      <c r="J54" s="193">
        <f t="shared" si="81"/>
        <v>0</v>
      </c>
      <c r="K54" s="194">
        <f t="shared" si="81"/>
        <v>0</v>
      </c>
      <c r="L54" s="192">
        <f t="shared" si="81"/>
        <v>0</v>
      </c>
      <c r="M54" s="193">
        <f t="shared" si="81"/>
        <v>0</v>
      </c>
      <c r="N54" s="193">
        <f t="shared" si="81"/>
        <v>0</v>
      </c>
      <c r="O54" s="194">
        <f t="shared" si="81"/>
        <v>0</v>
      </c>
      <c r="P54" s="192">
        <f t="shared" si="81"/>
        <v>0</v>
      </c>
      <c r="Q54" s="193">
        <f t="shared" si="81"/>
        <v>0</v>
      </c>
      <c r="R54" s="193">
        <f t="shared" si="82"/>
        <v>0</v>
      </c>
      <c r="S54" s="194">
        <f t="shared" si="82"/>
        <v>0</v>
      </c>
      <c r="T54" s="192">
        <f t="shared" si="82"/>
        <v>0</v>
      </c>
      <c r="U54" s="193">
        <f t="shared" si="82"/>
        <v>0</v>
      </c>
      <c r="V54" s="193">
        <f t="shared" si="82"/>
        <v>0</v>
      </c>
      <c r="W54" s="194">
        <f t="shared" si="82"/>
        <v>0</v>
      </c>
      <c r="X54" s="192">
        <f t="shared" si="82"/>
        <v>0</v>
      </c>
      <c r="Y54" s="193">
        <f t="shared" si="82"/>
        <v>0</v>
      </c>
      <c r="Z54" s="193">
        <f t="shared" si="82"/>
        <v>0</v>
      </c>
      <c r="AA54" s="194">
        <f t="shared" si="82"/>
        <v>0</v>
      </c>
      <c r="AB54" s="192">
        <f t="shared" si="83"/>
        <v>0</v>
      </c>
      <c r="AC54" s="193">
        <f t="shared" si="83"/>
        <v>0</v>
      </c>
      <c r="AD54" s="193">
        <f t="shared" si="83"/>
        <v>0</v>
      </c>
      <c r="AE54" s="194">
        <f t="shared" si="83"/>
        <v>0</v>
      </c>
      <c r="AF54" s="192">
        <f t="shared" si="83"/>
        <v>0</v>
      </c>
      <c r="AG54" s="193">
        <f t="shared" si="83"/>
        <v>0</v>
      </c>
      <c r="AH54" s="193">
        <f t="shared" si="83"/>
        <v>0</v>
      </c>
      <c r="AI54" s="194">
        <f t="shared" si="83"/>
        <v>0</v>
      </c>
      <c r="AJ54" s="192">
        <f t="shared" si="83"/>
        <v>0</v>
      </c>
      <c r="AK54" s="193">
        <f t="shared" si="83"/>
        <v>0</v>
      </c>
      <c r="AL54" s="193">
        <f t="shared" si="84"/>
        <v>0</v>
      </c>
      <c r="AM54" s="194">
        <f t="shared" si="84"/>
        <v>0</v>
      </c>
      <c r="AN54" s="192">
        <f t="shared" si="84"/>
        <v>0</v>
      </c>
      <c r="AO54" s="193">
        <f t="shared" si="84"/>
        <v>0</v>
      </c>
      <c r="AP54" s="193">
        <f t="shared" si="84"/>
        <v>0</v>
      </c>
      <c r="AQ54" s="194">
        <f t="shared" si="84"/>
        <v>0</v>
      </c>
      <c r="AR54" s="192">
        <f t="shared" si="84"/>
        <v>0</v>
      </c>
      <c r="AS54" s="193">
        <f t="shared" si="84"/>
        <v>0</v>
      </c>
      <c r="AT54" s="193">
        <f t="shared" si="84"/>
        <v>0</v>
      </c>
      <c r="AU54" s="194">
        <f t="shared" si="84"/>
        <v>0</v>
      </c>
      <c r="AV54" s="192">
        <f t="shared" si="85"/>
        <v>0</v>
      </c>
      <c r="AW54" s="193">
        <f t="shared" si="85"/>
        <v>0</v>
      </c>
      <c r="AX54" s="193">
        <f t="shared" si="85"/>
        <v>0</v>
      </c>
      <c r="AY54" s="194">
        <f t="shared" si="85"/>
        <v>0</v>
      </c>
      <c r="AZ54" s="192">
        <f t="shared" si="85"/>
        <v>0</v>
      </c>
      <c r="BA54" s="193">
        <f t="shared" si="85"/>
        <v>0</v>
      </c>
      <c r="BB54" s="193">
        <f t="shared" si="85"/>
        <v>0</v>
      </c>
      <c r="BC54" s="194">
        <f t="shared" si="85"/>
        <v>0</v>
      </c>
      <c r="BD54" s="192">
        <f t="shared" si="85"/>
        <v>0</v>
      </c>
      <c r="BE54" s="193">
        <f t="shared" si="85"/>
        <v>0</v>
      </c>
      <c r="BF54" s="193">
        <f t="shared" si="86"/>
        <v>0</v>
      </c>
      <c r="BG54" s="194">
        <f t="shared" si="86"/>
        <v>0</v>
      </c>
      <c r="BH54" s="192">
        <f t="shared" si="86"/>
        <v>0</v>
      </c>
      <c r="BI54" s="193">
        <f t="shared" si="86"/>
        <v>0</v>
      </c>
      <c r="BJ54" s="193">
        <f t="shared" si="86"/>
        <v>0</v>
      </c>
      <c r="BK54" s="194">
        <f t="shared" si="86"/>
        <v>0</v>
      </c>
      <c r="BL54" s="192">
        <f t="shared" si="86"/>
        <v>0</v>
      </c>
      <c r="BM54" s="193">
        <f t="shared" si="86"/>
        <v>0</v>
      </c>
      <c r="BN54" s="193">
        <f t="shared" si="86"/>
        <v>0</v>
      </c>
      <c r="BO54" s="194">
        <f t="shared" si="86"/>
        <v>0</v>
      </c>
      <c r="BP54" s="192">
        <f t="shared" si="87"/>
        <v>0</v>
      </c>
      <c r="BQ54" s="193">
        <f t="shared" si="87"/>
        <v>0</v>
      </c>
      <c r="BR54" s="193">
        <f t="shared" si="87"/>
        <v>0</v>
      </c>
      <c r="BS54" s="194">
        <f t="shared" si="87"/>
        <v>0</v>
      </c>
      <c r="BT54" s="192">
        <f t="shared" si="87"/>
        <v>0</v>
      </c>
      <c r="BU54" s="193">
        <f t="shared" si="87"/>
        <v>0</v>
      </c>
      <c r="BV54" s="193">
        <f t="shared" si="87"/>
        <v>0</v>
      </c>
      <c r="BW54" s="194">
        <f t="shared" si="87"/>
        <v>0</v>
      </c>
      <c r="BX54" s="192">
        <f t="shared" si="87"/>
        <v>0</v>
      </c>
      <c r="BY54" s="193">
        <f t="shared" si="87"/>
        <v>0</v>
      </c>
      <c r="BZ54" s="193">
        <f t="shared" si="88"/>
        <v>0</v>
      </c>
      <c r="CA54" s="194">
        <f t="shared" si="88"/>
        <v>0</v>
      </c>
      <c r="CB54" s="192">
        <f t="shared" si="88"/>
        <v>0</v>
      </c>
      <c r="CC54" s="193">
        <f t="shared" si="88"/>
        <v>0</v>
      </c>
      <c r="CD54" s="193">
        <f t="shared" si="88"/>
        <v>0</v>
      </c>
      <c r="CE54" s="194">
        <f t="shared" si="88"/>
        <v>0</v>
      </c>
      <c r="CF54" s="13"/>
      <c r="CG54" s="13"/>
      <c r="CH54" s="13"/>
      <c r="CI54" s="13"/>
    </row>
    <row r="55" spans="1:87" ht="41.25" customHeight="1">
      <c r="A55" s="22"/>
      <c r="B55" s="22"/>
      <c r="C55" s="22"/>
      <c r="D55" s="22"/>
      <c r="E55" s="22"/>
      <c r="F55" s="152"/>
      <c r="G55" s="151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</row>
    <row r="56" spans="1:87" ht="20.100000000000001" customHeight="1">
      <c r="A56" s="22"/>
      <c r="B56" s="22"/>
      <c r="C56" s="22"/>
      <c r="D56" s="22"/>
      <c r="E56" s="22"/>
      <c r="F56" s="152"/>
      <c r="G56" s="151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</row>
    <row r="57" spans="1:87" ht="20.100000000000001" customHeight="1">
      <c r="A57" s="22"/>
      <c r="B57" s="22"/>
      <c r="C57" s="22"/>
      <c r="D57" s="22"/>
      <c r="E57" s="22"/>
      <c r="F57" s="152"/>
      <c r="G57" s="151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</row>
    <row r="58" spans="1:87" ht="20.100000000000001" customHeight="1">
      <c r="A58" s="22"/>
      <c r="B58" s="22"/>
      <c r="C58" s="22"/>
      <c r="D58" s="22"/>
      <c r="E58" s="22"/>
      <c r="F58" s="152"/>
      <c r="G58" s="151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</row>
    <row r="59" spans="1:87" ht="20.100000000000001" customHeight="1">
      <c r="F59" s="152"/>
      <c r="G59" s="151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</row>
    <row r="60" spans="1:87" ht="20.100000000000001" customHeight="1">
      <c r="F60" s="152"/>
      <c r="G60" s="151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</row>
    <row r="61" spans="1:87" ht="20.100000000000001" customHeight="1">
      <c r="F61" s="152"/>
      <c r="G61" s="151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</row>
    <row r="62" spans="1:87" ht="20.100000000000001" customHeight="1">
      <c r="F62" s="152"/>
      <c r="G62" s="151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</row>
    <row r="63" spans="1:87" ht="20.100000000000001" customHeight="1">
      <c r="F63" s="152"/>
      <c r="G63" s="151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</row>
    <row r="64" spans="1:87" ht="20.100000000000001" customHeight="1">
      <c r="F64" s="152"/>
      <c r="G64" s="151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</row>
    <row r="65" spans="1:84" ht="20.100000000000001" customHeight="1">
      <c r="F65" s="152"/>
      <c r="G65" s="151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</row>
    <row r="66" spans="1:84" ht="20.100000000000001" customHeight="1">
      <c r="F66" s="152"/>
      <c r="G66" s="151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</row>
    <row r="67" spans="1:84" s="154" customFormat="1" ht="30" hidden="1" customHeight="1">
      <c r="A67" s="153"/>
      <c r="B67" s="153"/>
      <c r="C67" s="153"/>
      <c r="D67" s="153"/>
      <c r="E67" s="153"/>
      <c r="F67" s="355" t="s">
        <v>25</v>
      </c>
      <c r="G67" s="290" t="s">
        <v>35</v>
      </c>
      <c r="H67" s="302">
        <f t="shared" ref="H67:AM67" si="89">H5/$CF$5*100</f>
        <v>0</v>
      </c>
      <c r="I67" s="302">
        <f t="shared" si="89"/>
        <v>0</v>
      </c>
      <c r="J67" s="302">
        <f t="shared" si="89"/>
        <v>0</v>
      </c>
      <c r="K67" s="303">
        <f t="shared" si="89"/>
        <v>0</v>
      </c>
      <c r="L67" s="304">
        <f t="shared" si="89"/>
        <v>0</v>
      </c>
      <c r="M67" s="302">
        <f t="shared" si="89"/>
        <v>0</v>
      </c>
      <c r="N67" s="302">
        <f t="shared" si="89"/>
        <v>0</v>
      </c>
      <c r="O67" s="303">
        <f t="shared" si="89"/>
        <v>0</v>
      </c>
      <c r="P67" s="304">
        <f t="shared" si="89"/>
        <v>0.8771929824561403</v>
      </c>
      <c r="Q67" s="302">
        <f t="shared" si="89"/>
        <v>0.8771929824561403</v>
      </c>
      <c r="R67" s="302">
        <f t="shared" si="89"/>
        <v>0.8771929824561403</v>
      </c>
      <c r="S67" s="303">
        <f t="shared" si="89"/>
        <v>0.8771929824561403</v>
      </c>
      <c r="T67" s="304">
        <f t="shared" si="89"/>
        <v>0.8771929824561403</v>
      </c>
      <c r="U67" s="302">
        <f t="shared" si="89"/>
        <v>0.8771929824561403</v>
      </c>
      <c r="V67" s="302">
        <f t="shared" si="89"/>
        <v>0.8771929824561403</v>
      </c>
      <c r="W67" s="303">
        <f t="shared" si="89"/>
        <v>0.8771929824561403</v>
      </c>
      <c r="X67" s="304">
        <f t="shared" si="89"/>
        <v>1.7543859649122806</v>
      </c>
      <c r="Y67" s="302">
        <f t="shared" si="89"/>
        <v>1.7543859649122806</v>
      </c>
      <c r="Z67" s="302">
        <f t="shared" si="89"/>
        <v>2.6315789473684208</v>
      </c>
      <c r="AA67" s="303">
        <f t="shared" si="89"/>
        <v>2.6315789473684208</v>
      </c>
      <c r="AB67" s="304">
        <f t="shared" si="89"/>
        <v>3.5087719298245612</v>
      </c>
      <c r="AC67" s="302">
        <f t="shared" si="89"/>
        <v>3.5087719298245612</v>
      </c>
      <c r="AD67" s="302">
        <f t="shared" si="89"/>
        <v>3.5087719298245612</v>
      </c>
      <c r="AE67" s="303">
        <f t="shared" si="89"/>
        <v>3.5087719298245612</v>
      </c>
      <c r="AF67" s="304">
        <f t="shared" si="89"/>
        <v>2.6315789473684208</v>
      </c>
      <c r="AG67" s="302">
        <f t="shared" si="89"/>
        <v>2.6315789473684208</v>
      </c>
      <c r="AH67" s="302">
        <f t="shared" si="89"/>
        <v>2.6315789473684208</v>
      </c>
      <c r="AI67" s="303">
        <f t="shared" si="89"/>
        <v>2.6315789473684208</v>
      </c>
      <c r="AJ67" s="304">
        <f t="shared" si="89"/>
        <v>2.6315789473684208</v>
      </c>
      <c r="AK67" s="302">
        <f t="shared" si="89"/>
        <v>2.6315789473684208</v>
      </c>
      <c r="AL67" s="302">
        <f t="shared" si="89"/>
        <v>2.6315789473684208</v>
      </c>
      <c r="AM67" s="303">
        <f t="shared" si="89"/>
        <v>2.6315789473684208</v>
      </c>
      <c r="AN67" s="304">
        <f t="shared" ref="AN67:BS67" si="90">AN5/$CF$5*100</f>
        <v>2.6315789473684208</v>
      </c>
      <c r="AO67" s="302">
        <f t="shared" si="90"/>
        <v>2.6315789473684208</v>
      </c>
      <c r="AP67" s="302">
        <f t="shared" si="90"/>
        <v>0.8771929824561403</v>
      </c>
      <c r="AQ67" s="303">
        <f t="shared" si="90"/>
        <v>0.8771929824561403</v>
      </c>
      <c r="AR67" s="304">
        <f t="shared" si="90"/>
        <v>0.8771929824561403</v>
      </c>
      <c r="AS67" s="302">
        <f t="shared" si="90"/>
        <v>0.8771929824561403</v>
      </c>
      <c r="AT67" s="302">
        <f t="shared" si="90"/>
        <v>0.8771929824561403</v>
      </c>
      <c r="AU67" s="303">
        <f t="shared" si="90"/>
        <v>0.8771929824561403</v>
      </c>
      <c r="AV67" s="304">
        <f t="shared" si="90"/>
        <v>0</v>
      </c>
      <c r="AW67" s="302">
        <f t="shared" si="90"/>
        <v>0</v>
      </c>
      <c r="AX67" s="302">
        <f t="shared" si="90"/>
        <v>0.8771929824561403</v>
      </c>
      <c r="AY67" s="303">
        <f t="shared" si="90"/>
        <v>0.8771929824561403</v>
      </c>
      <c r="AZ67" s="304">
        <f t="shared" si="90"/>
        <v>1.7543859649122806</v>
      </c>
      <c r="BA67" s="302">
        <f t="shared" si="90"/>
        <v>1.7543859649122806</v>
      </c>
      <c r="BB67" s="302">
        <f t="shared" si="90"/>
        <v>1.7543859649122806</v>
      </c>
      <c r="BC67" s="303">
        <f t="shared" si="90"/>
        <v>1.7543859649122806</v>
      </c>
      <c r="BD67" s="304">
        <f t="shared" si="90"/>
        <v>1.7543859649122806</v>
      </c>
      <c r="BE67" s="302">
        <f t="shared" si="90"/>
        <v>1.7543859649122806</v>
      </c>
      <c r="BF67" s="302">
        <f t="shared" si="90"/>
        <v>2.6315789473684208</v>
      </c>
      <c r="BG67" s="303">
        <f t="shared" si="90"/>
        <v>2.6315789473684208</v>
      </c>
      <c r="BH67" s="304">
        <f t="shared" si="90"/>
        <v>2.6315789473684208</v>
      </c>
      <c r="BI67" s="302">
        <f t="shared" si="90"/>
        <v>2.6315789473684208</v>
      </c>
      <c r="BJ67" s="302">
        <f t="shared" si="90"/>
        <v>2.6315789473684208</v>
      </c>
      <c r="BK67" s="303">
        <f t="shared" si="90"/>
        <v>2.6315789473684208</v>
      </c>
      <c r="BL67" s="304">
        <f t="shared" si="90"/>
        <v>2.6315789473684208</v>
      </c>
      <c r="BM67" s="302">
        <f t="shared" si="90"/>
        <v>2.6315789473684208</v>
      </c>
      <c r="BN67" s="302">
        <f t="shared" si="90"/>
        <v>1.7543859649122806</v>
      </c>
      <c r="BO67" s="303">
        <f t="shared" si="90"/>
        <v>1.7543859649122806</v>
      </c>
      <c r="BP67" s="304">
        <f t="shared" si="90"/>
        <v>1.7543859649122806</v>
      </c>
      <c r="BQ67" s="302">
        <f t="shared" si="90"/>
        <v>0</v>
      </c>
      <c r="BR67" s="302">
        <f t="shared" si="90"/>
        <v>0</v>
      </c>
      <c r="BS67" s="303">
        <f t="shared" si="90"/>
        <v>0</v>
      </c>
      <c r="BT67" s="304">
        <f t="shared" ref="BT67:CE67" si="91">BT5/$CF$5*100</f>
        <v>0</v>
      </c>
      <c r="BU67" s="302">
        <f t="shared" si="91"/>
        <v>0</v>
      </c>
      <c r="BV67" s="302">
        <f t="shared" si="91"/>
        <v>0</v>
      </c>
      <c r="BW67" s="303">
        <f t="shared" si="91"/>
        <v>0</v>
      </c>
      <c r="BX67" s="304">
        <f t="shared" si="91"/>
        <v>0</v>
      </c>
      <c r="BY67" s="302">
        <f t="shared" si="91"/>
        <v>0</v>
      </c>
      <c r="BZ67" s="302">
        <f t="shared" si="91"/>
        <v>0</v>
      </c>
      <c r="CA67" s="303">
        <f t="shared" si="91"/>
        <v>0</v>
      </c>
      <c r="CB67" s="304">
        <f t="shared" si="91"/>
        <v>0</v>
      </c>
      <c r="CC67" s="302">
        <f t="shared" si="91"/>
        <v>0</v>
      </c>
      <c r="CD67" s="302">
        <f t="shared" si="91"/>
        <v>0</v>
      </c>
      <c r="CE67" s="303">
        <f t="shared" si="91"/>
        <v>0</v>
      </c>
      <c r="CF67" s="13"/>
    </row>
    <row r="68" spans="1:84" s="154" customFormat="1" ht="30" hidden="1" customHeight="1">
      <c r="A68" s="153"/>
      <c r="B68" s="153"/>
      <c r="C68" s="153"/>
      <c r="D68" s="153"/>
      <c r="E68" s="153"/>
      <c r="F68" s="356"/>
      <c r="G68" s="291" t="s">
        <v>34</v>
      </c>
      <c r="H68" s="302"/>
      <c r="I68" s="302"/>
      <c r="J68" s="302"/>
      <c r="K68" s="303"/>
      <c r="L68" s="304"/>
      <c r="M68" s="302"/>
      <c r="N68" s="302"/>
      <c r="O68" s="303"/>
      <c r="P68" s="304" t="str">
        <f>+VL!$K5</f>
        <v/>
      </c>
      <c r="Q68" s="302" t="str">
        <f>+VL!$K6</f>
        <v/>
      </c>
      <c r="R68" s="302" t="str">
        <f>+VL!$K7</f>
        <v/>
      </c>
      <c r="S68" s="303" t="str">
        <f>+VL!$K8</f>
        <v/>
      </c>
      <c r="T68" s="304" t="str">
        <f>+VL!$K9</f>
        <v/>
      </c>
      <c r="U68" s="302" t="str">
        <f>+VL!$K10</f>
        <v/>
      </c>
      <c r="V68" s="302" t="str">
        <f>+VL!$K11</f>
        <v/>
      </c>
      <c r="W68" s="303" t="str">
        <f>+VL!$K12</f>
        <v/>
      </c>
      <c r="X68" s="304" t="str">
        <f>+VL!$K13</f>
        <v/>
      </c>
      <c r="Y68" s="302" t="str">
        <f>+VL!$K14</f>
        <v/>
      </c>
      <c r="Z68" s="302" t="str">
        <f>+VL!$K15</f>
        <v/>
      </c>
      <c r="AA68" s="303" t="str">
        <f>+VL!$K16</f>
        <v/>
      </c>
      <c r="AB68" s="304" t="str">
        <f>+VL!$K17</f>
        <v/>
      </c>
      <c r="AC68" s="302" t="str">
        <f>+VL!$K18</f>
        <v/>
      </c>
      <c r="AD68" s="302" t="str">
        <f>+VL!$K19</f>
        <v/>
      </c>
      <c r="AE68" s="303" t="str">
        <f>+VL!$K20</f>
        <v/>
      </c>
      <c r="AF68" s="304" t="str">
        <f>+VL!$K21</f>
        <v/>
      </c>
      <c r="AG68" s="302" t="str">
        <f>+VL!$K22</f>
        <v/>
      </c>
      <c r="AH68" s="302" t="str">
        <f>+VL!$K23</f>
        <v/>
      </c>
      <c r="AI68" s="303" t="str">
        <f>+VL!$K24</f>
        <v/>
      </c>
      <c r="AJ68" s="304" t="str">
        <f>+VL!$K25</f>
        <v/>
      </c>
      <c r="AK68" s="302" t="str">
        <f>+VL!$K26</f>
        <v/>
      </c>
      <c r="AL68" s="302" t="str">
        <f>+VL!$K27</f>
        <v/>
      </c>
      <c r="AM68" s="303" t="str">
        <f>+VL!$K28</f>
        <v/>
      </c>
      <c r="AN68" s="304" t="str">
        <f>+VL!$K29</f>
        <v/>
      </c>
      <c r="AO68" s="302" t="str">
        <f>+VL!$K30</f>
        <v/>
      </c>
      <c r="AP68" s="302" t="str">
        <f>+VL!$K31</f>
        <v/>
      </c>
      <c r="AQ68" s="303" t="str">
        <f>+VL!$K32</f>
        <v/>
      </c>
      <c r="AR68" s="304" t="str">
        <f>+VL!$K33</f>
        <v/>
      </c>
      <c r="AS68" s="302" t="str">
        <f>+VL!$K34</f>
        <v/>
      </c>
      <c r="AT68" s="302" t="str">
        <f>+VL!$K35</f>
        <v/>
      </c>
      <c r="AU68" s="303" t="str">
        <f>+VL!$K36</f>
        <v/>
      </c>
      <c r="AV68" s="304" t="str">
        <f>+VL!$K37</f>
        <v/>
      </c>
      <c r="AW68" s="302" t="str">
        <f>+VL!$K38</f>
        <v/>
      </c>
      <c r="AX68" s="302" t="str">
        <f>+VL!$K39</f>
        <v/>
      </c>
      <c r="AY68" s="303" t="str">
        <f>+VL!$K40</f>
        <v/>
      </c>
      <c r="AZ68" s="304" t="str">
        <f>+VL!$K41</f>
        <v/>
      </c>
      <c r="BA68" s="302" t="str">
        <f>+VL!$K42</f>
        <v/>
      </c>
      <c r="BB68" s="302" t="str">
        <f>+VL!$K43</f>
        <v/>
      </c>
      <c r="BC68" s="303" t="str">
        <f>+VL!$K44</f>
        <v/>
      </c>
      <c r="BD68" s="304" t="str">
        <f>+VL!$K45</f>
        <v/>
      </c>
      <c r="BE68" s="302" t="str">
        <f>+VL!$K46</f>
        <v/>
      </c>
      <c r="BF68" s="302" t="str">
        <f>+VL!$K47</f>
        <v/>
      </c>
      <c r="BG68" s="303" t="str">
        <f>+VL!$K48</f>
        <v/>
      </c>
      <c r="BH68" s="304" t="str">
        <f>+VL!$K49</f>
        <v/>
      </c>
      <c r="BI68" s="302" t="str">
        <f>+VL!$K50</f>
        <v/>
      </c>
      <c r="BJ68" s="302" t="str">
        <f>+VL!$K51</f>
        <v/>
      </c>
      <c r="BK68" s="303" t="str">
        <f>+VL!$K52</f>
        <v/>
      </c>
      <c r="BL68" s="304" t="str">
        <f>+VL!$K53</f>
        <v/>
      </c>
      <c r="BM68" s="302" t="str">
        <f>+VL!$K54</f>
        <v/>
      </c>
      <c r="BN68" s="302" t="str">
        <f>+VL!$K55</f>
        <v/>
      </c>
      <c r="BO68" s="303" t="str">
        <f>+VL!$K56</f>
        <v/>
      </c>
      <c r="BP68" s="304" t="str">
        <f>+VL!$K57</f>
        <v/>
      </c>
      <c r="BQ68" s="302" t="str">
        <f>+VL!$K58</f>
        <v/>
      </c>
      <c r="BR68" s="302" t="str">
        <f>+VL!$K59</f>
        <v/>
      </c>
      <c r="BS68" s="303" t="str">
        <f>+VL!$K60</f>
        <v/>
      </c>
      <c r="BT68" s="304" t="str">
        <f>+VL!$K61</f>
        <v/>
      </c>
      <c r="BU68" s="302" t="str">
        <f>+VL!$K62</f>
        <v/>
      </c>
      <c r="BV68" s="302" t="str">
        <f>+VL!$K63</f>
        <v/>
      </c>
      <c r="BW68" s="303" t="str">
        <f>+VL!$K64</f>
        <v/>
      </c>
      <c r="BX68" s="304"/>
      <c r="BY68" s="302"/>
      <c r="BZ68" s="302"/>
      <c r="CA68" s="303"/>
      <c r="CB68" s="304"/>
      <c r="CC68" s="302"/>
      <c r="CD68" s="302"/>
      <c r="CE68" s="303"/>
    </row>
    <row r="69" spans="1:84" s="158" customFormat="1" ht="45" hidden="1" customHeight="1">
      <c r="A69" s="157"/>
      <c r="B69" s="157"/>
      <c r="C69" s="157"/>
      <c r="D69" s="157"/>
      <c r="E69" s="157"/>
      <c r="F69" s="353" t="s">
        <v>53</v>
      </c>
      <c r="G69" s="305" t="s">
        <v>54</v>
      </c>
      <c r="H69" s="294"/>
      <c r="I69" s="294"/>
      <c r="J69" s="294"/>
      <c r="K69" s="295"/>
      <c r="L69" s="293"/>
      <c r="M69" s="294"/>
      <c r="N69" s="294"/>
      <c r="O69" s="295"/>
      <c r="P69" s="293" t="str">
        <f>IF(ISERROR(P68*$CF$69/100),"",P68*$CF$69/100)</f>
        <v/>
      </c>
      <c r="Q69" s="294" t="str">
        <f>IF(ISERROR(Q68*$CF$69/100),"",Q68*$CF$69/100)</f>
        <v/>
      </c>
      <c r="R69" s="294" t="str">
        <f>IF(ISERROR(R68*$CF$69/100),"",R68*$CF$69/100)</f>
        <v/>
      </c>
      <c r="S69" s="295" t="str">
        <f t="shared" ref="S69:BW69" si="92">IF(ISERROR(S68*$CF$69/100),"",S68*$CF$69/100)</f>
        <v/>
      </c>
      <c r="T69" s="293" t="str">
        <f t="shared" si="92"/>
        <v/>
      </c>
      <c r="U69" s="294" t="str">
        <f t="shared" si="92"/>
        <v/>
      </c>
      <c r="V69" s="294" t="str">
        <f t="shared" si="92"/>
        <v/>
      </c>
      <c r="W69" s="295" t="str">
        <f t="shared" si="92"/>
        <v/>
      </c>
      <c r="X69" s="293" t="str">
        <f t="shared" si="92"/>
        <v/>
      </c>
      <c r="Y69" s="294" t="str">
        <f t="shared" si="92"/>
        <v/>
      </c>
      <c r="Z69" s="294" t="str">
        <f t="shared" si="92"/>
        <v/>
      </c>
      <c r="AA69" s="295" t="str">
        <f t="shared" si="92"/>
        <v/>
      </c>
      <c r="AB69" s="293" t="str">
        <f t="shared" si="92"/>
        <v/>
      </c>
      <c r="AC69" s="294" t="str">
        <f t="shared" si="92"/>
        <v/>
      </c>
      <c r="AD69" s="294" t="str">
        <f t="shared" si="92"/>
        <v/>
      </c>
      <c r="AE69" s="295" t="str">
        <f t="shared" si="92"/>
        <v/>
      </c>
      <c r="AF69" s="293" t="str">
        <f t="shared" si="92"/>
        <v/>
      </c>
      <c r="AG69" s="294" t="str">
        <f t="shared" si="92"/>
        <v/>
      </c>
      <c r="AH69" s="294" t="str">
        <f t="shared" si="92"/>
        <v/>
      </c>
      <c r="AI69" s="295" t="str">
        <f t="shared" si="92"/>
        <v/>
      </c>
      <c r="AJ69" s="293" t="str">
        <f t="shared" si="92"/>
        <v/>
      </c>
      <c r="AK69" s="294" t="str">
        <f t="shared" si="92"/>
        <v/>
      </c>
      <c r="AL69" s="294" t="str">
        <f t="shared" si="92"/>
        <v/>
      </c>
      <c r="AM69" s="295" t="str">
        <f t="shared" si="92"/>
        <v/>
      </c>
      <c r="AN69" s="293" t="str">
        <f t="shared" si="92"/>
        <v/>
      </c>
      <c r="AO69" s="294" t="str">
        <f t="shared" si="92"/>
        <v/>
      </c>
      <c r="AP69" s="294" t="str">
        <f t="shared" si="92"/>
        <v/>
      </c>
      <c r="AQ69" s="295" t="str">
        <f t="shared" si="92"/>
        <v/>
      </c>
      <c r="AR69" s="293" t="str">
        <f t="shared" si="92"/>
        <v/>
      </c>
      <c r="AS69" s="294" t="str">
        <f t="shared" si="92"/>
        <v/>
      </c>
      <c r="AT69" s="294" t="str">
        <f t="shared" si="92"/>
        <v/>
      </c>
      <c r="AU69" s="295" t="str">
        <f t="shared" si="92"/>
        <v/>
      </c>
      <c r="AV69" s="293" t="str">
        <f t="shared" si="92"/>
        <v/>
      </c>
      <c r="AW69" s="294" t="str">
        <f t="shared" si="92"/>
        <v/>
      </c>
      <c r="AX69" s="294" t="str">
        <f t="shared" si="92"/>
        <v/>
      </c>
      <c r="AY69" s="295" t="str">
        <f t="shared" si="92"/>
        <v/>
      </c>
      <c r="AZ69" s="293" t="str">
        <f t="shared" si="92"/>
        <v/>
      </c>
      <c r="BA69" s="294" t="str">
        <f t="shared" si="92"/>
        <v/>
      </c>
      <c r="BB69" s="294" t="str">
        <f t="shared" si="92"/>
        <v/>
      </c>
      <c r="BC69" s="295" t="str">
        <f t="shared" si="92"/>
        <v/>
      </c>
      <c r="BD69" s="293" t="str">
        <f t="shared" si="92"/>
        <v/>
      </c>
      <c r="BE69" s="294" t="str">
        <f t="shared" si="92"/>
        <v/>
      </c>
      <c r="BF69" s="294" t="str">
        <f t="shared" si="92"/>
        <v/>
      </c>
      <c r="BG69" s="295" t="str">
        <f t="shared" si="92"/>
        <v/>
      </c>
      <c r="BH69" s="293" t="str">
        <f t="shared" si="92"/>
        <v/>
      </c>
      <c r="BI69" s="294" t="str">
        <f t="shared" si="92"/>
        <v/>
      </c>
      <c r="BJ69" s="294" t="str">
        <f t="shared" si="92"/>
        <v/>
      </c>
      <c r="BK69" s="295" t="str">
        <f t="shared" si="92"/>
        <v/>
      </c>
      <c r="BL69" s="293" t="str">
        <f t="shared" si="92"/>
        <v/>
      </c>
      <c r="BM69" s="294" t="str">
        <f t="shared" si="92"/>
        <v/>
      </c>
      <c r="BN69" s="294" t="str">
        <f t="shared" si="92"/>
        <v/>
      </c>
      <c r="BO69" s="295" t="str">
        <f t="shared" si="92"/>
        <v/>
      </c>
      <c r="BP69" s="293" t="str">
        <f t="shared" si="92"/>
        <v/>
      </c>
      <c r="BQ69" s="294" t="str">
        <f t="shared" si="92"/>
        <v/>
      </c>
      <c r="BR69" s="294" t="str">
        <f t="shared" si="92"/>
        <v/>
      </c>
      <c r="BS69" s="295" t="str">
        <f t="shared" si="92"/>
        <v/>
      </c>
      <c r="BT69" s="293" t="str">
        <f t="shared" si="92"/>
        <v/>
      </c>
      <c r="BU69" s="294" t="str">
        <f t="shared" si="92"/>
        <v/>
      </c>
      <c r="BV69" s="294" t="str">
        <f t="shared" si="92"/>
        <v/>
      </c>
      <c r="BW69" s="295" t="str">
        <f t="shared" si="92"/>
        <v/>
      </c>
      <c r="BX69" s="293"/>
      <c r="BY69" s="294"/>
      <c r="BZ69" s="294"/>
      <c r="CA69" s="295"/>
      <c r="CB69" s="293"/>
      <c r="CC69" s="294"/>
      <c r="CD69" s="294"/>
      <c r="CE69" s="295"/>
      <c r="CF69" s="174">
        <f>+GRA!$C$7</f>
        <v>0</v>
      </c>
    </row>
    <row r="70" spans="1:84" s="288" customFormat="1" ht="45" hidden="1" customHeight="1">
      <c r="A70" s="153"/>
      <c r="B70" s="153"/>
      <c r="C70" s="153"/>
      <c r="D70" s="153"/>
      <c r="E70" s="287"/>
      <c r="F70" s="354"/>
      <c r="G70" s="292" t="s">
        <v>36</v>
      </c>
      <c r="H70" s="294"/>
      <c r="I70" s="294"/>
      <c r="J70" s="294"/>
      <c r="K70" s="295"/>
      <c r="L70" s="293"/>
      <c r="M70" s="294"/>
      <c r="N70" s="294"/>
      <c r="O70" s="295"/>
      <c r="P70" s="293"/>
      <c r="Q70" s="294"/>
      <c r="R70" s="296" t="str">
        <f>IF(ISERROR(R69/(R5*0.25)),"",R69/(R5*0.25))</f>
        <v/>
      </c>
      <c r="S70" s="297" t="str">
        <f t="shared" ref="S70:BS70" si="93">IF(ISERROR(S69/(S5*0.25)),"",S69/(S5*0.25))</f>
        <v/>
      </c>
      <c r="T70" s="298" t="str">
        <f t="shared" si="93"/>
        <v/>
      </c>
      <c r="U70" s="296" t="str">
        <f t="shared" si="93"/>
        <v/>
      </c>
      <c r="V70" s="296" t="str">
        <f t="shared" si="93"/>
        <v/>
      </c>
      <c r="W70" s="297" t="str">
        <f t="shared" si="93"/>
        <v/>
      </c>
      <c r="X70" s="298" t="str">
        <f t="shared" si="93"/>
        <v/>
      </c>
      <c r="Y70" s="296" t="str">
        <f t="shared" si="93"/>
        <v/>
      </c>
      <c r="Z70" s="296" t="str">
        <f t="shared" si="93"/>
        <v/>
      </c>
      <c r="AA70" s="297" t="str">
        <f t="shared" si="93"/>
        <v/>
      </c>
      <c r="AB70" s="298" t="str">
        <f t="shared" si="93"/>
        <v/>
      </c>
      <c r="AC70" s="296" t="str">
        <f t="shared" si="93"/>
        <v/>
      </c>
      <c r="AD70" s="296" t="str">
        <f t="shared" si="93"/>
        <v/>
      </c>
      <c r="AE70" s="297" t="str">
        <f t="shared" si="93"/>
        <v/>
      </c>
      <c r="AF70" s="298" t="str">
        <f t="shared" si="93"/>
        <v/>
      </c>
      <c r="AG70" s="296" t="str">
        <f t="shared" si="93"/>
        <v/>
      </c>
      <c r="AH70" s="296" t="str">
        <f t="shared" si="93"/>
        <v/>
      </c>
      <c r="AI70" s="297" t="str">
        <f t="shared" si="93"/>
        <v/>
      </c>
      <c r="AJ70" s="298" t="str">
        <f t="shared" si="93"/>
        <v/>
      </c>
      <c r="AK70" s="296" t="str">
        <f t="shared" si="93"/>
        <v/>
      </c>
      <c r="AL70" s="296" t="str">
        <f t="shared" si="93"/>
        <v/>
      </c>
      <c r="AM70" s="297" t="str">
        <f t="shared" si="93"/>
        <v/>
      </c>
      <c r="AN70" s="298" t="str">
        <f t="shared" si="93"/>
        <v/>
      </c>
      <c r="AO70" s="296" t="str">
        <f t="shared" si="93"/>
        <v/>
      </c>
      <c r="AP70" s="296" t="str">
        <f t="shared" si="93"/>
        <v/>
      </c>
      <c r="AQ70" s="297" t="str">
        <f t="shared" si="93"/>
        <v/>
      </c>
      <c r="AR70" s="298" t="str">
        <f t="shared" si="93"/>
        <v/>
      </c>
      <c r="AS70" s="296" t="str">
        <f t="shared" si="93"/>
        <v/>
      </c>
      <c r="AT70" s="296" t="str">
        <f t="shared" si="93"/>
        <v/>
      </c>
      <c r="AU70" s="297" t="str">
        <f t="shared" si="93"/>
        <v/>
      </c>
      <c r="AV70" s="298" t="str">
        <f t="shared" si="93"/>
        <v/>
      </c>
      <c r="AW70" s="296" t="str">
        <f t="shared" si="93"/>
        <v/>
      </c>
      <c r="AX70" s="296" t="str">
        <f t="shared" si="93"/>
        <v/>
      </c>
      <c r="AY70" s="297" t="str">
        <f t="shared" si="93"/>
        <v/>
      </c>
      <c r="AZ70" s="298" t="str">
        <f t="shared" si="93"/>
        <v/>
      </c>
      <c r="BA70" s="296" t="str">
        <f t="shared" si="93"/>
        <v/>
      </c>
      <c r="BB70" s="296" t="str">
        <f t="shared" si="93"/>
        <v/>
      </c>
      <c r="BC70" s="297" t="str">
        <f t="shared" si="93"/>
        <v/>
      </c>
      <c r="BD70" s="298" t="str">
        <f t="shared" si="93"/>
        <v/>
      </c>
      <c r="BE70" s="296" t="str">
        <f t="shared" si="93"/>
        <v/>
      </c>
      <c r="BF70" s="296" t="str">
        <f t="shared" si="93"/>
        <v/>
      </c>
      <c r="BG70" s="297" t="str">
        <f t="shared" si="93"/>
        <v/>
      </c>
      <c r="BH70" s="298" t="str">
        <f t="shared" si="93"/>
        <v/>
      </c>
      <c r="BI70" s="296" t="str">
        <f t="shared" si="93"/>
        <v/>
      </c>
      <c r="BJ70" s="296" t="str">
        <f t="shared" si="93"/>
        <v/>
      </c>
      <c r="BK70" s="297" t="str">
        <f t="shared" si="93"/>
        <v/>
      </c>
      <c r="BL70" s="298" t="str">
        <f t="shared" si="93"/>
        <v/>
      </c>
      <c r="BM70" s="296" t="str">
        <f t="shared" si="93"/>
        <v/>
      </c>
      <c r="BN70" s="296" t="str">
        <f t="shared" si="93"/>
        <v/>
      </c>
      <c r="BO70" s="297" t="str">
        <f t="shared" si="93"/>
        <v/>
      </c>
      <c r="BP70" s="298" t="str">
        <f t="shared" si="93"/>
        <v/>
      </c>
      <c r="BQ70" s="296" t="str">
        <f t="shared" si="93"/>
        <v/>
      </c>
      <c r="BR70" s="296" t="str">
        <f t="shared" si="93"/>
        <v/>
      </c>
      <c r="BS70" s="297" t="str">
        <f t="shared" si="93"/>
        <v/>
      </c>
      <c r="BT70" s="299"/>
      <c r="BU70" s="300"/>
      <c r="BV70" s="300"/>
      <c r="BW70" s="301"/>
      <c r="BX70" s="299"/>
      <c r="BY70" s="300"/>
      <c r="BZ70" s="300"/>
      <c r="CA70" s="301"/>
      <c r="CB70" s="299"/>
      <c r="CC70" s="300"/>
      <c r="CD70" s="300"/>
      <c r="CE70" s="301"/>
    </row>
    <row r="71" spans="1:84" ht="20.100000000000001" customHeight="1">
      <c r="F71" s="152"/>
      <c r="G71" s="151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</row>
    <row r="72" spans="1:84" ht="20.100000000000001" customHeight="1">
      <c r="F72" s="152"/>
      <c r="G72" s="151"/>
    </row>
    <row r="73" spans="1:84" ht="20.100000000000001" customHeight="1">
      <c r="F73" s="152"/>
      <c r="G73" s="151"/>
    </row>
    <row r="74" spans="1:84" ht="20.100000000000001" customHeight="1">
      <c r="F74" s="152"/>
      <c r="G74" s="151"/>
    </row>
    <row r="75" spans="1:84" ht="20.100000000000001" customHeight="1">
      <c r="F75" s="152"/>
      <c r="G75" s="151"/>
    </row>
    <row r="76" spans="1:84" ht="20.100000000000001" customHeight="1">
      <c r="F76" s="152"/>
      <c r="G76" s="151"/>
    </row>
    <row r="77" spans="1:84" ht="20.100000000000001" customHeight="1">
      <c r="F77" s="152"/>
      <c r="G77" s="151"/>
    </row>
    <row r="78" spans="1:84" ht="20.100000000000001" customHeight="1">
      <c r="F78" s="152"/>
      <c r="G78" s="151"/>
    </row>
    <row r="79" spans="1:84" ht="20.100000000000001" customHeight="1">
      <c r="F79" s="152"/>
      <c r="G79" s="151"/>
    </row>
    <row r="80" spans="1:84" ht="20.100000000000001" customHeight="1">
      <c r="F80" s="152"/>
      <c r="G80" s="151"/>
    </row>
    <row r="81" spans="6:7" ht="20.100000000000001" customHeight="1">
      <c r="F81" s="152"/>
      <c r="G81" s="151"/>
    </row>
    <row r="82" spans="6:7" ht="20.100000000000001" customHeight="1">
      <c r="F82" s="152"/>
      <c r="G82" s="151"/>
    </row>
    <row r="83" spans="6:7" ht="20.100000000000001" customHeight="1">
      <c r="F83" s="152"/>
      <c r="G83" s="151"/>
    </row>
    <row r="84" spans="6:7" ht="20.100000000000001" customHeight="1">
      <c r="F84" s="152"/>
      <c r="G84" s="151"/>
    </row>
    <row r="85" spans="6:7" ht="20.100000000000001" customHeight="1">
      <c r="F85" s="152"/>
      <c r="G85" s="151"/>
    </row>
    <row r="86" spans="6:7" ht="20.100000000000001" customHeight="1">
      <c r="F86" s="152"/>
      <c r="G86" s="151"/>
    </row>
    <row r="87" spans="6:7" ht="20.100000000000001" customHeight="1">
      <c r="F87" s="152"/>
      <c r="G87" s="151"/>
    </row>
    <row r="88" spans="6:7" ht="20.100000000000001" customHeight="1">
      <c r="F88" s="152"/>
      <c r="G88" s="151"/>
    </row>
    <row r="89" spans="6:7" ht="20.100000000000001" customHeight="1">
      <c r="F89" s="152"/>
      <c r="G89" s="151"/>
    </row>
    <row r="90" spans="6:7" ht="20.100000000000001" customHeight="1">
      <c r="F90" s="152"/>
      <c r="G90" s="151"/>
    </row>
    <row r="91" spans="6:7" ht="20.100000000000001" customHeight="1">
      <c r="F91" s="152"/>
      <c r="G91" s="151"/>
    </row>
    <row r="92" spans="6:7" ht="20.100000000000001" customHeight="1">
      <c r="F92" s="152"/>
      <c r="G92" s="151"/>
    </row>
    <row r="93" spans="6:7" ht="20.100000000000001" customHeight="1">
      <c r="F93" s="152"/>
      <c r="G93" s="151"/>
    </row>
    <row r="94" spans="6:7" ht="20.100000000000001" customHeight="1">
      <c r="F94" s="152"/>
      <c r="G94" s="151"/>
    </row>
    <row r="95" spans="6:7" ht="20.100000000000001" customHeight="1">
      <c r="F95" s="152"/>
      <c r="G95" s="151"/>
    </row>
    <row r="96" spans="6:7" ht="20.100000000000001" customHeight="1">
      <c r="F96" s="152"/>
      <c r="G96" s="151"/>
    </row>
    <row r="97" spans="6:7" ht="20.100000000000001" customHeight="1">
      <c r="F97" s="152"/>
      <c r="G97" s="151"/>
    </row>
    <row r="98" spans="6:7" ht="20.100000000000001" customHeight="1">
      <c r="F98" s="152"/>
      <c r="G98" s="151"/>
    </row>
    <row r="99" spans="6:7" ht="20.100000000000001" customHeight="1">
      <c r="F99" s="152"/>
      <c r="G99" s="151"/>
    </row>
    <row r="100" spans="6:7" ht="20.100000000000001" customHeight="1">
      <c r="F100" s="152"/>
      <c r="G100" s="151"/>
    </row>
    <row r="101" spans="6:7" ht="20.100000000000001" customHeight="1">
      <c r="F101" s="152"/>
      <c r="G101" s="151"/>
    </row>
    <row r="102" spans="6:7" ht="20.100000000000001" customHeight="1">
      <c r="F102" s="152"/>
      <c r="G102" s="151"/>
    </row>
    <row r="103" spans="6:7" ht="20.100000000000001" customHeight="1">
      <c r="F103" s="152"/>
      <c r="G103" s="151"/>
    </row>
    <row r="104" spans="6:7" ht="20.100000000000001" customHeight="1">
      <c r="F104" s="152"/>
      <c r="G104" s="151"/>
    </row>
    <row r="105" spans="6:7" ht="20.100000000000001" customHeight="1">
      <c r="F105" s="152"/>
      <c r="G105" s="151"/>
    </row>
    <row r="106" spans="6:7" ht="20.100000000000001" customHeight="1">
      <c r="F106" s="152"/>
      <c r="G106" s="151"/>
    </row>
    <row r="107" spans="6:7" ht="20.100000000000001" customHeight="1">
      <c r="F107" s="152"/>
      <c r="G107" s="151"/>
    </row>
    <row r="108" spans="6:7" ht="20.100000000000001" customHeight="1">
      <c r="F108" s="152"/>
      <c r="G108" s="151"/>
    </row>
    <row r="109" spans="6:7" ht="20.100000000000001" customHeight="1">
      <c r="F109" s="152"/>
      <c r="G109" s="151"/>
    </row>
    <row r="110" spans="6:7" ht="20.100000000000001" customHeight="1">
      <c r="F110" s="152"/>
      <c r="G110" s="151"/>
    </row>
    <row r="111" spans="6:7" ht="20.100000000000001" customHeight="1">
      <c r="F111" s="152"/>
      <c r="G111" s="151"/>
    </row>
    <row r="112" spans="6:7" ht="20.100000000000001" customHeight="1">
      <c r="F112" s="152"/>
      <c r="G112" s="151"/>
    </row>
    <row r="113" spans="6:7" ht="20.100000000000001" customHeight="1">
      <c r="F113" s="152"/>
      <c r="G113" s="151"/>
    </row>
    <row r="114" spans="6:7" ht="20.100000000000001" customHeight="1">
      <c r="F114" s="152"/>
      <c r="G114" s="151"/>
    </row>
    <row r="115" spans="6:7" ht="20.100000000000001" customHeight="1">
      <c r="F115" s="152"/>
      <c r="G115" s="151"/>
    </row>
    <row r="116" spans="6:7" ht="20.100000000000001" customHeight="1">
      <c r="F116" s="152"/>
      <c r="G116" s="151"/>
    </row>
    <row r="117" spans="6:7" ht="20.100000000000001" customHeight="1">
      <c r="F117" s="152"/>
      <c r="G117" s="151"/>
    </row>
    <row r="118" spans="6:7" ht="20.100000000000001" customHeight="1">
      <c r="F118" s="152"/>
      <c r="G118" s="151"/>
    </row>
    <row r="119" spans="6:7" ht="20.100000000000001" customHeight="1">
      <c r="F119" s="152"/>
      <c r="G119" s="151"/>
    </row>
    <row r="120" spans="6:7" ht="20.100000000000001" customHeight="1">
      <c r="F120" s="152"/>
      <c r="G120" s="151"/>
    </row>
    <row r="121" spans="6:7" ht="20.100000000000001" customHeight="1">
      <c r="F121" s="152"/>
      <c r="G121" s="151"/>
    </row>
    <row r="122" spans="6:7" ht="20.100000000000001" customHeight="1">
      <c r="F122" s="152"/>
      <c r="G122" s="151"/>
    </row>
    <row r="123" spans="6:7" ht="20.100000000000001" customHeight="1">
      <c r="F123" s="152"/>
      <c r="G123" s="151"/>
    </row>
    <row r="124" spans="6:7" ht="20.100000000000001" customHeight="1">
      <c r="F124" s="152"/>
      <c r="G124" s="151"/>
    </row>
    <row r="125" spans="6:7" ht="20.100000000000001" customHeight="1">
      <c r="F125" s="152"/>
      <c r="G125" s="151"/>
    </row>
    <row r="126" spans="6:7" ht="20.100000000000001" customHeight="1">
      <c r="F126" s="152"/>
      <c r="G126" s="151"/>
    </row>
    <row r="127" spans="6:7" ht="20.100000000000001" customHeight="1">
      <c r="F127" s="152"/>
      <c r="G127" s="151"/>
    </row>
    <row r="128" spans="6:7" ht="20.100000000000001" customHeight="1">
      <c r="F128" s="152"/>
      <c r="G128" s="151"/>
    </row>
    <row r="129" spans="6:7" ht="20.100000000000001" customHeight="1">
      <c r="F129" s="152"/>
      <c r="G129" s="151"/>
    </row>
    <row r="130" spans="6:7" ht="20.100000000000001" customHeight="1">
      <c r="F130" s="152"/>
      <c r="G130" s="151"/>
    </row>
    <row r="131" spans="6:7" ht="20.100000000000001" customHeight="1">
      <c r="F131" s="152"/>
      <c r="G131" s="151"/>
    </row>
    <row r="132" spans="6:7" ht="20.100000000000001" customHeight="1">
      <c r="F132" s="152"/>
      <c r="G132" s="151"/>
    </row>
  </sheetData>
  <sheetProtection algorithmName="SHA-512" hashValue="xdYI878f5MUKTdnHj4lcouenW2wqYN/fJrTcRRQOuQ3nvUqYJRWn3QyXC8LxYV/6FjDFnzIMNWV47ohrIm6nJw==" saltValue="akN+zsGVdqh2NOKwUYNkyg==" spinCount="100000" sheet="1" objects="1" scenarios="1"/>
  <autoFilter ref="F5:G54" xr:uid="{00000000-0009-0000-0000-000002000000}"/>
  <mergeCells count="2">
    <mergeCell ref="F69:F70"/>
    <mergeCell ref="F67:F68"/>
  </mergeCells>
  <phoneticPr fontId="0" type="noConversion"/>
  <conditionalFormatting sqref="H5:CE5 H46:CE54">
    <cfRule type="cellIs" dxfId="6" priority="3" stopIfTrue="1" operator="equal">
      <formula>0</formula>
    </cfRule>
  </conditionalFormatting>
  <printOptions horizontalCentered="1"/>
  <pageMargins left="0.31496062992125984" right="0.31496062992125984" top="0.55118110236220474" bottom="0.55118110236220474" header="0.31496062992125984" footer="0.31496062992125984"/>
  <pageSetup paperSize="9" scale="61" orientation="landscape" horizontalDpi="200" verticalDpi="200" r:id="rId1"/>
  <headerFooter>
    <oddFooter>&amp;L&amp;D - &amp;T&amp;R&amp;F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CI132"/>
  <sheetViews>
    <sheetView zoomScaleNormal="100" workbookViewId="0">
      <pane xSplit="7" ySplit="5" topLeftCell="H30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ColWidth="9.140625" defaultRowHeight="20.100000000000001" customHeight="1"/>
  <cols>
    <col min="1" max="1" width="6.42578125" style="11" hidden="1" customWidth="1"/>
    <col min="2" max="4" width="7.5703125" style="11" hidden="1" customWidth="1"/>
    <col min="5" max="5" width="1" style="11" customWidth="1"/>
    <col min="6" max="6" width="5" style="12" bestFit="1" customWidth="1"/>
    <col min="7" max="7" width="21.7109375" style="12" customWidth="1"/>
    <col min="8" max="84" width="2.7109375" style="12" customWidth="1"/>
    <col min="85" max="16384" width="9.140625" style="12"/>
  </cols>
  <sheetData>
    <row r="1" spans="1:87" ht="3.75" customHeight="1"/>
    <row r="2" spans="1:87" s="44" customFormat="1" ht="23.25" customHeight="1">
      <c r="A2" s="43"/>
      <c r="B2" s="43"/>
      <c r="C2" s="148"/>
      <c r="D2" s="43"/>
      <c r="E2" s="43"/>
      <c r="F2" s="30" t="str">
        <f>+TABELLA!E4&amp;" - "&amp;"LUNEDI'"</f>
        <v xml:space="preserve"> - LUNEDI'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2" t="str">
        <f>+TABELLA!E5&amp;" "&amp;TABELLA!G5&amp;"-"&amp;TABELLA!B7</f>
        <v>REPARTO -Settimana n° 47</v>
      </c>
    </row>
    <row r="3" spans="1:87" s="23" customFormat="1" ht="36" customHeight="1">
      <c r="G3" s="24">
        <v>5</v>
      </c>
      <c r="H3" s="33">
        <f>G3+0.15</f>
        <v>5.15</v>
      </c>
      <c r="I3" s="33">
        <f>H3+0.15</f>
        <v>5.3000000000000007</v>
      </c>
      <c r="J3" s="33">
        <f>I3+0.15</f>
        <v>5.4500000000000011</v>
      </c>
      <c r="K3" s="25">
        <f>G3+1</f>
        <v>6</v>
      </c>
      <c r="L3" s="33">
        <f>K3+0.15</f>
        <v>6.15</v>
      </c>
      <c r="M3" s="33">
        <f>L3+0.15</f>
        <v>6.3000000000000007</v>
      </c>
      <c r="N3" s="33">
        <f>M3+0.15</f>
        <v>6.4500000000000011</v>
      </c>
      <c r="O3" s="25">
        <f>K3+1</f>
        <v>7</v>
      </c>
      <c r="P3" s="33">
        <f>O3+0.15</f>
        <v>7.15</v>
      </c>
      <c r="Q3" s="33">
        <f>P3+0.15</f>
        <v>7.3000000000000007</v>
      </c>
      <c r="R3" s="33">
        <f>Q3+0.15</f>
        <v>7.4500000000000011</v>
      </c>
      <c r="S3" s="25">
        <f>O3+1</f>
        <v>8</v>
      </c>
      <c r="T3" s="33">
        <f>S3+0.15</f>
        <v>8.15</v>
      </c>
      <c r="U3" s="33">
        <f>T3+0.15</f>
        <v>8.3000000000000007</v>
      </c>
      <c r="V3" s="33">
        <f>U3+0.15</f>
        <v>8.4500000000000011</v>
      </c>
      <c r="W3" s="25">
        <f>S3+1</f>
        <v>9</v>
      </c>
      <c r="X3" s="33">
        <f>W3+0.15</f>
        <v>9.15</v>
      </c>
      <c r="Y3" s="33">
        <f>X3+0.15</f>
        <v>9.3000000000000007</v>
      </c>
      <c r="Z3" s="33">
        <f>Y3+0.15</f>
        <v>9.4500000000000011</v>
      </c>
      <c r="AA3" s="25">
        <f>W3+1</f>
        <v>10</v>
      </c>
      <c r="AB3" s="33">
        <f>AA3+0.15</f>
        <v>10.15</v>
      </c>
      <c r="AC3" s="33">
        <f>AB3+0.15</f>
        <v>10.3</v>
      </c>
      <c r="AD3" s="33">
        <f>AC3+0.15</f>
        <v>10.450000000000001</v>
      </c>
      <c r="AE3" s="25">
        <f>AA3+1</f>
        <v>11</v>
      </c>
      <c r="AF3" s="33">
        <f>AE3+0.15</f>
        <v>11.15</v>
      </c>
      <c r="AG3" s="33">
        <f>AF3+0.15</f>
        <v>11.3</v>
      </c>
      <c r="AH3" s="33">
        <f>AG3+0.15</f>
        <v>11.450000000000001</v>
      </c>
      <c r="AI3" s="25">
        <f>AE3+1</f>
        <v>12</v>
      </c>
      <c r="AJ3" s="33">
        <f>AI3+0.15</f>
        <v>12.15</v>
      </c>
      <c r="AK3" s="33">
        <f>AJ3+0.15</f>
        <v>12.3</v>
      </c>
      <c r="AL3" s="33">
        <f>AK3+0.15</f>
        <v>12.450000000000001</v>
      </c>
      <c r="AM3" s="25">
        <f>AI3+1</f>
        <v>13</v>
      </c>
      <c r="AN3" s="33">
        <f>AM3+0.15</f>
        <v>13.15</v>
      </c>
      <c r="AO3" s="33">
        <f>AN3+0.15</f>
        <v>13.3</v>
      </c>
      <c r="AP3" s="33">
        <f>AO3+0.15</f>
        <v>13.450000000000001</v>
      </c>
      <c r="AQ3" s="25">
        <f>AM3+1</f>
        <v>14</v>
      </c>
      <c r="AR3" s="33">
        <f>AQ3+0.15</f>
        <v>14.15</v>
      </c>
      <c r="AS3" s="33">
        <f>AR3+0.15</f>
        <v>14.3</v>
      </c>
      <c r="AT3" s="33">
        <f>AS3+0.15</f>
        <v>14.450000000000001</v>
      </c>
      <c r="AU3" s="25">
        <f>AQ3+1</f>
        <v>15</v>
      </c>
      <c r="AV3" s="33">
        <f>AU3+0.15</f>
        <v>15.15</v>
      </c>
      <c r="AW3" s="33">
        <f>AV3+0.15</f>
        <v>15.3</v>
      </c>
      <c r="AX3" s="33">
        <f>AW3+0.15</f>
        <v>15.450000000000001</v>
      </c>
      <c r="AY3" s="25">
        <f>AU3+1</f>
        <v>16</v>
      </c>
      <c r="AZ3" s="33">
        <f>AY3+0.15</f>
        <v>16.149999999999999</v>
      </c>
      <c r="BA3" s="33">
        <f>AZ3+0.15</f>
        <v>16.299999999999997</v>
      </c>
      <c r="BB3" s="33">
        <f>BA3+0.15</f>
        <v>16.449999999999996</v>
      </c>
      <c r="BC3" s="25">
        <f>AY3+1</f>
        <v>17</v>
      </c>
      <c r="BD3" s="33">
        <f>BC3+0.15</f>
        <v>17.149999999999999</v>
      </c>
      <c r="BE3" s="33">
        <f>BD3+0.15</f>
        <v>17.299999999999997</v>
      </c>
      <c r="BF3" s="33">
        <f>BE3+0.15</f>
        <v>17.449999999999996</v>
      </c>
      <c r="BG3" s="25">
        <f>BC3+1</f>
        <v>18</v>
      </c>
      <c r="BH3" s="33">
        <f>BG3+0.15</f>
        <v>18.149999999999999</v>
      </c>
      <c r="BI3" s="33">
        <f>BH3+0.15</f>
        <v>18.299999999999997</v>
      </c>
      <c r="BJ3" s="33">
        <f>BI3+0.15</f>
        <v>18.449999999999996</v>
      </c>
      <c r="BK3" s="25">
        <f>BG3+1</f>
        <v>19</v>
      </c>
      <c r="BL3" s="33">
        <f>BK3+0.15</f>
        <v>19.149999999999999</v>
      </c>
      <c r="BM3" s="33">
        <f>BL3+0.15</f>
        <v>19.299999999999997</v>
      </c>
      <c r="BN3" s="33">
        <f>BM3+0.15</f>
        <v>19.449999999999996</v>
      </c>
      <c r="BO3" s="25">
        <f>BK3+1</f>
        <v>20</v>
      </c>
      <c r="BP3" s="33">
        <f>BO3+0.15</f>
        <v>20.149999999999999</v>
      </c>
      <c r="BQ3" s="33">
        <f>BP3+0.15</f>
        <v>20.299999999999997</v>
      </c>
      <c r="BR3" s="33">
        <f>BQ3+0.15</f>
        <v>20.449999999999996</v>
      </c>
      <c r="BS3" s="25">
        <f>BO3+1</f>
        <v>21</v>
      </c>
      <c r="BT3" s="33">
        <f>BS3+0.15</f>
        <v>21.15</v>
      </c>
      <c r="BU3" s="33">
        <f>BT3+0.15</f>
        <v>21.299999999999997</v>
      </c>
      <c r="BV3" s="33">
        <f>BU3+0.15</f>
        <v>21.449999999999996</v>
      </c>
      <c r="BW3" s="25">
        <f>BS3+1</f>
        <v>22</v>
      </c>
      <c r="BX3" s="33">
        <f>BW3+0.15</f>
        <v>22.15</v>
      </c>
      <c r="BY3" s="33">
        <f>BX3+0.15</f>
        <v>22.299999999999997</v>
      </c>
      <c r="BZ3" s="33">
        <f>BY3+0.15</f>
        <v>22.449999999999996</v>
      </c>
      <c r="CA3" s="25">
        <f>BW3+1</f>
        <v>23</v>
      </c>
      <c r="CB3" s="33">
        <f>CA3+0.15</f>
        <v>23.15</v>
      </c>
      <c r="CC3" s="33">
        <f>CB3+0.15</f>
        <v>23.299999999999997</v>
      </c>
      <c r="CD3" s="33">
        <f>CC3+0.15</f>
        <v>23.449999999999996</v>
      </c>
      <c r="CE3" s="25">
        <f>CA3+1</f>
        <v>24</v>
      </c>
      <c r="CF3" s="34"/>
      <c r="CG3" s="34"/>
      <c r="CH3" s="34"/>
      <c r="CI3" s="34"/>
    </row>
    <row r="4" spans="1:87" ht="4.5" customHeight="1">
      <c r="H4" s="14"/>
      <c r="I4" s="15"/>
      <c r="J4" s="15"/>
      <c r="K4" s="15"/>
      <c r="L4" s="14"/>
      <c r="M4" s="15"/>
      <c r="N4" s="15"/>
      <c r="O4" s="15"/>
      <c r="P4" s="14"/>
      <c r="Q4" s="15"/>
      <c r="R4" s="15"/>
      <c r="S4" s="15"/>
      <c r="T4" s="14"/>
      <c r="U4" s="15"/>
      <c r="V4" s="15"/>
      <c r="W4" s="15"/>
      <c r="X4" s="14"/>
      <c r="Y4" s="15"/>
      <c r="Z4" s="15"/>
      <c r="AA4" s="15"/>
      <c r="AB4" s="14"/>
      <c r="AC4" s="15"/>
      <c r="AD4" s="15"/>
      <c r="AE4" s="15"/>
      <c r="AF4" s="14"/>
      <c r="AG4" s="15"/>
      <c r="AH4" s="15"/>
      <c r="AI4" s="15"/>
      <c r="AJ4" s="14"/>
      <c r="AK4" s="15"/>
      <c r="AL4" s="15"/>
      <c r="AM4" s="15"/>
      <c r="AN4" s="14"/>
      <c r="AO4" s="15"/>
      <c r="AP4" s="15"/>
      <c r="AQ4" s="15"/>
      <c r="AR4" s="14"/>
      <c r="AS4" s="15"/>
      <c r="AT4" s="15"/>
      <c r="AU4" s="15"/>
      <c r="AV4" s="14"/>
      <c r="AW4" s="15"/>
      <c r="AX4" s="15"/>
      <c r="AY4" s="15"/>
      <c r="AZ4" s="14"/>
      <c r="BA4" s="15"/>
      <c r="BB4" s="15"/>
      <c r="BC4" s="15"/>
      <c r="BD4" s="14"/>
      <c r="BE4" s="15"/>
      <c r="BF4" s="15"/>
      <c r="BG4" s="15"/>
      <c r="BH4" s="14"/>
      <c r="BI4" s="15"/>
      <c r="BJ4" s="15"/>
      <c r="BK4" s="15"/>
      <c r="BL4" s="14"/>
      <c r="BM4" s="15"/>
      <c r="BN4" s="15"/>
      <c r="BO4" s="15"/>
      <c r="BP4" s="14"/>
      <c r="BQ4" s="15"/>
      <c r="BR4" s="15"/>
      <c r="BS4" s="15"/>
      <c r="BT4" s="14"/>
      <c r="BU4" s="15"/>
      <c r="BV4" s="15"/>
      <c r="BW4" s="15"/>
      <c r="BX4" s="15"/>
      <c r="BY4" s="15"/>
      <c r="BZ4" s="15"/>
      <c r="CA4" s="15"/>
      <c r="CB4" s="14"/>
      <c r="CC4" s="15"/>
      <c r="CD4" s="15"/>
      <c r="CE4" s="15"/>
      <c r="CF4" s="13"/>
      <c r="CG4" s="13"/>
      <c r="CH4" s="13"/>
      <c r="CI4" s="13"/>
    </row>
    <row r="5" spans="1:87" s="29" customFormat="1" ht="49.5" customHeight="1">
      <c r="A5" s="35" t="s">
        <v>0</v>
      </c>
      <c r="B5" s="35" t="s">
        <v>1</v>
      </c>
      <c r="C5" s="35" t="s">
        <v>0</v>
      </c>
      <c r="D5" s="35" t="s">
        <v>1</v>
      </c>
      <c r="E5" s="35"/>
      <c r="F5" s="36" t="str">
        <f>+TABELLA!B8</f>
        <v>REP.</v>
      </c>
      <c r="G5" s="36" t="str">
        <f>+TABELLA!C8</f>
        <v>NOMINATIVO</v>
      </c>
      <c r="H5" s="37">
        <f>SUM(H6:H45)</f>
        <v>0</v>
      </c>
      <c r="I5" s="38">
        <f t="shared" ref="I5:BT5" si="0">SUM(I6:I45)</f>
        <v>0</v>
      </c>
      <c r="J5" s="38">
        <f t="shared" si="0"/>
        <v>0</v>
      </c>
      <c r="K5" s="39">
        <f t="shared" si="0"/>
        <v>0</v>
      </c>
      <c r="L5" s="37">
        <f t="shared" si="0"/>
        <v>0</v>
      </c>
      <c r="M5" s="38">
        <f t="shared" si="0"/>
        <v>0</v>
      </c>
      <c r="N5" s="38">
        <f t="shared" si="0"/>
        <v>0</v>
      </c>
      <c r="O5" s="39">
        <f t="shared" si="0"/>
        <v>0</v>
      </c>
      <c r="P5" s="37">
        <f t="shared" si="0"/>
        <v>0</v>
      </c>
      <c r="Q5" s="38">
        <f t="shared" si="0"/>
        <v>0</v>
      </c>
      <c r="R5" s="38">
        <f t="shared" si="0"/>
        <v>0</v>
      </c>
      <c r="S5" s="39">
        <f t="shared" si="0"/>
        <v>0</v>
      </c>
      <c r="T5" s="37">
        <f>SUM(T6:T45)</f>
        <v>1</v>
      </c>
      <c r="U5" s="38">
        <f t="shared" si="0"/>
        <v>1</v>
      </c>
      <c r="V5" s="38">
        <f t="shared" si="0"/>
        <v>1</v>
      </c>
      <c r="W5" s="39">
        <f t="shared" si="0"/>
        <v>1</v>
      </c>
      <c r="X5" s="37">
        <f t="shared" si="0"/>
        <v>2</v>
      </c>
      <c r="Y5" s="38">
        <f t="shared" si="0"/>
        <v>2</v>
      </c>
      <c r="Z5" s="38">
        <f t="shared" si="0"/>
        <v>4</v>
      </c>
      <c r="AA5" s="39">
        <f t="shared" si="0"/>
        <v>4</v>
      </c>
      <c r="AB5" s="37">
        <f t="shared" si="0"/>
        <v>3</v>
      </c>
      <c r="AC5" s="38">
        <f t="shared" si="0"/>
        <v>3</v>
      </c>
      <c r="AD5" s="38">
        <f t="shared" si="0"/>
        <v>2</v>
      </c>
      <c r="AE5" s="39">
        <f t="shared" si="0"/>
        <v>3</v>
      </c>
      <c r="AF5" s="37">
        <f t="shared" si="0"/>
        <v>3</v>
      </c>
      <c r="AG5" s="38">
        <f t="shared" si="0"/>
        <v>3</v>
      </c>
      <c r="AH5" s="38">
        <f t="shared" si="0"/>
        <v>3</v>
      </c>
      <c r="AI5" s="39">
        <f t="shared" si="0"/>
        <v>3</v>
      </c>
      <c r="AJ5" s="37">
        <f t="shared" si="0"/>
        <v>3</v>
      </c>
      <c r="AK5" s="38">
        <f t="shared" si="0"/>
        <v>3</v>
      </c>
      <c r="AL5" s="38">
        <f t="shared" si="0"/>
        <v>3</v>
      </c>
      <c r="AM5" s="39">
        <f t="shared" si="0"/>
        <v>3</v>
      </c>
      <c r="AN5" s="37">
        <f t="shared" si="0"/>
        <v>3</v>
      </c>
      <c r="AO5" s="38">
        <f t="shared" si="0"/>
        <v>3</v>
      </c>
      <c r="AP5" s="38">
        <f t="shared" si="0"/>
        <v>2</v>
      </c>
      <c r="AQ5" s="39">
        <f t="shared" si="0"/>
        <v>2</v>
      </c>
      <c r="AR5" s="37">
        <f t="shared" si="0"/>
        <v>1</v>
      </c>
      <c r="AS5" s="38">
        <f t="shared" si="0"/>
        <v>1</v>
      </c>
      <c r="AT5" s="38">
        <f t="shared" si="0"/>
        <v>2</v>
      </c>
      <c r="AU5" s="39">
        <f t="shared" si="0"/>
        <v>1</v>
      </c>
      <c r="AV5" s="37">
        <f t="shared" si="0"/>
        <v>1</v>
      </c>
      <c r="AW5" s="38">
        <f t="shared" si="0"/>
        <v>1</v>
      </c>
      <c r="AX5" s="38">
        <f t="shared" si="0"/>
        <v>1</v>
      </c>
      <c r="AY5" s="39">
        <f t="shared" si="0"/>
        <v>1</v>
      </c>
      <c r="AZ5" s="37">
        <f t="shared" si="0"/>
        <v>1</v>
      </c>
      <c r="BA5" s="38">
        <f t="shared" si="0"/>
        <v>2</v>
      </c>
      <c r="BB5" s="38">
        <f t="shared" si="0"/>
        <v>2</v>
      </c>
      <c r="BC5" s="39">
        <f t="shared" si="0"/>
        <v>2</v>
      </c>
      <c r="BD5" s="37">
        <f t="shared" si="0"/>
        <v>2</v>
      </c>
      <c r="BE5" s="38">
        <f t="shared" si="0"/>
        <v>3</v>
      </c>
      <c r="BF5" s="38">
        <f t="shared" si="0"/>
        <v>3</v>
      </c>
      <c r="BG5" s="39">
        <f t="shared" si="0"/>
        <v>3</v>
      </c>
      <c r="BH5" s="37">
        <f t="shared" si="0"/>
        <v>3</v>
      </c>
      <c r="BI5" s="38">
        <f t="shared" si="0"/>
        <v>3</v>
      </c>
      <c r="BJ5" s="38">
        <f t="shared" si="0"/>
        <v>3</v>
      </c>
      <c r="BK5" s="39">
        <f t="shared" si="0"/>
        <v>3</v>
      </c>
      <c r="BL5" s="37">
        <f t="shared" si="0"/>
        <v>3</v>
      </c>
      <c r="BM5" s="38">
        <f t="shared" si="0"/>
        <v>3</v>
      </c>
      <c r="BN5" s="38">
        <f t="shared" si="0"/>
        <v>3</v>
      </c>
      <c r="BO5" s="39">
        <f t="shared" si="0"/>
        <v>3</v>
      </c>
      <c r="BP5" s="37">
        <f t="shared" si="0"/>
        <v>2</v>
      </c>
      <c r="BQ5" s="38">
        <f t="shared" si="0"/>
        <v>2</v>
      </c>
      <c r="BR5" s="38">
        <f t="shared" si="0"/>
        <v>2</v>
      </c>
      <c r="BS5" s="39">
        <f t="shared" si="0"/>
        <v>0</v>
      </c>
      <c r="BT5" s="37">
        <f t="shared" si="0"/>
        <v>0</v>
      </c>
      <c r="BU5" s="38">
        <f t="shared" ref="BU5:CE5" si="1">SUM(BU6:BU45)</f>
        <v>0</v>
      </c>
      <c r="BV5" s="38">
        <f t="shared" si="1"/>
        <v>0</v>
      </c>
      <c r="BW5" s="39">
        <f t="shared" si="1"/>
        <v>0</v>
      </c>
      <c r="BX5" s="37">
        <f t="shared" si="1"/>
        <v>0</v>
      </c>
      <c r="BY5" s="38">
        <f t="shared" si="1"/>
        <v>0</v>
      </c>
      <c r="BZ5" s="38">
        <f t="shared" si="1"/>
        <v>0</v>
      </c>
      <c r="CA5" s="39">
        <f t="shared" si="1"/>
        <v>0</v>
      </c>
      <c r="CB5" s="37">
        <f t="shared" si="1"/>
        <v>0</v>
      </c>
      <c r="CC5" s="38">
        <f t="shared" si="1"/>
        <v>0</v>
      </c>
      <c r="CD5" s="38">
        <f t="shared" si="1"/>
        <v>0</v>
      </c>
      <c r="CE5" s="39">
        <f t="shared" si="1"/>
        <v>0</v>
      </c>
      <c r="CF5" s="174">
        <f>SUM(H5:CE5)</f>
        <v>118</v>
      </c>
      <c r="CG5" s="40"/>
      <c r="CH5" s="40"/>
      <c r="CI5" s="40"/>
    </row>
    <row r="6" spans="1:87" s="18" customFormat="1" ht="18" customHeight="1">
      <c r="A6" s="22">
        <f>+TABELLA!I10</f>
        <v>0</v>
      </c>
      <c r="B6" s="22">
        <f>+TABELLA!J10</f>
        <v>0</v>
      </c>
      <c r="C6" s="22">
        <f>+TABELLA!K10</f>
        <v>0</v>
      </c>
      <c r="D6" s="22">
        <f>+TABELLA!L10</f>
        <v>0</v>
      </c>
      <c r="E6" s="22"/>
      <c r="F6" s="26">
        <f>IF(TABELLA!B10="","",TABELLA!B10)</f>
        <v>12</v>
      </c>
      <c r="G6" s="27" t="str">
        <f>IF(TABELLA!C10="","",TABELLA!C10)</f>
        <v>RUSSO ANTONELLA</v>
      </c>
      <c r="H6" s="203" t="str">
        <f t="shared" ref="H6:W6" si="2">IF(AND(G$3&gt;=$A6,G$3&lt;$B6),1,IF(AND(G$3&gt;=$C6,G$3&lt;$D6),1,""))</f>
        <v/>
      </c>
      <c r="I6" s="203" t="str">
        <f t="shared" si="2"/>
        <v/>
      </c>
      <c r="J6" s="203" t="str">
        <f t="shared" si="2"/>
        <v/>
      </c>
      <c r="K6" s="204" t="str">
        <f t="shared" si="2"/>
        <v/>
      </c>
      <c r="L6" s="205" t="str">
        <f t="shared" si="2"/>
        <v/>
      </c>
      <c r="M6" s="203" t="str">
        <f t="shared" si="2"/>
        <v/>
      </c>
      <c r="N6" s="203" t="str">
        <f t="shared" si="2"/>
        <v/>
      </c>
      <c r="O6" s="204" t="str">
        <f t="shared" si="2"/>
        <v/>
      </c>
      <c r="P6" s="205" t="str">
        <f t="shared" si="2"/>
        <v/>
      </c>
      <c r="Q6" s="203" t="str">
        <f t="shared" si="2"/>
        <v/>
      </c>
      <c r="R6" s="203" t="str">
        <f t="shared" si="2"/>
        <v/>
      </c>
      <c r="S6" s="204" t="str">
        <f t="shared" si="2"/>
        <v/>
      </c>
      <c r="T6" s="205" t="str">
        <f t="shared" si="2"/>
        <v/>
      </c>
      <c r="U6" s="203" t="str">
        <f t="shared" si="2"/>
        <v/>
      </c>
      <c r="V6" s="203" t="str">
        <f t="shared" si="2"/>
        <v/>
      </c>
      <c r="W6" s="204" t="str">
        <f t="shared" si="2"/>
        <v/>
      </c>
      <c r="X6" s="205" t="str">
        <f t="shared" ref="X6:AM20" si="3">IF(AND(W$3&gt;=$A6,W$3&lt;$B6),1,IF(AND(W$3&gt;=$C6,W$3&lt;$D6),1,""))</f>
        <v/>
      </c>
      <c r="Y6" s="203" t="str">
        <f t="shared" si="3"/>
        <v/>
      </c>
      <c r="Z6" s="203" t="str">
        <f t="shared" si="3"/>
        <v/>
      </c>
      <c r="AA6" s="204" t="str">
        <f t="shared" si="3"/>
        <v/>
      </c>
      <c r="AB6" s="205" t="str">
        <f t="shared" si="3"/>
        <v/>
      </c>
      <c r="AC6" s="203" t="str">
        <f t="shared" si="3"/>
        <v/>
      </c>
      <c r="AD6" s="203" t="str">
        <f t="shared" si="3"/>
        <v/>
      </c>
      <c r="AE6" s="204" t="str">
        <f t="shared" si="3"/>
        <v/>
      </c>
      <c r="AF6" s="205" t="str">
        <f t="shared" si="3"/>
        <v/>
      </c>
      <c r="AG6" s="203" t="str">
        <f t="shared" si="3"/>
        <v/>
      </c>
      <c r="AH6" s="203" t="str">
        <f t="shared" si="3"/>
        <v/>
      </c>
      <c r="AI6" s="204" t="str">
        <f t="shared" si="3"/>
        <v/>
      </c>
      <c r="AJ6" s="205" t="str">
        <f t="shared" si="3"/>
        <v/>
      </c>
      <c r="AK6" s="203" t="str">
        <f t="shared" si="3"/>
        <v/>
      </c>
      <c r="AL6" s="203" t="str">
        <f t="shared" si="3"/>
        <v/>
      </c>
      <c r="AM6" s="204" t="str">
        <f t="shared" si="3"/>
        <v/>
      </c>
      <c r="AN6" s="205" t="str">
        <f t="shared" ref="AN6:BC20" si="4">IF(AND(AM$3&gt;=$A6,AM$3&lt;$B6),1,IF(AND(AM$3&gt;=$C6,AM$3&lt;$D6),1,""))</f>
        <v/>
      </c>
      <c r="AO6" s="203" t="str">
        <f t="shared" si="4"/>
        <v/>
      </c>
      <c r="AP6" s="203" t="str">
        <f t="shared" si="4"/>
        <v/>
      </c>
      <c r="AQ6" s="204" t="str">
        <f t="shared" si="4"/>
        <v/>
      </c>
      <c r="AR6" s="205" t="str">
        <f t="shared" si="4"/>
        <v/>
      </c>
      <c r="AS6" s="203" t="str">
        <f t="shared" si="4"/>
        <v/>
      </c>
      <c r="AT6" s="203" t="str">
        <f t="shared" si="4"/>
        <v/>
      </c>
      <c r="AU6" s="204" t="str">
        <f t="shared" si="4"/>
        <v/>
      </c>
      <c r="AV6" s="205" t="str">
        <f t="shared" si="4"/>
        <v/>
      </c>
      <c r="AW6" s="203" t="str">
        <f t="shared" si="4"/>
        <v/>
      </c>
      <c r="AX6" s="203" t="str">
        <f t="shared" si="4"/>
        <v/>
      </c>
      <c r="AY6" s="204" t="str">
        <f t="shared" si="4"/>
        <v/>
      </c>
      <c r="AZ6" s="205" t="str">
        <f t="shared" si="4"/>
        <v/>
      </c>
      <c r="BA6" s="203" t="str">
        <f t="shared" si="4"/>
        <v/>
      </c>
      <c r="BB6" s="203" t="str">
        <f t="shared" si="4"/>
        <v/>
      </c>
      <c r="BC6" s="204" t="str">
        <f t="shared" si="4"/>
        <v/>
      </c>
      <c r="BD6" s="205" t="str">
        <f t="shared" ref="BD6:BS20" si="5">IF(AND(BC$3&gt;=$A6,BC$3&lt;$B6),1,IF(AND(BC$3&gt;=$C6,BC$3&lt;$D6),1,""))</f>
        <v/>
      </c>
      <c r="BE6" s="203" t="str">
        <f t="shared" si="5"/>
        <v/>
      </c>
      <c r="BF6" s="203" t="str">
        <f t="shared" si="5"/>
        <v/>
      </c>
      <c r="BG6" s="204" t="str">
        <f t="shared" si="5"/>
        <v/>
      </c>
      <c r="BH6" s="205" t="str">
        <f t="shared" si="5"/>
        <v/>
      </c>
      <c r="BI6" s="203" t="str">
        <f t="shared" si="5"/>
        <v/>
      </c>
      <c r="BJ6" s="203" t="str">
        <f t="shared" si="5"/>
        <v/>
      </c>
      <c r="BK6" s="204" t="str">
        <f t="shared" si="5"/>
        <v/>
      </c>
      <c r="BL6" s="205" t="str">
        <f t="shared" si="5"/>
        <v/>
      </c>
      <c r="BM6" s="203" t="str">
        <f t="shared" si="5"/>
        <v/>
      </c>
      <c r="BN6" s="203" t="str">
        <f t="shared" si="5"/>
        <v/>
      </c>
      <c r="BO6" s="204" t="str">
        <f t="shared" si="5"/>
        <v/>
      </c>
      <c r="BP6" s="205" t="str">
        <f t="shared" si="5"/>
        <v/>
      </c>
      <c r="BQ6" s="203" t="str">
        <f t="shared" si="5"/>
        <v/>
      </c>
      <c r="BR6" s="203" t="str">
        <f t="shared" si="5"/>
        <v/>
      </c>
      <c r="BS6" s="204" t="str">
        <f t="shared" si="5"/>
        <v/>
      </c>
      <c r="BT6" s="205" t="str">
        <f t="shared" ref="BP6:CE21" si="6">IF(AND(BS$3&gt;=$A6,BS$3&lt;$B6),1,IF(AND(BS$3&gt;=$C6,BS$3&lt;$D6),1,""))</f>
        <v/>
      </c>
      <c r="BU6" s="203" t="str">
        <f t="shared" si="6"/>
        <v/>
      </c>
      <c r="BV6" s="203" t="str">
        <f t="shared" si="6"/>
        <v/>
      </c>
      <c r="BW6" s="204" t="str">
        <f t="shared" si="6"/>
        <v/>
      </c>
      <c r="BX6" s="205" t="str">
        <f t="shared" si="6"/>
        <v/>
      </c>
      <c r="BY6" s="203" t="str">
        <f t="shared" si="6"/>
        <v/>
      </c>
      <c r="BZ6" s="203" t="str">
        <f t="shared" si="6"/>
        <v/>
      </c>
      <c r="CA6" s="204" t="str">
        <f t="shared" si="6"/>
        <v/>
      </c>
      <c r="CB6" s="205" t="str">
        <f t="shared" si="6"/>
        <v/>
      </c>
      <c r="CC6" s="203" t="str">
        <f t="shared" si="6"/>
        <v/>
      </c>
      <c r="CD6" s="203" t="str">
        <f t="shared" si="6"/>
        <v/>
      </c>
      <c r="CE6" s="204" t="str">
        <f t="shared" si="6"/>
        <v/>
      </c>
      <c r="CF6" s="17"/>
      <c r="CG6" s="16"/>
      <c r="CH6" s="13"/>
      <c r="CI6" s="16"/>
    </row>
    <row r="7" spans="1:87" s="21" customFormat="1" ht="18" customHeight="1">
      <c r="A7" s="22">
        <f>+TABELLA!I11</f>
        <v>0</v>
      </c>
      <c r="B7" s="22">
        <f>+TABELLA!J11</f>
        <v>0</v>
      </c>
      <c r="C7" s="22">
        <f>+TABELLA!K11</f>
        <v>0</v>
      </c>
      <c r="D7" s="22">
        <f>+TABELLA!L11</f>
        <v>0</v>
      </c>
      <c r="E7" s="22"/>
      <c r="F7" s="41" t="str">
        <f>IF(TABELLA!B11="","",TABELLA!B11)</f>
        <v/>
      </c>
      <c r="G7" s="42" t="str">
        <f>IF(TABELLA!C11="","",TABELLA!C11)</f>
        <v/>
      </c>
      <c r="H7" s="206" t="str">
        <f t="shared" ref="H7:W7" si="7">IF(AND(G$3&gt;=$A7,G$3&lt;$B7),1,IF(AND(G$3&gt;=$C7,G$3&lt;$D7),1,""))</f>
        <v/>
      </c>
      <c r="I7" s="206" t="str">
        <f t="shared" si="7"/>
        <v/>
      </c>
      <c r="J7" s="206" t="str">
        <f t="shared" si="7"/>
        <v/>
      </c>
      <c r="K7" s="207" t="str">
        <f t="shared" si="7"/>
        <v/>
      </c>
      <c r="L7" s="208" t="str">
        <f t="shared" si="7"/>
        <v/>
      </c>
      <c r="M7" s="206" t="str">
        <f t="shared" si="7"/>
        <v/>
      </c>
      <c r="N7" s="206" t="str">
        <f t="shared" si="7"/>
        <v/>
      </c>
      <c r="O7" s="207" t="str">
        <f t="shared" si="7"/>
        <v/>
      </c>
      <c r="P7" s="208" t="str">
        <f t="shared" si="7"/>
        <v/>
      </c>
      <c r="Q7" s="206" t="str">
        <f t="shared" si="7"/>
        <v/>
      </c>
      <c r="R7" s="206" t="str">
        <f t="shared" si="7"/>
        <v/>
      </c>
      <c r="S7" s="207" t="str">
        <f t="shared" si="7"/>
        <v/>
      </c>
      <c r="T7" s="208" t="str">
        <f t="shared" si="7"/>
        <v/>
      </c>
      <c r="U7" s="206" t="str">
        <f t="shared" si="7"/>
        <v/>
      </c>
      <c r="V7" s="206" t="str">
        <f t="shared" si="7"/>
        <v/>
      </c>
      <c r="W7" s="207" t="str">
        <f t="shared" si="7"/>
        <v/>
      </c>
      <c r="X7" s="208" t="str">
        <f t="shared" si="3"/>
        <v/>
      </c>
      <c r="Y7" s="206" t="str">
        <f t="shared" si="3"/>
        <v/>
      </c>
      <c r="Z7" s="206" t="str">
        <f t="shared" si="3"/>
        <v/>
      </c>
      <c r="AA7" s="207" t="str">
        <f t="shared" si="3"/>
        <v/>
      </c>
      <c r="AB7" s="208" t="str">
        <f t="shared" si="3"/>
        <v/>
      </c>
      <c r="AC7" s="206" t="str">
        <f t="shared" si="3"/>
        <v/>
      </c>
      <c r="AD7" s="206" t="str">
        <f t="shared" si="3"/>
        <v/>
      </c>
      <c r="AE7" s="207" t="str">
        <f t="shared" si="3"/>
        <v/>
      </c>
      <c r="AF7" s="208" t="str">
        <f t="shared" si="3"/>
        <v/>
      </c>
      <c r="AG7" s="206" t="str">
        <f t="shared" si="3"/>
        <v/>
      </c>
      <c r="AH7" s="206" t="str">
        <f t="shared" si="3"/>
        <v/>
      </c>
      <c r="AI7" s="207" t="str">
        <f t="shared" si="3"/>
        <v/>
      </c>
      <c r="AJ7" s="208" t="str">
        <f t="shared" si="3"/>
        <v/>
      </c>
      <c r="AK7" s="206" t="str">
        <f t="shared" si="3"/>
        <v/>
      </c>
      <c r="AL7" s="206" t="str">
        <f t="shared" si="3"/>
        <v/>
      </c>
      <c r="AM7" s="207" t="str">
        <f t="shared" si="3"/>
        <v/>
      </c>
      <c r="AN7" s="208" t="str">
        <f t="shared" si="4"/>
        <v/>
      </c>
      <c r="AO7" s="206" t="str">
        <f t="shared" si="4"/>
        <v/>
      </c>
      <c r="AP7" s="206" t="str">
        <f t="shared" si="4"/>
        <v/>
      </c>
      <c r="AQ7" s="207" t="str">
        <f t="shared" si="4"/>
        <v/>
      </c>
      <c r="AR7" s="208" t="str">
        <f t="shared" si="4"/>
        <v/>
      </c>
      <c r="AS7" s="206" t="str">
        <f t="shared" si="4"/>
        <v/>
      </c>
      <c r="AT7" s="206" t="str">
        <f t="shared" si="4"/>
        <v/>
      </c>
      <c r="AU7" s="207" t="str">
        <f t="shared" si="4"/>
        <v/>
      </c>
      <c r="AV7" s="208" t="str">
        <f t="shared" si="4"/>
        <v/>
      </c>
      <c r="AW7" s="206" t="str">
        <f t="shared" si="4"/>
        <v/>
      </c>
      <c r="AX7" s="206" t="str">
        <f t="shared" si="4"/>
        <v/>
      </c>
      <c r="AY7" s="207" t="str">
        <f t="shared" si="4"/>
        <v/>
      </c>
      <c r="AZ7" s="208" t="str">
        <f t="shared" si="4"/>
        <v/>
      </c>
      <c r="BA7" s="206" t="str">
        <f t="shared" si="4"/>
        <v/>
      </c>
      <c r="BB7" s="206" t="str">
        <f t="shared" si="4"/>
        <v/>
      </c>
      <c r="BC7" s="207" t="str">
        <f t="shared" si="4"/>
        <v/>
      </c>
      <c r="BD7" s="208" t="str">
        <f t="shared" si="5"/>
        <v/>
      </c>
      <c r="BE7" s="206" t="str">
        <f t="shared" si="5"/>
        <v/>
      </c>
      <c r="BF7" s="206" t="str">
        <f t="shared" si="5"/>
        <v/>
      </c>
      <c r="BG7" s="207" t="str">
        <f t="shared" si="5"/>
        <v/>
      </c>
      <c r="BH7" s="208" t="str">
        <f t="shared" si="5"/>
        <v/>
      </c>
      <c r="BI7" s="206" t="str">
        <f t="shared" si="5"/>
        <v/>
      </c>
      <c r="BJ7" s="206" t="str">
        <f t="shared" si="5"/>
        <v/>
      </c>
      <c r="BK7" s="207" t="str">
        <f t="shared" si="5"/>
        <v/>
      </c>
      <c r="BL7" s="208" t="str">
        <f t="shared" si="5"/>
        <v/>
      </c>
      <c r="BM7" s="206" t="str">
        <f t="shared" si="5"/>
        <v/>
      </c>
      <c r="BN7" s="206" t="str">
        <f t="shared" si="5"/>
        <v/>
      </c>
      <c r="BO7" s="207" t="str">
        <f t="shared" si="5"/>
        <v/>
      </c>
      <c r="BP7" s="208" t="str">
        <f t="shared" si="6"/>
        <v/>
      </c>
      <c r="BQ7" s="206" t="str">
        <f t="shared" si="6"/>
        <v/>
      </c>
      <c r="BR7" s="206" t="str">
        <f t="shared" si="6"/>
        <v/>
      </c>
      <c r="BS7" s="207" t="str">
        <f t="shared" si="6"/>
        <v/>
      </c>
      <c r="BT7" s="208" t="str">
        <f t="shared" si="6"/>
        <v/>
      </c>
      <c r="BU7" s="206" t="str">
        <f t="shared" si="6"/>
        <v/>
      </c>
      <c r="BV7" s="206" t="str">
        <f t="shared" si="6"/>
        <v/>
      </c>
      <c r="BW7" s="207" t="str">
        <f t="shared" si="6"/>
        <v/>
      </c>
      <c r="BX7" s="208" t="str">
        <f t="shared" si="6"/>
        <v/>
      </c>
      <c r="BY7" s="206" t="str">
        <f t="shared" si="6"/>
        <v/>
      </c>
      <c r="BZ7" s="206" t="str">
        <f t="shared" si="6"/>
        <v/>
      </c>
      <c r="CA7" s="207" t="str">
        <f t="shared" si="6"/>
        <v/>
      </c>
      <c r="CB7" s="208" t="str">
        <f t="shared" si="6"/>
        <v/>
      </c>
      <c r="CC7" s="206" t="str">
        <f t="shared" si="6"/>
        <v/>
      </c>
      <c r="CD7" s="206" t="str">
        <f t="shared" si="6"/>
        <v/>
      </c>
      <c r="CE7" s="207" t="str">
        <f t="shared" si="6"/>
        <v/>
      </c>
      <c r="CF7" s="19"/>
      <c r="CG7" s="20"/>
      <c r="CH7" s="13"/>
      <c r="CI7" s="20"/>
    </row>
    <row r="8" spans="1:87" s="18" customFormat="1" ht="18" customHeight="1">
      <c r="A8" s="22">
        <f>+TABELLA!I12</f>
        <v>0</v>
      </c>
      <c r="B8" s="22">
        <f>+TABELLA!J12</f>
        <v>0</v>
      </c>
      <c r="C8" s="22">
        <f>+TABELLA!K12</f>
        <v>0</v>
      </c>
      <c r="D8" s="22">
        <f>+TABELLA!L12</f>
        <v>0</v>
      </c>
      <c r="E8" s="22"/>
      <c r="F8" s="26">
        <f>IF(TABELLA!B12="","",TABELLA!B12)</f>
        <v>10</v>
      </c>
      <c r="G8" s="27" t="str">
        <f>IF(TABELLA!C12="","",TABELLA!C12)</f>
        <v/>
      </c>
      <c r="H8" s="203" t="str">
        <f t="shared" ref="H8:W8" si="8">IF(AND(G$3&gt;=$A8,G$3&lt;$B8),1,IF(AND(G$3&gt;=$C8,G$3&lt;$D8),1,""))</f>
        <v/>
      </c>
      <c r="I8" s="203" t="str">
        <f t="shared" si="8"/>
        <v/>
      </c>
      <c r="J8" s="203" t="str">
        <f t="shared" si="8"/>
        <v/>
      </c>
      <c r="K8" s="204" t="str">
        <f t="shared" si="8"/>
        <v/>
      </c>
      <c r="L8" s="205" t="str">
        <f t="shared" si="8"/>
        <v/>
      </c>
      <c r="M8" s="203" t="str">
        <f t="shared" si="8"/>
        <v/>
      </c>
      <c r="N8" s="203" t="str">
        <f t="shared" si="8"/>
        <v/>
      </c>
      <c r="O8" s="204" t="str">
        <f t="shared" si="8"/>
        <v/>
      </c>
      <c r="P8" s="205" t="str">
        <f t="shared" si="8"/>
        <v/>
      </c>
      <c r="Q8" s="203" t="str">
        <f t="shared" si="8"/>
        <v/>
      </c>
      <c r="R8" s="203" t="str">
        <f t="shared" si="8"/>
        <v/>
      </c>
      <c r="S8" s="204" t="str">
        <f t="shared" si="8"/>
        <v/>
      </c>
      <c r="T8" s="205" t="str">
        <f t="shared" si="8"/>
        <v/>
      </c>
      <c r="U8" s="203" t="str">
        <f t="shared" si="8"/>
        <v/>
      </c>
      <c r="V8" s="203" t="str">
        <f t="shared" si="8"/>
        <v/>
      </c>
      <c r="W8" s="204" t="str">
        <f t="shared" si="8"/>
        <v/>
      </c>
      <c r="X8" s="205" t="str">
        <f t="shared" si="3"/>
        <v/>
      </c>
      <c r="Y8" s="203" t="str">
        <f t="shared" si="3"/>
        <v/>
      </c>
      <c r="Z8" s="203" t="str">
        <f t="shared" si="3"/>
        <v/>
      </c>
      <c r="AA8" s="204" t="str">
        <f t="shared" si="3"/>
        <v/>
      </c>
      <c r="AB8" s="205" t="str">
        <f t="shared" si="3"/>
        <v/>
      </c>
      <c r="AC8" s="203" t="str">
        <f t="shared" si="3"/>
        <v/>
      </c>
      <c r="AD8" s="203" t="str">
        <f t="shared" si="3"/>
        <v/>
      </c>
      <c r="AE8" s="204" t="str">
        <f t="shared" si="3"/>
        <v/>
      </c>
      <c r="AF8" s="205" t="str">
        <f t="shared" si="3"/>
        <v/>
      </c>
      <c r="AG8" s="203" t="str">
        <f t="shared" si="3"/>
        <v/>
      </c>
      <c r="AH8" s="203" t="str">
        <f t="shared" si="3"/>
        <v/>
      </c>
      <c r="AI8" s="204" t="str">
        <f t="shared" si="3"/>
        <v/>
      </c>
      <c r="AJ8" s="205" t="str">
        <f t="shared" si="3"/>
        <v/>
      </c>
      <c r="AK8" s="203" t="str">
        <f t="shared" si="3"/>
        <v/>
      </c>
      <c r="AL8" s="203" t="str">
        <f t="shared" si="3"/>
        <v/>
      </c>
      <c r="AM8" s="204" t="str">
        <f t="shared" si="3"/>
        <v/>
      </c>
      <c r="AN8" s="205" t="str">
        <f t="shared" si="4"/>
        <v/>
      </c>
      <c r="AO8" s="203" t="str">
        <f t="shared" si="4"/>
        <v/>
      </c>
      <c r="AP8" s="203" t="str">
        <f t="shared" si="4"/>
        <v/>
      </c>
      <c r="AQ8" s="204" t="str">
        <f t="shared" si="4"/>
        <v/>
      </c>
      <c r="AR8" s="205" t="str">
        <f t="shared" si="4"/>
        <v/>
      </c>
      <c r="AS8" s="203" t="str">
        <f t="shared" si="4"/>
        <v/>
      </c>
      <c r="AT8" s="203" t="str">
        <f t="shared" si="4"/>
        <v/>
      </c>
      <c r="AU8" s="204" t="str">
        <f t="shared" si="4"/>
        <v/>
      </c>
      <c r="AV8" s="205" t="str">
        <f t="shared" si="4"/>
        <v/>
      </c>
      <c r="AW8" s="203" t="str">
        <f t="shared" si="4"/>
        <v/>
      </c>
      <c r="AX8" s="203" t="str">
        <f t="shared" si="4"/>
        <v/>
      </c>
      <c r="AY8" s="204" t="str">
        <f t="shared" si="4"/>
        <v/>
      </c>
      <c r="AZ8" s="205" t="str">
        <f t="shared" si="4"/>
        <v/>
      </c>
      <c r="BA8" s="203" t="str">
        <f t="shared" si="4"/>
        <v/>
      </c>
      <c r="BB8" s="203" t="str">
        <f t="shared" si="4"/>
        <v/>
      </c>
      <c r="BC8" s="204" t="str">
        <f t="shared" si="4"/>
        <v/>
      </c>
      <c r="BD8" s="205" t="str">
        <f t="shared" si="5"/>
        <v/>
      </c>
      <c r="BE8" s="203" t="str">
        <f t="shared" si="5"/>
        <v/>
      </c>
      <c r="BF8" s="203" t="str">
        <f t="shared" si="5"/>
        <v/>
      </c>
      <c r="BG8" s="204" t="str">
        <f t="shared" si="5"/>
        <v/>
      </c>
      <c r="BH8" s="205" t="str">
        <f t="shared" si="5"/>
        <v/>
      </c>
      <c r="BI8" s="203" t="str">
        <f t="shared" si="5"/>
        <v/>
      </c>
      <c r="BJ8" s="203" t="str">
        <f t="shared" si="5"/>
        <v/>
      </c>
      <c r="BK8" s="204" t="str">
        <f t="shared" si="5"/>
        <v/>
      </c>
      <c r="BL8" s="205" t="str">
        <f t="shared" si="5"/>
        <v/>
      </c>
      <c r="BM8" s="203" t="str">
        <f t="shared" si="5"/>
        <v/>
      </c>
      <c r="BN8" s="203" t="str">
        <f t="shared" si="5"/>
        <v/>
      </c>
      <c r="BO8" s="204" t="str">
        <f t="shared" si="5"/>
        <v/>
      </c>
      <c r="BP8" s="205" t="str">
        <f t="shared" si="6"/>
        <v/>
      </c>
      <c r="BQ8" s="203" t="str">
        <f t="shared" si="6"/>
        <v/>
      </c>
      <c r="BR8" s="203" t="str">
        <f t="shared" si="6"/>
        <v/>
      </c>
      <c r="BS8" s="204" t="str">
        <f t="shared" si="6"/>
        <v/>
      </c>
      <c r="BT8" s="205" t="str">
        <f t="shared" si="6"/>
        <v/>
      </c>
      <c r="BU8" s="203" t="str">
        <f t="shared" si="6"/>
        <v/>
      </c>
      <c r="BV8" s="203" t="str">
        <f t="shared" si="6"/>
        <v/>
      </c>
      <c r="BW8" s="204" t="str">
        <f t="shared" si="6"/>
        <v/>
      </c>
      <c r="BX8" s="205" t="str">
        <f t="shared" si="6"/>
        <v/>
      </c>
      <c r="BY8" s="203" t="str">
        <f t="shared" si="6"/>
        <v/>
      </c>
      <c r="BZ8" s="203" t="str">
        <f t="shared" si="6"/>
        <v/>
      </c>
      <c r="CA8" s="204" t="str">
        <f t="shared" si="6"/>
        <v/>
      </c>
      <c r="CB8" s="205" t="str">
        <f t="shared" si="6"/>
        <v/>
      </c>
      <c r="CC8" s="203" t="str">
        <f t="shared" si="6"/>
        <v/>
      </c>
      <c r="CD8" s="203" t="str">
        <f t="shared" si="6"/>
        <v/>
      </c>
      <c r="CE8" s="204" t="str">
        <f t="shared" si="6"/>
        <v/>
      </c>
      <c r="CF8" s="17"/>
      <c r="CG8" s="16"/>
      <c r="CH8" s="16"/>
      <c r="CI8" s="16"/>
    </row>
    <row r="9" spans="1:87" ht="18" customHeight="1">
      <c r="A9" s="22">
        <f>+TABELLA!I13</f>
        <v>9.3000000000000007</v>
      </c>
      <c r="B9" s="22">
        <f>+TABELLA!J13</f>
        <v>13.3</v>
      </c>
      <c r="C9" s="22">
        <f>+TABELLA!K13</f>
        <v>17.149999999999999</v>
      </c>
      <c r="D9" s="22">
        <f>+TABELLA!L13</f>
        <v>20.45</v>
      </c>
      <c r="E9" s="22"/>
      <c r="F9" s="41">
        <f>IF(TABELLA!B13="","",TABELLA!B13)</f>
        <v>10</v>
      </c>
      <c r="G9" s="42" t="str">
        <f>IF(TABELLA!C13="","",TABELLA!C13)</f>
        <v>PIANTA LISA</v>
      </c>
      <c r="H9" s="206" t="str">
        <f t="shared" ref="H9:W9" si="9">IF(AND(G$3&gt;=$A9,G$3&lt;$B9),1,IF(AND(G$3&gt;=$C9,G$3&lt;$D9),1,""))</f>
        <v/>
      </c>
      <c r="I9" s="206" t="str">
        <f t="shared" si="9"/>
        <v/>
      </c>
      <c r="J9" s="206" t="str">
        <f t="shared" si="9"/>
        <v/>
      </c>
      <c r="K9" s="207" t="str">
        <f t="shared" si="9"/>
        <v/>
      </c>
      <c r="L9" s="208" t="str">
        <f t="shared" si="9"/>
        <v/>
      </c>
      <c r="M9" s="206" t="str">
        <f t="shared" si="9"/>
        <v/>
      </c>
      <c r="N9" s="206" t="str">
        <f t="shared" si="9"/>
        <v/>
      </c>
      <c r="O9" s="207" t="str">
        <f t="shared" si="9"/>
        <v/>
      </c>
      <c r="P9" s="208" t="str">
        <f t="shared" si="9"/>
        <v/>
      </c>
      <c r="Q9" s="206" t="str">
        <f t="shared" si="9"/>
        <v/>
      </c>
      <c r="R9" s="206" t="str">
        <f t="shared" si="9"/>
        <v/>
      </c>
      <c r="S9" s="207" t="str">
        <f t="shared" si="9"/>
        <v/>
      </c>
      <c r="T9" s="208" t="str">
        <f t="shared" si="9"/>
        <v/>
      </c>
      <c r="U9" s="206" t="str">
        <f t="shared" si="9"/>
        <v/>
      </c>
      <c r="V9" s="206" t="str">
        <f t="shared" si="9"/>
        <v/>
      </c>
      <c r="W9" s="207" t="str">
        <f t="shared" si="9"/>
        <v/>
      </c>
      <c r="X9" s="208" t="str">
        <f t="shared" si="3"/>
        <v/>
      </c>
      <c r="Y9" s="206" t="str">
        <f t="shared" si="3"/>
        <v/>
      </c>
      <c r="Z9" s="206">
        <f t="shared" si="3"/>
        <v>1</v>
      </c>
      <c r="AA9" s="207">
        <f t="shared" si="3"/>
        <v>1</v>
      </c>
      <c r="AB9" s="208">
        <f t="shared" si="3"/>
        <v>1</v>
      </c>
      <c r="AC9" s="206">
        <f t="shared" si="3"/>
        <v>1</v>
      </c>
      <c r="AD9" s="206">
        <f t="shared" si="3"/>
        <v>1</v>
      </c>
      <c r="AE9" s="207">
        <f t="shared" si="3"/>
        <v>1</v>
      </c>
      <c r="AF9" s="208">
        <f t="shared" si="3"/>
        <v>1</v>
      </c>
      <c r="AG9" s="206">
        <f t="shared" si="3"/>
        <v>1</v>
      </c>
      <c r="AH9" s="206">
        <f t="shared" si="3"/>
        <v>1</v>
      </c>
      <c r="AI9" s="207">
        <f t="shared" si="3"/>
        <v>1</v>
      </c>
      <c r="AJ9" s="208">
        <f t="shared" si="3"/>
        <v>1</v>
      </c>
      <c r="AK9" s="206">
        <f t="shared" si="3"/>
        <v>1</v>
      </c>
      <c r="AL9" s="206">
        <f t="shared" si="3"/>
        <v>1</v>
      </c>
      <c r="AM9" s="207">
        <f t="shared" si="3"/>
        <v>1</v>
      </c>
      <c r="AN9" s="208">
        <f t="shared" si="4"/>
        <v>1</v>
      </c>
      <c r="AO9" s="206">
        <f t="shared" si="4"/>
        <v>1</v>
      </c>
      <c r="AP9" s="206" t="str">
        <f t="shared" si="4"/>
        <v/>
      </c>
      <c r="AQ9" s="207" t="str">
        <f t="shared" si="4"/>
        <v/>
      </c>
      <c r="AR9" s="208" t="str">
        <f t="shared" si="4"/>
        <v/>
      </c>
      <c r="AS9" s="206" t="str">
        <f t="shared" si="4"/>
        <v/>
      </c>
      <c r="AT9" s="206" t="str">
        <f t="shared" si="4"/>
        <v/>
      </c>
      <c r="AU9" s="207" t="str">
        <f t="shared" si="4"/>
        <v/>
      </c>
      <c r="AV9" s="208" t="str">
        <f t="shared" si="4"/>
        <v/>
      </c>
      <c r="AW9" s="206" t="str">
        <f t="shared" si="4"/>
        <v/>
      </c>
      <c r="AX9" s="206" t="str">
        <f t="shared" si="4"/>
        <v/>
      </c>
      <c r="AY9" s="207" t="str">
        <f t="shared" si="4"/>
        <v/>
      </c>
      <c r="AZ9" s="208" t="str">
        <f t="shared" si="4"/>
        <v/>
      </c>
      <c r="BA9" s="206" t="str">
        <f t="shared" si="4"/>
        <v/>
      </c>
      <c r="BB9" s="206" t="str">
        <f t="shared" si="4"/>
        <v/>
      </c>
      <c r="BC9" s="207" t="str">
        <f t="shared" si="4"/>
        <v/>
      </c>
      <c r="BD9" s="208" t="str">
        <f t="shared" si="5"/>
        <v/>
      </c>
      <c r="BE9" s="206">
        <f t="shared" si="5"/>
        <v>1</v>
      </c>
      <c r="BF9" s="206">
        <f t="shared" si="5"/>
        <v>1</v>
      </c>
      <c r="BG9" s="207">
        <f t="shared" si="5"/>
        <v>1</v>
      </c>
      <c r="BH9" s="208">
        <f t="shared" si="5"/>
        <v>1</v>
      </c>
      <c r="BI9" s="206">
        <f t="shared" si="5"/>
        <v>1</v>
      </c>
      <c r="BJ9" s="206">
        <f t="shared" si="5"/>
        <v>1</v>
      </c>
      <c r="BK9" s="207">
        <f t="shared" si="5"/>
        <v>1</v>
      </c>
      <c r="BL9" s="208">
        <f t="shared" si="5"/>
        <v>1</v>
      </c>
      <c r="BM9" s="206">
        <f t="shared" si="5"/>
        <v>1</v>
      </c>
      <c r="BN9" s="206">
        <f t="shared" si="5"/>
        <v>1</v>
      </c>
      <c r="BO9" s="207">
        <f t="shared" si="5"/>
        <v>1</v>
      </c>
      <c r="BP9" s="208">
        <f t="shared" si="6"/>
        <v>1</v>
      </c>
      <c r="BQ9" s="206">
        <f t="shared" si="6"/>
        <v>1</v>
      </c>
      <c r="BR9" s="206">
        <f t="shared" si="6"/>
        <v>1</v>
      </c>
      <c r="BS9" s="207" t="str">
        <f t="shared" si="6"/>
        <v/>
      </c>
      <c r="BT9" s="208" t="str">
        <f t="shared" si="6"/>
        <v/>
      </c>
      <c r="BU9" s="206" t="str">
        <f t="shared" si="6"/>
        <v/>
      </c>
      <c r="BV9" s="206" t="str">
        <f t="shared" si="6"/>
        <v/>
      </c>
      <c r="BW9" s="207" t="str">
        <f t="shared" si="6"/>
        <v/>
      </c>
      <c r="BX9" s="208" t="str">
        <f t="shared" si="6"/>
        <v/>
      </c>
      <c r="BY9" s="206" t="str">
        <f t="shared" si="6"/>
        <v/>
      </c>
      <c r="BZ9" s="206" t="str">
        <f t="shared" si="6"/>
        <v/>
      </c>
      <c r="CA9" s="207" t="str">
        <f t="shared" si="6"/>
        <v/>
      </c>
      <c r="CB9" s="208" t="str">
        <f t="shared" si="6"/>
        <v/>
      </c>
      <c r="CC9" s="206" t="str">
        <f t="shared" si="6"/>
        <v/>
      </c>
      <c r="CD9" s="206" t="str">
        <f t="shared" si="6"/>
        <v/>
      </c>
      <c r="CE9" s="207" t="str">
        <f t="shared" si="6"/>
        <v/>
      </c>
    </row>
    <row r="10" spans="1:87" ht="18" customHeight="1">
      <c r="A10" s="22">
        <f>+TABELLA!I14</f>
        <v>0</v>
      </c>
      <c r="B10" s="22">
        <f>+TABELLA!J14</f>
        <v>0</v>
      </c>
      <c r="C10" s="22">
        <f>+TABELLA!K14</f>
        <v>14.3</v>
      </c>
      <c r="D10" s="22">
        <f>+TABELLA!L14</f>
        <v>20</v>
      </c>
      <c r="E10" s="22"/>
      <c r="F10" s="26">
        <f>IF(TABELLA!B14="","",TABELLA!B14)</f>
        <v>10</v>
      </c>
      <c r="G10" s="27" t="str">
        <f>IF(TABELLA!C14="","",TABELLA!C14)</f>
        <v>VELENCINA ELAINE</v>
      </c>
      <c r="H10" s="203" t="str">
        <f t="shared" ref="H10:W10" si="10">IF(AND(G$3&gt;=$A10,G$3&lt;$B10),1,IF(AND(G$3&gt;=$C10,G$3&lt;$D10),1,""))</f>
        <v/>
      </c>
      <c r="I10" s="203" t="str">
        <f t="shared" si="10"/>
        <v/>
      </c>
      <c r="J10" s="203" t="str">
        <f t="shared" si="10"/>
        <v/>
      </c>
      <c r="K10" s="204" t="str">
        <f t="shared" si="10"/>
        <v/>
      </c>
      <c r="L10" s="205" t="str">
        <f t="shared" si="10"/>
        <v/>
      </c>
      <c r="M10" s="203" t="str">
        <f t="shared" si="10"/>
        <v/>
      </c>
      <c r="N10" s="203" t="str">
        <f t="shared" si="10"/>
        <v/>
      </c>
      <c r="O10" s="204" t="str">
        <f t="shared" si="10"/>
        <v/>
      </c>
      <c r="P10" s="205" t="str">
        <f t="shared" si="10"/>
        <v/>
      </c>
      <c r="Q10" s="203" t="str">
        <f t="shared" si="10"/>
        <v/>
      </c>
      <c r="R10" s="203" t="str">
        <f t="shared" si="10"/>
        <v/>
      </c>
      <c r="S10" s="204" t="str">
        <f t="shared" si="10"/>
        <v/>
      </c>
      <c r="T10" s="205" t="str">
        <f t="shared" si="10"/>
        <v/>
      </c>
      <c r="U10" s="203" t="str">
        <f t="shared" si="10"/>
        <v/>
      </c>
      <c r="V10" s="203" t="str">
        <f t="shared" si="10"/>
        <v/>
      </c>
      <c r="W10" s="204" t="str">
        <f t="shared" si="10"/>
        <v/>
      </c>
      <c r="X10" s="205" t="str">
        <f t="shared" si="3"/>
        <v/>
      </c>
      <c r="Y10" s="203" t="str">
        <f t="shared" si="3"/>
        <v/>
      </c>
      <c r="Z10" s="203" t="str">
        <f t="shared" si="3"/>
        <v/>
      </c>
      <c r="AA10" s="204" t="str">
        <f t="shared" si="3"/>
        <v/>
      </c>
      <c r="AB10" s="205" t="str">
        <f t="shared" si="3"/>
        <v/>
      </c>
      <c r="AC10" s="203" t="str">
        <f t="shared" si="3"/>
        <v/>
      </c>
      <c r="AD10" s="203" t="str">
        <f t="shared" si="3"/>
        <v/>
      </c>
      <c r="AE10" s="204" t="str">
        <f t="shared" si="3"/>
        <v/>
      </c>
      <c r="AF10" s="205" t="str">
        <f t="shared" si="3"/>
        <v/>
      </c>
      <c r="AG10" s="203" t="str">
        <f t="shared" si="3"/>
        <v/>
      </c>
      <c r="AH10" s="203" t="str">
        <f t="shared" si="3"/>
        <v/>
      </c>
      <c r="AI10" s="204" t="str">
        <f t="shared" si="3"/>
        <v/>
      </c>
      <c r="AJ10" s="205" t="str">
        <f t="shared" si="3"/>
        <v/>
      </c>
      <c r="AK10" s="203" t="str">
        <f t="shared" si="3"/>
        <v/>
      </c>
      <c r="AL10" s="203" t="str">
        <f t="shared" si="3"/>
        <v/>
      </c>
      <c r="AM10" s="204" t="str">
        <f t="shared" si="3"/>
        <v/>
      </c>
      <c r="AN10" s="205" t="str">
        <f t="shared" si="4"/>
        <v/>
      </c>
      <c r="AO10" s="203" t="str">
        <f t="shared" si="4"/>
        <v/>
      </c>
      <c r="AP10" s="203" t="str">
        <f t="shared" si="4"/>
        <v/>
      </c>
      <c r="AQ10" s="204" t="str">
        <f t="shared" si="4"/>
        <v/>
      </c>
      <c r="AR10" s="205" t="str">
        <f t="shared" si="4"/>
        <v/>
      </c>
      <c r="AS10" s="203" t="str">
        <f t="shared" si="4"/>
        <v/>
      </c>
      <c r="AT10" s="203">
        <f t="shared" si="4"/>
        <v>1</v>
      </c>
      <c r="AU10" s="204">
        <f t="shared" si="4"/>
        <v>1</v>
      </c>
      <c r="AV10" s="205">
        <f t="shared" si="4"/>
        <v>1</v>
      </c>
      <c r="AW10" s="203">
        <f t="shared" si="4"/>
        <v>1</v>
      </c>
      <c r="AX10" s="203">
        <f t="shared" si="4"/>
        <v>1</v>
      </c>
      <c r="AY10" s="204">
        <f t="shared" si="4"/>
        <v>1</v>
      </c>
      <c r="AZ10" s="205">
        <f t="shared" si="4"/>
        <v>1</v>
      </c>
      <c r="BA10" s="203">
        <f t="shared" si="4"/>
        <v>1</v>
      </c>
      <c r="BB10" s="203">
        <f t="shared" si="4"/>
        <v>1</v>
      </c>
      <c r="BC10" s="204">
        <f t="shared" si="4"/>
        <v>1</v>
      </c>
      <c r="BD10" s="205">
        <f t="shared" si="5"/>
        <v>1</v>
      </c>
      <c r="BE10" s="203">
        <f t="shared" si="5"/>
        <v>1</v>
      </c>
      <c r="BF10" s="203">
        <f t="shared" si="5"/>
        <v>1</v>
      </c>
      <c r="BG10" s="204">
        <f t="shared" si="5"/>
        <v>1</v>
      </c>
      <c r="BH10" s="205">
        <f t="shared" si="5"/>
        <v>1</v>
      </c>
      <c r="BI10" s="203">
        <f t="shared" si="5"/>
        <v>1</v>
      </c>
      <c r="BJ10" s="203">
        <f t="shared" si="5"/>
        <v>1</v>
      </c>
      <c r="BK10" s="204">
        <f t="shared" si="5"/>
        <v>1</v>
      </c>
      <c r="BL10" s="205">
        <f t="shared" si="5"/>
        <v>1</v>
      </c>
      <c r="BM10" s="203">
        <f t="shared" si="5"/>
        <v>1</v>
      </c>
      <c r="BN10" s="203">
        <f t="shared" si="5"/>
        <v>1</v>
      </c>
      <c r="BO10" s="204">
        <f t="shared" si="5"/>
        <v>1</v>
      </c>
      <c r="BP10" s="205" t="str">
        <f t="shared" si="6"/>
        <v/>
      </c>
      <c r="BQ10" s="203" t="str">
        <f t="shared" si="6"/>
        <v/>
      </c>
      <c r="BR10" s="203" t="str">
        <f t="shared" si="6"/>
        <v/>
      </c>
      <c r="BS10" s="204" t="str">
        <f t="shared" si="6"/>
        <v/>
      </c>
      <c r="BT10" s="205" t="str">
        <f t="shared" si="6"/>
        <v/>
      </c>
      <c r="BU10" s="203" t="str">
        <f t="shared" si="6"/>
        <v/>
      </c>
      <c r="BV10" s="203" t="str">
        <f t="shared" si="6"/>
        <v/>
      </c>
      <c r="BW10" s="204" t="str">
        <f t="shared" si="6"/>
        <v/>
      </c>
      <c r="BX10" s="205" t="str">
        <f t="shared" si="6"/>
        <v/>
      </c>
      <c r="BY10" s="203" t="str">
        <f t="shared" si="6"/>
        <v/>
      </c>
      <c r="BZ10" s="203" t="str">
        <f t="shared" si="6"/>
        <v/>
      </c>
      <c r="CA10" s="204" t="str">
        <f t="shared" si="6"/>
        <v/>
      </c>
      <c r="CB10" s="205" t="str">
        <f t="shared" si="6"/>
        <v/>
      </c>
      <c r="CC10" s="203" t="str">
        <f t="shared" si="6"/>
        <v/>
      </c>
      <c r="CD10" s="203" t="str">
        <f t="shared" si="6"/>
        <v/>
      </c>
      <c r="CE10" s="204" t="str">
        <f t="shared" si="6"/>
        <v/>
      </c>
    </row>
    <row r="11" spans="1:87" ht="18" customHeight="1">
      <c r="A11" s="22">
        <f>+TABELLA!I15</f>
        <v>0</v>
      </c>
      <c r="B11" s="22">
        <f>+TABELLA!J15</f>
        <v>0</v>
      </c>
      <c r="C11" s="22">
        <f>+TABELLA!K15</f>
        <v>0</v>
      </c>
      <c r="D11" s="22">
        <f>+TABELLA!L15</f>
        <v>0</v>
      </c>
      <c r="E11" s="22"/>
      <c r="F11" s="41">
        <f>IF(TABELLA!B15="","",TABELLA!B15)</f>
        <v>10</v>
      </c>
      <c r="G11" s="42" t="str">
        <f>IF(TABELLA!C15="","",TABELLA!C15)</f>
        <v/>
      </c>
      <c r="H11" s="206" t="str">
        <f t="shared" ref="H11:W11" si="11">IF(AND(G$3&gt;=$A11,G$3&lt;$B11),1,IF(AND(G$3&gt;=$C11,G$3&lt;$D11),1,""))</f>
        <v/>
      </c>
      <c r="I11" s="206" t="str">
        <f t="shared" si="11"/>
        <v/>
      </c>
      <c r="J11" s="206" t="str">
        <f t="shared" si="11"/>
        <v/>
      </c>
      <c r="K11" s="207" t="str">
        <f t="shared" si="11"/>
        <v/>
      </c>
      <c r="L11" s="208" t="str">
        <f t="shared" si="11"/>
        <v/>
      </c>
      <c r="M11" s="206" t="str">
        <f t="shared" si="11"/>
        <v/>
      </c>
      <c r="N11" s="206" t="str">
        <f t="shared" si="11"/>
        <v/>
      </c>
      <c r="O11" s="207" t="str">
        <f t="shared" si="11"/>
        <v/>
      </c>
      <c r="P11" s="208" t="str">
        <f t="shared" si="11"/>
        <v/>
      </c>
      <c r="Q11" s="206" t="str">
        <f t="shared" si="11"/>
        <v/>
      </c>
      <c r="R11" s="206" t="str">
        <f t="shared" si="11"/>
        <v/>
      </c>
      <c r="S11" s="207" t="str">
        <f t="shared" si="11"/>
        <v/>
      </c>
      <c r="T11" s="208" t="str">
        <f t="shared" si="11"/>
        <v/>
      </c>
      <c r="U11" s="206" t="str">
        <f t="shared" si="11"/>
        <v/>
      </c>
      <c r="V11" s="206" t="str">
        <f t="shared" si="11"/>
        <v/>
      </c>
      <c r="W11" s="207" t="str">
        <f t="shared" si="11"/>
        <v/>
      </c>
      <c r="X11" s="208" t="str">
        <f t="shared" si="3"/>
        <v/>
      </c>
      <c r="Y11" s="206" t="str">
        <f t="shared" si="3"/>
        <v/>
      </c>
      <c r="Z11" s="206" t="str">
        <f t="shared" si="3"/>
        <v/>
      </c>
      <c r="AA11" s="207" t="str">
        <f t="shared" si="3"/>
        <v/>
      </c>
      <c r="AB11" s="208" t="str">
        <f t="shared" si="3"/>
        <v/>
      </c>
      <c r="AC11" s="206" t="str">
        <f t="shared" si="3"/>
        <v/>
      </c>
      <c r="AD11" s="206" t="str">
        <f t="shared" si="3"/>
        <v/>
      </c>
      <c r="AE11" s="207" t="str">
        <f t="shared" si="3"/>
        <v/>
      </c>
      <c r="AF11" s="208" t="str">
        <f t="shared" si="3"/>
        <v/>
      </c>
      <c r="AG11" s="206" t="str">
        <f t="shared" si="3"/>
        <v/>
      </c>
      <c r="AH11" s="206" t="str">
        <f t="shared" si="3"/>
        <v/>
      </c>
      <c r="AI11" s="207" t="str">
        <f t="shared" si="3"/>
        <v/>
      </c>
      <c r="AJ11" s="208" t="str">
        <f t="shared" si="3"/>
        <v/>
      </c>
      <c r="AK11" s="206" t="str">
        <f t="shared" si="3"/>
        <v/>
      </c>
      <c r="AL11" s="206" t="str">
        <f t="shared" si="3"/>
        <v/>
      </c>
      <c r="AM11" s="207" t="str">
        <f t="shared" si="3"/>
        <v/>
      </c>
      <c r="AN11" s="208" t="str">
        <f t="shared" si="4"/>
        <v/>
      </c>
      <c r="AO11" s="206" t="str">
        <f t="shared" si="4"/>
        <v/>
      </c>
      <c r="AP11" s="206" t="str">
        <f t="shared" si="4"/>
        <v/>
      </c>
      <c r="AQ11" s="207" t="str">
        <f t="shared" si="4"/>
        <v/>
      </c>
      <c r="AR11" s="208" t="str">
        <f t="shared" si="4"/>
        <v/>
      </c>
      <c r="AS11" s="206" t="str">
        <f t="shared" si="4"/>
        <v/>
      </c>
      <c r="AT11" s="206" t="str">
        <f t="shared" si="4"/>
        <v/>
      </c>
      <c r="AU11" s="207" t="str">
        <f t="shared" si="4"/>
        <v/>
      </c>
      <c r="AV11" s="208" t="str">
        <f t="shared" si="4"/>
        <v/>
      </c>
      <c r="AW11" s="206" t="str">
        <f t="shared" si="4"/>
        <v/>
      </c>
      <c r="AX11" s="206" t="str">
        <f t="shared" si="4"/>
        <v/>
      </c>
      <c r="AY11" s="207" t="str">
        <f t="shared" si="4"/>
        <v/>
      </c>
      <c r="AZ11" s="208" t="str">
        <f t="shared" si="4"/>
        <v/>
      </c>
      <c r="BA11" s="206" t="str">
        <f t="shared" si="4"/>
        <v/>
      </c>
      <c r="BB11" s="206" t="str">
        <f t="shared" si="4"/>
        <v/>
      </c>
      <c r="BC11" s="207" t="str">
        <f t="shared" si="4"/>
        <v/>
      </c>
      <c r="BD11" s="208" t="str">
        <f t="shared" si="5"/>
        <v/>
      </c>
      <c r="BE11" s="206" t="str">
        <f t="shared" si="5"/>
        <v/>
      </c>
      <c r="BF11" s="206" t="str">
        <f t="shared" si="5"/>
        <v/>
      </c>
      <c r="BG11" s="207" t="str">
        <f t="shared" si="5"/>
        <v/>
      </c>
      <c r="BH11" s="208" t="str">
        <f t="shared" si="5"/>
        <v/>
      </c>
      <c r="BI11" s="206" t="str">
        <f t="shared" si="5"/>
        <v/>
      </c>
      <c r="BJ11" s="206" t="str">
        <f t="shared" si="5"/>
        <v/>
      </c>
      <c r="BK11" s="207" t="str">
        <f t="shared" si="5"/>
        <v/>
      </c>
      <c r="BL11" s="208" t="str">
        <f t="shared" si="5"/>
        <v/>
      </c>
      <c r="BM11" s="206" t="str">
        <f t="shared" si="5"/>
        <v/>
      </c>
      <c r="BN11" s="206" t="str">
        <f t="shared" si="5"/>
        <v/>
      </c>
      <c r="BO11" s="207" t="str">
        <f t="shared" si="5"/>
        <v/>
      </c>
      <c r="BP11" s="208" t="str">
        <f t="shared" si="6"/>
        <v/>
      </c>
      <c r="BQ11" s="206" t="str">
        <f t="shared" si="6"/>
        <v/>
      </c>
      <c r="BR11" s="206" t="str">
        <f t="shared" si="6"/>
        <v/>
      </c>
      <c r="BS11" s="207" t="str">
        <f t="shared" si="6"/>
        <v/>
      </c>
      <c r="BT11" s="208" t="str">
        <f t="shared" si="6"/>
        <v/>
      </c>
      <c r="BU11" s="206" t="str">
        <f t="shared" si="6"/>
        <v/>
      </c>
      <c r="BV11" s="206" t="str">
        <f t="shared" si="6"/>
        <v/>
      </c>
      <c r="BW11" s="207" t="str">
        <f t="shared" si="6"/>
        <v/>
      </c>
      <c r="BX11" s="208" t="str">
        <f t="shared" si="6"/>
        <v/>
      </c>
      <c r="BY11" s="206" t="str">
        <f t="shared" si="6"/>
        <v/>
      </c>
      <c r="BZ11" s="206" t="str">
        <f t="shared" si="6"/>
        <v/>
      </c>
      <c r="CA11" s="207" t="str">
        <f t="shared" si="6"/>
        <v/>
      </c>
      <c r="CB11" s="208" t="str">
        <f t="shared" si="6"/>
        <v/>
      </c>
      <c r="CC11" s="206" t="str">
        <f t="shared" si="6"/>
        <v/>
      </c>
      <c r="CD11" s="206" t="str">
        <f t="shared" si="6"/>
        <v/>
      </c>
      <c r="CE11" s="207" t="str">
        <f t="shared" si="6"/>
        <v/>
      </c>
    </row>
    <row r="12" spans="1:87" ht="18" customHeight="1">
      <c r="A12" s="22">
        <f>+TABELLA!I16</f>
        <v>8</v>
      </c>
      <c r="B12" s="22">
        <f>+TABELLA!J16</f>
        <v>10</v>
      </c>
      <c r="C12" s="22">
        <f>+TABELLA!K16</f>
        <v>10.45</v>
      </c>
      <c r="D12" s="22">
        <f>+TABELLA!L16</f>
        <v>14.45</v>
      </c>
      <c r="E12" s="22"/>
      <c r="F12" s="26">
        <f>IF(TABELLA!B16="","",TABELLA!B16)</f>
        <v>10</v>
      </c>
      <c r="G12" s="27" t="str">
        <f>IF(TABELLA!C16="","",TABELLA!C16)</f>
        <v>ALAM ARA</v>
      </c>
      <c r="H12" s="203" t="str">
        <f t="shared" ref="H12:W12" si="12">IF(AND(G$3&gt;=$A12,G$3&lt;$B12),1,IF(AND(G$3&gt;=$C12,G$3&lt;$D12),1,""))</f>
        <v/>
      </c>
      <c r="I12" s="203" t="str">
        <f t="shared" si="12"/>
        <v/>
      </c>
      <c r="J12" s="203" t="str">
        <f t="shared" si="12"/>
        <v/>
      </c>
      <c r="K12" s="204" t="str">
        <f t="shared" si="12"/>
        <v/>
      </c>
      <c r="L12" s="205" t="str">
        <f t="shared" si="12"/>
        <v/>
      </c>
      <c r="M12" s="203" t="str">
        <f t="shared" si="12"/>
        <v/>
      </c>
      <c r="N12" s="203" t="str">
        <f t="shared" si="12"/>
        <v/>
      </c>
      <c r="O12" s="204" t="str">
        <f t="shared" si="12"/>
        <v/>
      </c>
      <c r="P12" s="205" t="str">
        <f t="shared" si="12"/>
        <v/>
      </c>
      <c r="Q12" s="203" t="str">
        <f t="shared" si="12"/>
        <v/>
      </c>
      <c r="R12" s="203" t="str">
        <f t="shared" si="12"/>
        <v/>
      </c>
      <c r="S12" s="204" t="str">
        <f t="shared" si="12"/>
        <v/>
      </c>
      <c r="T12" s="205">
        <f t="shared" si="12"/>
        <v>1</v>
      </c>
      <c r="U12" s="203">
        <f t="shared" si="12"/>
        <v>1</v>
      </c>
      <c r="V12" s="203">
        <f t="shared" si="12"/>
        <v>1</v>
      </c>
      <c r="W12" s="204">
        <f t="shared" si="12"/>
        <v>1</v>
      </c>
      <c r="X12" s="205">
        <f t="shared" si="3"/>
        <v>1</v>
      </c>
      <c r="Y12" s="203">
        <f t="shared" si="3"/>
        <v>1</v>
      </c>
      <c r="Z12" s="203">
        <f t="shared" si="3"/>
        <v>1</v>
      </c>
      <c r="AA12" s="204">
        <f t="shared" si="3"/>
        <v>1</v>
      </c>
      <c r="AB12" s="205" t="str">
        <f t="shared" si="3"/>
        <v/>
      </c>
      <c r="AC12" s="203" t="str">
        <f t="shared" si="3"/>
        <v/>
      </c>
      <c r="AD12" s="203" t="str">
        <f t="shared" si="3"/>
        <v/>
      </c>
      <c r="AE12" s="204">
        <f t="shared" si="3"/>
        <v>1</v>
      </c>
      <c r="AF12" s="205">
        <f t="shared" si="3"/>
        <v>1</v>
      </c>
      <c r="AG12" s="203">
        <f t="shared" si="3"/>
        <v>1</v>
      </c>
      <c r="AH12" s="203">
        <f t="shared" si="3"/>
        <v>1</v>
      </c>
      <c r="AI12" s="204">
        <f t="shared" si="3"/>
        <v>1</v>
      </c>
      <c r="AJ12" s="205">
        <f t="shared" si="3"/>
        <v>1</v>
      </c>
      <c r="AK12" s="203">
        <f t="shared" si="3"/>
        <v>1</v>
      </c>
      <c r="AL12" s="203">
        <f t="shared" si="3"/>
        <v>1</v>
      </c>
      <c r="AM12" s="204">
        <f t="shared" si="3"/>
        <v>1</v>
      </c>
      <c r="AN12" s="205">
        <f t="shared" si="4"/>
        <v>1</v>
      </c>
      <c r="AO12" s="203">
        <f t="shared" si="4"/>
        <v>1</v>
      </c>
      <c r="AP12" s="203">
        <f t="shared" si="4"/>
        <v>1</v>
      </c>
      <c r="AQ12" s="204">
        <f t="shared" si="4"/>
        <v>1</v>
      </c>
      <c r="AR12" s="205">
        <f t="shared" si="4"/>
        <v>1</v>
      </c>
      <c r="AS12" s="203">
        <f t="shared" si="4"/>
        <v>1</v>
      </c>
      <c r="AT12" s="203">
        <f t="shared" si="4"/>
        <v>1</v>
      </c>
      <c r="AU12" s="204" t="str">
        <f t="shared" si="4"/>
        <v/>
      </c>
      <c r="AV12" s="205" t="str">
        <f t="shared" si="4"/>
        <v/>
      </c>
      <c r="AW12" s="203" t="str">
        <f t="shared" si="4"/>
        <v/>
      </c>
      <c r="AX12" s="203" t="str">
        <f t="shared" si="4"/>
        <v/>
      </c>
      <c r="AY12" s="204" t="str">
        <f t="shared" si="4"/>
        <v/>
      </c>
      <c r="AZ12" s="205" t="str">
        <f t="shared" si="4"/>
        <v/>
      </c>
      <c r="BA12" s="203" t="str">
        <f t="shared" si="4"/>
        <v/>
      </c>
      <c r="BB12" s="203" t="str">
        <f t="shared" si="4"/>
        <v/>
      </c>
      <c r="BC12" s="204" t="str">
        <f t="shared" si="4"/>
        <v/>
      </c>
      <c r="BD12" s="205" t="str">
        <f t="shared" si="5"/>
        <v/>
      </c>
      <c r="BE12" s="203" t="str">
        <f t="shared" si="5"/>
        <v/>
      </c>
      <c r="BF12" s="203" t="str">
        <f t="shared" si="5"/>
        <v/>
      </c>
      <c r="BG12" s="204" t="str">
        <f t="shared" si="5"/>
        <v/>
      </c>
      <c r="BH12" s="205" t="str">
        <f t="shared" si="5"/>
        <v/>
      </c>
      <c r="BI12" s="203" t="str">
        <f t="shared" si="5"/>
        <v/>
      </c>
      <c r="BJ12" s="203" t="str">
        <f t="shared" si="5"/>
        <v/>
      </c>
      <c r="BK12" s="204" t="str">
        <f t="shared" si="5"/>
        <v/>
      </c>
      <c r="BL12" s="205" t="str">
        <f t="shared" si="5"/>
        <v/>
      </c>
      <c r="BM12" s="203" t="str">
        <f t="shared" si="5"/>
        <v/>
      </c>
      <c r="BN12" s="203" t="str">
        <f t="shared" si="5"/>
        <v/>
      </c>
      <c r="BO12" s="204" t="str">
        <f t="shared" si="5"/>
        <v/>
      </c>
      <c r="BP12" s="205" t="str">
        <f t="shared" si="6"/>
        <v/>
      </c>
      <c r="BQ12" s="203" t="str">
        <f t="shared" si="6"/>
        <v/>
      </c>
      <c r="BR12" s="203" t="str">
        <f t="shared" si="6"/>
        <v/>
      </c>
      <c r="BS12" s="204" t="str">
        <f t="shared" si="6"/>
        <v/>
      </c>
      <c r="BT12" s="205" t="str">
        <f t="shared" si="6"/>
        <v/>
      </c>
      <c r="BU12" s="203" t="str">
        <f t="shared" si="6"/>
        <v/>
      </c>
      <c r="BV12" s="203" t="str">
        <f t="shared" si="6"/>
        <v/>
      </c>
      <c r="BW12" s="204" t="str">
        <f t="shared" si="6"/>
        <v/>
      </c>
      <c r="BX12" s="205" t="str">
        <f t="shared" si="6"/>
        <v/>
      </c>
      <c r="BY12" s="203" t="str">
        <f t="shared" si="6"/>
        <v/>
      </c>
      <c r="BZ12" s="203" t="str">
        <f t="shared" si="6"/>
        <v/>
      </c>
      <c r="CA12" s="204" t="str">
        <f t="shared" si="6"/>
        <v/>
      </c>
      <c r="CB12" s="205" t="str">
        <f t="shared" si="6"/>
        <v/>
      </c>
      <c r="CC12" s="203" t="str">
        <f t="shared" si="6"/>
        <v/>
      </c>
      <c r="CD12" s="203" t="str">
        <f t="shared" si="6"/>
        <v/>
      </c>
      <c r="CE12" s="204" t="str">
        <f t="shared" si="6"/>
        <v/>
      </c>
    </row>
    <row r="13" spans="1:87" ht="18" customHeight="1">
      <c r="A13" s="22">
        <f>+TABELLA!I17</f>
        <v>0</v>
      </c>
      <c r="B13" s="22">
        <f>+TABELLA!J17</f>
        <v>0</v>
      </c>
      <c r="C13" s="22">
        <f>+TABELLA!K17</f>
        <v>16.149999999999999</v>
      </c>
      <c r="D13" s="22">
        <f>+TABELLA!L17</f>
        <v>20.45</v>
      </c>
      <c r="E13" s="22"/>
      <c r="F13" s="41">
        <f>IF(TABELLA!B17="","",TABELLA!B17)</f>
        <v>10</v>
      </c>
      <c r="G13" s="42" t="str">
        <f>IF(TABELLA!C17="","",TABELLA!C17)</f>
        <v>BONATO ANGELO</v>
      </c>
      <c r="H13" s="206" t="str">
        <f t="shared" ref="H13:W13" si="13">IF(AND(G$3&gt;=$A13,G$3&lt;$B13),1,IF(AND(G$3&gt;=$C13,G$3&lt;$D13),1,""))</f>
        <v/>
      </c>
      <c r="I13" s="206" t="str">
        <f t="shared" si="13"/>
        <v/>
      </c>
      <c r="J13" s="206" t="str">
        <f t="shared" si="13"/>
        <v/>
      </c>
      <c r="K13" s="207" t="str">
        <f t="shared" si="13"/>
        <v/>
      </c>
      <c r="L13" s="208" t="str">
        <f t="shared" si="13"/>
        <v/>
      </c>
      <c r="M13" s="206" t="str">
        <f t="shared" si="13"/>
        <v/>
      </c>
      <c r="N13" s="206" t="str">
        <f t="shared" si="13"/>
        <v/>
      </c>
      <c r="O13" s="207" t="str">
        <f t="shared" si="13"/>
        <v/>
      </c>
      <c r="P13" s="208" t="str">
        <f t="shared" si="13"/>
        <v/>
      </c>
      <c r="Q13" s="206" t="str">
        <f t="shared" si="13"/>
        <v/>
      </c>
      <c r="R13" s="206" t="str">
        <f t="shared" si="13"/>
        <v/>
      </c>
      <c r="S13" s="207" t="str">
        <f t="shared" si="13"/>
        <v/>
      </c>
      <c r="T13" s="208" t="str">
        <f t="shared" si="13"/>
        <v/>
      </c>
      <c r="U13" s="206" t="str">
        <f t="shared" si="13"/>
        <v/>
      </c>
      <c r="V13" s="206" t="str">
        <f t="shared" si="13"/>
        <v/>
      </c>
      <c r="W13" s="207" t="str">
        <f t="shared" si="13"/>
        <v/>
      </c>
      <c r="X13" s="208" t="str">
        <f t="shared" si="3"/>
        <v/>
      </c>
      <c r="Y13" s="206" t="str">
        <f t="shared" si="3"/>
        <v/>
      </c>
      <c r="Z13" s="206" t="str">
        <f t="shared" si="3"/>
        <v/>
      </c>
      <c r="AA13" s="207" t="str">
        <f t="shared" si="3"/>
        <v/>
      </c>
      <c r="AB13" s="208" t="str">
        <f t="shared" si="3"/>
        <v/>
      </c>
      <c r="AC13" s="206" t="str">
        <f t="shared" si="3"/>
        <v/>
      </c>
      <c r="AD13" s="206" t="str">
        <f t="shared" si="3"/>
        <v/>
      </c>
      <c r="AE13" s="207" t="str">
        <f t="shared" si="3"/>
        <v/>
      </c>
      <c r="AF13" s="208" t="str">
        <f t="shared" si="3"/>
        <v/>
      </c>
      <c r="AG13" s="206" t="str">
        <f t="shared" si="3"/>
        <v/>
      </c>
      <c r="AH13" s="206" t="str">
        <f t="shared" si="3"/>
        <v/>
      </c>
      <c r="AI13" s="207" t="str">
        <f t="shared" si="3"/>
        <v/>
      </c>
      <c r="AJ13" s="208" t="str">
        <f t="shared" si="3"/>
        <v/>
      </c>
      <c r="AK13" s="206" t="str">
        <f t="shared" si="3"/>
        <v/>
      </c>
      <c r="AL13" s="206" t="str">
        <f t="shared" si="3"/>
        <v/>
      </c>
      <c r="AM13" s="207" t="str">
        <f t="shared" si="3"/>
        <v/>
      </c>
      <c r="AN13" s="208" t="str">
        <f t="shared" si="4"/>
        <v/>
      </c>
      <c r="AO13" s="206" t="str">
        <f t="shared" si="4"/>
        <v/>
      </c>
      <c r="AP13" s="206" t="str">
        <f t="shared" si="4"/>
        <v/>
      </c>
      <c r="AQ13" s="207" t="str">
        <f t="shared" si="4"/>
        <v/>
      </c>
      <c r="AR13" s="208" t="str">
        <f t="shared" si="4"/>
        <v/>
      </c>
      <c r="AS13" s="206" t="str">
        <f t="shared" si="4"/>
        <v/>
      </c>
      <c r="AT13" s="206" t="str">
        <f t="shared" si="4"/>
        <v/>
      </c>
      <c r="AU13" s="207" t="str">
        <f t="shared" si="4"/>
        <v/>
      </c>
      <c r="AV13" s="208" t="str">
        <f t="shared" si="4"/>
        <v/>
      </c>
      <c r="AW13" s="206" t="str">
        <f t="shared" si="4"/>
        <v/>
      </c>
      <c r="AX13" s="206" t="str">
        <f t="shared" si="4"/>
        <v/>
      </c>
      <c r="AY13" s="207" t="str">
        <f t="shared" si="4"/>
        <v/>
      </c>
      <c r="AZ13" s="208" t="str">
        <f t="shared" si="4"/>
        <v/>
      </c>
      <c r="BA13" s="206">
        <f t="shared" si="4"/>
        <v>1</v>
      </c>
      <c r="BB13" s="206">
        <f t="shared" si="4"/>
        <v>1</v>
      </c>
      <c r="BC13" s="207">
        <f t="shared" si="4"/>
        <v>1</v>
      </c>
      <c r="BD13" s="208">
        <f t="shared" si="5"/>
        <v>1</v>
      </c>
      <c r="BE13" s="206">
        <f t="shared" si="5"/>
        <v>1</v>
      </c>
      <c r="BF13" s="206">
        <f t="shared" si="5"/>
        <v>1</v>
      </c>
      <c r="BG13" s="207">
        <f t="shared" si="5"/>
        <v>1</v>
      </c>
      <c r="BH13" s="208">
        <f t="shared" si="5"/>
        <v>1</v>
      </c>
      <c r="BI13" s="206">
        <f t="shared" si="5"/>
        <v>1</v>
      </c>
      <c r="BJ13" s="206">
        <f t="shared" si="5"/>
        <v>1</v>
      </c>
      <c r="BK13" s="207">
        <f t="shared" si="5"/>
        <v>1</v>
      </c>
      <c r="BL13" s="208">
        <f t="shared" si="5"/>
        <v>1</v>
      </c>
      <c r="BM13" s="206">
        <f t="shared" si="5"/>
        <v>1</v>
      </c>
      <c r="BN13" s="206">
        <f t="shared" si="5"/>
        <v>1</v>
      </c>
      <c r="BO13" s="207">
        <f t="shared" si="5"/>
        <v>1</v>
      </c>
      <c r="BP13" s="208">
        <f t="shared" si="6"/>
        <v>1</v>
      </c>
      <c r="BQ13" s="206">
        <f t="shared" si="6"/>
        <v>1</v>
      </c>
      <c r="BR13" s="206">
        <f t="shared" si="6"/>
        <v>1</v>
      </c>
      <c r="BS13" s="207" t="str">
        <f t="shared" si="6"/>
        <v/>
      </c>
      <c r="BT13" s="208" t="str">
        <f t="shared" si="6"/>
        <v/>
      </c>
      <c r="BU13" s="206" t="str">
        <f t="shared" si="6"/>
        <v/>
      </c>
      <c r="BV13" s="206" t="str">
        <f t="shared" si="6"/>
        <v/>
      </c>
      <c r="BW13" s="207" t="str">
        <f t="shared" si="6"/>
        <v/>
      </c>
      <c r="BX13" s="208" t="str">
        <f t="shared" si="6"/>
        <v/>
      </c>
      <c r="BY13" s="206" t="str">
        <f t="shared" si="6"/>
        <v/>
      </c>
      <c r="BZ13" s="206" t="str">
        <f t="shared" si="6"/>
        <v/>
      </c>
      <c r="CA13" s="207" t="str">
        <f t="shared" si="6"/>
        <v/>
      </c>
      <c r="CB13" s="208" t="str">
        <f t="shared" si="6"/>
        <v/>
      </c>
      <c r="CC13" s="206" t="str">
        <f t="shared" si="6"/>
        <v/>
      </c>
      <c r="CD13" s="206" t="str">
        <f t="shared" si="6"/>
        <v/>
      </c>
      <c r="CE13" s="207" t="str">
        <f t="shared" si="6"/>
        <v/>
      </c>
    </row>
    <row r="14" spans="1:87" ht="18" customHeight="1">
      <c r="A14" s="22">
        <f>+TABELLA!I18</f>
        <v>0</v>
      </c>
      <c r="B14" s="22">
        <f>+TABELLA!J18</f>
        <v>0</v>
      </c>
      <c r="C14" s="22">
        <f>+TABELLA!K18</f>
        <v>0</v>
      </c>
      <c r="D14" s="22">
        <f>+TABELLA!L18</f>
        <v>0</v>
      </c>
      <c r="E14" s="22"/>
      <c r="F14" s="26">
        <f>IF(TABELLA!B18="","",TABELLA!B18)</f>
        <v>10</v>
      </c>
      <c r="G14" s="27" t="str">
        <f>IF(TABELLA!C18="","",TABELLA!C18)</f>
        <v>SALVATO CRISTIAN</v>
      </c>
      <c r="H14" s="203" t="str">
        <f t="shared" ref="H14:W14" si="14">IF(AND(G$3&gt;=$A14,G$3&lt;$B14),1,IF(AND(G$3&gt;=$C14,G$3&lt;$D14),1,""))</f>
        <v/>
      </c>
      <c r="I14" s="203" t="str">
        <f t="shared" si="14"/>
        <v/>
      </c>
      <c r="J14" s="203" t="str">
        <f t="shared" si="14"/>
        <v/>
      </c>
      <c r="K14" s="204" t="str">
        <f t="shared" si="14"/>
        <v/>
      </c>
      <c r="L14" s="205" t="str">
        <f t="shared" si="14"/>
        <v/>
      </c>
      <c r="M14" s="203" t="str">
        <f t="shared" si="14"/>
        <v/>
      </c>
      <c r="N14" s="203" t="str">
        <f t="shared" si="14"/>
        <v/>
      </c>
      <c r="O14" s="204" t="str">
        <f t="shared" si="14"/>
        <v/>
      </c>
      <c r="P14" s="205" t="str">
        <f t="shared" si="14"/>
        <v/>
      </c>
      <c r="Q14" s="203" t="str">
        <f t="shared" si="14"/>
        <v/>
      </c>
      <c r="R14" s="203" t="str">
        <f t="shared" si="14"/>
        <v/>
      </c>
      <c r="S14" s="204" t="str">
        <f t="shared" si="14"/>
        <v/>
      </c>
      <c r="T14" s="205" t="str">
        <f t="shared" si="14"/>
        <v/>
      </c>
      <c r="U14" s="203" t="str">
        <f t="shared" si="14"/>
        <v/>
      </c>
      <c r="V14" s="203" t="str">
        <f t="shared" si="14"/>
        <v/>
      </c>
      <c r="W14" s="204" t="str">
        <f t="shared" si="14"/>
        <v/>
      </c>
      <c r="X14" s="205" t="str">
        <f t="shared" si="3"/>
        <v/>
      </c>
      <c r="Y14" s="203" t="str">
        <f t="shared" si="3"/>
        <v/>
      </c>
      <c r="Z14" s="203" t="str">
        <f t="shared" si="3"/>
        <v/>
      </c>
      <c r="AA14" s="204" t="str">
        <f t="shared" si="3"/>
        <v/>
      </c>
      <c r="AB14" s="205" t="str">
        <f t="shared" si="3"/>
        <v/>
      </c>
      <c r="AC14" s="203" t="str">
        <f t="shared" si="3"/>
        <v/>
      </c>
      <c r="AD14" s="203" t="str">
        <f t="shared" si="3"/>
        <v/>
      </c>
      <c r="AE14" s="204" t="str">
        <f t="shared" si="3"/>
        <v/>
      </c>
      <c r="AF14" s="205" t="str">
        <f t="shared" si="3"/>
        <v/>
      </c>
      <c r="AG14" s="203" t="str">
        <f t="shared" si="3"/>
        <v/>
      </c>
      <c r="AH14" s="203" t="str">
        <f t="shared" si="3"/>
        <v/>
      </c>
      <c r="AI14" s="204" t="str">
        <f t="shared" si="3"/>
        <v/>
      </c>
      <c r="AJ14" s="205" t="str">
        <f t="shared" si="3"/>
        <v/>
      </c>
      <c r="AK14" s="203" t="str">
        <f t="shared" si="3"/>
        <v/>
      </c>
      <c r="AL14" s="203" t="str">
        <f t="shared" si="3"/>
        <v/>
      </c>
      <c r="AM14" s="204" t="str">
        <f t="shared" si="3"/>
        <v/>
      </c>
      <c r="AN14" s="205" t="str">
        <f t="shared" si="4"/>
        <v/>
      </c>
      <c r="AO14" s="203" t="str">
        <f t="shared" si="4"/>
        <v/>
      </c>
      <c r="AP14" s="203" t="str">
        <f t="shared" si="4"/>
        <v/>
      </c>
      <c r="AQ14" s="204" t="str">
        <f t="shared" si="4"/>
        <v/>
      </c>
      <c r="AR14" s="205" t="str">
        <f t="shared" si="4"/>
        <v/>
      </c>
      <c r="AS14" s="203" t="str">
        <f t="shared" si="4"/>
        <v/>
      </c>
      <c r="AT14" s="203" t="str">
        <f t="shared" si="4"/>
        <v/>
      </c>
      <c r="AU14" s="204" t="str">
        <f t="shared" si="4"/>
        <v/>
      </c>
      <c r="AV14" s="205" t="str">
        <f t="shared" si="4"/>
        <v/>
      </c>
      <c r="AW14" s="203" t="str">
        <f t="shared" si="4"/>
        <v/>
      </c>
      <c r="AX14" s="203" t="str">
        <f t="shared" si="4"/>
        <v/>
      </c>
      <c r="AY14" s="204" t="str">
        <f t="shared" si="4"/>
        <v/>
      </c>
      <c r="AZ14" s="205" t="str">
        <f t="shared" si="4"/>
        <v/>
      </c>
      <c r="BA14" s="203" t="str">
        <f t="shared" si="4"/>
        <v/>
      </c>
      <c r="BB14" s="203" t="str">
        <f t="shared" si="4"/>
        <v/>
      </c>
      <c r="BC14" s="204" t="str">
        <f t="shared" si="4"/>
        <v/>
      </c>
      <c r="BD14" s="205" t="str">
        <f t="shared" si="5"/>
        <v/>
      </c>
      <c r="BE14" s="203" t="str">
        <f t="shared" si="5"/>
        <v/>
      </c>
      <c r="BF14" s="203" t="str">
        <f t="shared" si="5"/>
        <v/>
      </c>
      <c r="BG14" s="204" t="str">
        <f t="shared" si="5"/>
        <v/>
      </c>
      <c r="BH14" s="205" t="str">
        <f t="shared" si="5"/>
        <v/>
      </c>
      <c r="BI14" s="203" t="str">
        <f t="shared" si="5"/>
        <v/>
      </c>
      <c r="BJ14" s="203" t="str">
        <f t="shared" si="5"/>
        <v/>
      </c>
      <c r="BK14" s="204" t="str">
        <f t="shared" si="5"/>
        <v/>
      </c>
      <c r="BL14" s="205" t="str">
        <f t="shared" si="5"/>
        <v/>
      </c>
      <c r="BM14" s="203" t="str">
        <f t="shared" si="5"/>
        <v/>
      </c>
      <c r="BN14" s="203" t="str">
        <f t="shared" si="5"/>
        <v/>
      </c>
      <c r="BO14" s="204" t="str">
        <f t="shared" si="5"/>
        <v/>
      </c>
      <c r="BP14" s="205" t="str">
        <f t="shared" si="6"/>
        <v/>
      </c>
      <c r="BQ14" s="203" t="str">
        <f t="shared" si="6"/>
        <v/>
      </c>
      <c r="BR14" s="203" t="str">
        <f t="shared" si="6"/>
        <v/>
      </c>
      <c r="BS14" s="204" t="str">
        <f t="shared" si="6"/>
        <v/>
      </c>
      <c r="BT14" s="205" t="str">
        <f t="shared" si="6"/>
        <v/>
      </c>
      <c r="BU14" s="203" t="str">
        <f t="shared" si="6"/>
        <v/>
      </c>
      <c r="BV14" s="203" t="str">
        <f t="shared" si="6"/>
        <v/>
      </c>
      <c r="BW14" s="204" t="str">
        <f t="shared" si="6"/>
        <v/>
      </c>
      <c r="BX14" s="205" t="str">
        <f t="shared" si="6"/>
        <v/>
      </c>
      <c r="BY14" s="203" t="str">
        <f t="shared" si="6"/>
        <v/>
      </c>
      <c r="BZ14" s="203" t="str">
        <f t="shared" si="6"/>
        <v/>
      </c>
      <c r="CA14" s="204" t="str">
        <f t="shared" si="6"/>
        <v/>
      </c>
      <c r="CB14" s="205" t="str">
        <f t="shared" si="6"/>
        <v/>
      </c>
      <c r="CC14" s="203" t="str">
        <f t="shared" si="6"/>
        <v/>
      </c>
      <c r="CD14" s="203" t="str">
        <f t="shared" si="6"/>
        <v/>
      </c>
      <c r="CE14" s="204" t="str">
        <f t="shared" si="6"/>
        <v/>
      </c>
    </row>
    <row r="15" spans="1:87" ht="18" customHeight="1">
      <c r="A15" s="22">
        <f>+TABELLA!I19</f>
        <v>9.3000000000000007</v>
      </c>
      <c r="B15" s="22">
        <f>+TABELLA!J19</f>
        <v>10.3</v>
      </c>
      <c r="C15" s="22">
        <f>+TABELLA!K19</f>
        <v>0</v>
      </c>
      <c r="D15" s="22">
        <f>+TABELLA!L19</f>
        <v>0</v>
      </c>
      <c r="E15" s="22"/>
      <c r="F15" s="41">
        <f>IF(TABELLA!B19="","",TABELLA!B19)</f>
        <v>10</v>
      </c>
      <c r="G15" s="42" t="str">
        <f>IF(TABELLA!C19="","",TABELLA!C19)</f>
        <v>VALENTINI TAMARA</v>
      </c>
      <c r="H15" s="206" t="str">
        <f t="shared" ref="H15:W15" si="15">IF(AND(G$3&gt;=$A15,G$3&lt;$B15),1,IF(AND(G$3&gt;=$C15,G$3&lt;$D15),1,""))</f>
        <v/>
      </c>
      <c r="I15" s="206" t="str">
        <f t="shared" si="15"/>
        <v/>
      </c>
      <c r="J15" s="206" t="str">
        <f t="shared" si="15"/>
        <v/>
      </c>
      <c r="K15" s="207" t="str">
        <f t="shared" si="15"/>
        <v/>
      </c>
      <c r="L15" s="208" t="str">
        <f t="shared" si="15"/>
        <v/>
      </c>
      <c r="M15" s="206" t="str">
        <f t="shared" si="15"/>
        <v/>
      </c>
      <c r="N15" s="206" t="str">
        <f t="shared" si="15"/>
        <v/>
      </c>
      <c r="O15" s="207" t="str">
        <f t="shared" si="15"/>
        <v/>
      </c>
      <c r="P15" s="208" t="str">
        <f t="shared" si="15"/>
        <v/>
      </c>
      <c r="Q15" s="206" t="str">
        <f t="shared" si="15"/>
        <v/>
      </c>
      <c r="R15" s="206" t="str">
        <f t="shared" si="15"/>
        <v/>
      </c>
      <c r="S15" s="207" t="str">
        <f t="shared" si="15"/>
        <v/>
      </c>
      <c r="T15" s="208" t="str">
        <f t="shared" si="15"/>
        <v/>
      </c>
      <c r="U15" s="206" t="str">
        <f t="shared" si="15"/>
        <v/>
      </c>
      <c r="V15" s="206" t="str">
        <f t="shared" si="15"/>
        <v/>
      </c>
      <c r="W15" s="207" t="str">
        <f t="shared" si="15"/>
        <v/>
      </c>
      <c r="X15" s="208" t="str">
        <f t="shared" si="3"/>
        <v/>
      </c>
      <c r="Y15" s="206" t="str">
        <f t="shared" si="3"/>
        <v/>
      </c>
      <c r="Z15" s="206">
        <f t="shared" si="3"/>
        <v>1</v>
      </c>
      <c r="AA15" s="207">
        <f t="shared" si="3"/>
        <v>1</v>
      </c>
      <c r="AB15" s="208">
        <f t="shared" si="3"/>
        <v>1</v>
      </c>
      <c r="AC15" s="206">
        <f t="shared" si="3"/>
        <v>1</v>
      </c>
      <c r="AD15" s="206" t="str">
        <f t="shared" si="3"/>
        <v/>
      </c>
      <c r="AE15" s="207" t="str">
        <f t="shared" si="3"/>
        <v/>
      </c>
      <c r="AF15" s="208" t="str">
        <f t="shared" si="3"/>
        <v/>
      </c>
      <c r="AG15" s="206" t="str">
        <f t="shared" si="3"/>
        <v/>
      </c>
      <c r="AH15" s="206" t="str">
        <f t="shared" si="3"/>
        <v/>
      </c>
      <c r="AI15" s="207" t="str">
        <f t="shared" si="3"/>
        <v/>
      </c>
      <c r="AJ15" s="208" t="str">
        <f t="shared" si="3"/>
        <v/>
      </c>
      <c r="AK15" s="206" t="str">
        <f t="shared" si="3"/>
        <v/>
      </c>
      <c r="AL15" s="206" t="str">
        <f t="shared" si="3"/>
        <v/>
      </c>
      <c r="AM15" s="207" t="str">
        <f t="shared" si="3"/>
        <v/>
      </c>
      <c r="AN15" s="208" t="str">
        <f t="shared" si="4"/>
        <v/>
      </c>
      <c r="AO15" s="206" t="str">
        <f t="shared" si="4"/>
        <v/>
      </c>
      <c r="AP15" s="206" t="str">
        <f t="shared" si="4"/>
        <v/>
      </c>
      <c r="AQ15" s="207" t="str">
        <f t="shared" si="4"/>
        <v/>
      </c>
      <c r="AR15" s="208" t="str">
        <f t="shared" si="4"/>
        <v/>
      </c>
      <c r="AS15" s="206" t="str">
        <f t="shared" si="4"/>
        <v/>
      </c>
      <c r="AT15" s="206" t="str">
        <f t="shared" si="4"/>
        <v/>
      </c>
      <c r="AU15" s="207" t="str">
        <f t="shared" si="4"/>
        <v/>
      </c>
      <c r="AV15" s="208" t="str">
        <f t="shared" si="4"/>
        <v/>
      </c>
      <c r="AW15" s="206" t="str">
        <f t="shared" si="4"/>
        <v/>
      </c>
      <c r="AX15" s="206" t="str">
        <f t="shared" si="4"/>
        <v/>
      </c>
      <c r="AY15" s="207" t="str">
        <f t="shared" si="4"/>
        <v/>
      </c>
      <c r="AZ15" s="208" t="str">
        <f t="shared" si="4"/>
        <v/>
      </c>
      <c r="BA15" s="206" t="str">
        <f t="shared" si="4"/>
        <v/>
      </c>
      <c r="BB15" s="206" t="str">
        <f t="shared" si="4"/>
        <v/>
      </c>
      <c r="BC15" s="207" t="str">
        <f t="shared" si="4"/>
        <v/>
      </c>
      <c r="BD15" s="208" t="str">
        <f t="shared" si="5"/>
        <v/>
      </c>
      <c r="BE15" s="206" t="str">
        <f t="shared" si="5"/>
        <v/>
      </c>
      <c r="BF15" s="206" t="str">
        <f t="shared" si="5"/>
        <v/>
      </c>
      <c r="BG15" s="207" t="str">
        <f t="shared" si="5"/>
        <v/>
      </c>
      <c r="BH15" s="208" t="str">
        <f t="shared" si="5"/>
        <v/>
      </c>
      <c r="BI15" s="206" t="str">
        <f t="shared" si="5"/>
        <v/>
      </c>
      <c r="BJ15" s="206" t="str">
        <f t="shared" si="5"/>
        <v/>
      </c>
      <c r="BK15" s="207" t="str">
        <f t="shared" si="5"/>
        <v/>
      </c>
      <c r="BL15" s="208" t="str">
        <f t="shared" si="5"/>
        <v/>
      </c>
      <c r="BM15" s="206" t="str">
        <f t="shared" si="5"/>
        <v/>
      </c>
      <c r="BN15" s="206" t="str">
        <f t="shared" si="5"/>
        <v/>
      </c>
      <c r="BO15" s="207" t="str">
        <f t="shared" si="5"/>
        <v/>
      </c>
      <c r="BP15" s="208" t="str">
        <f t="shared" si="6"/>
        <v/>
      </c>
      <c r="BQ15" s="206" t="str">
        <f t="shared" si="6"/>
        <v/>
      </c>
      <c r="BR15" s="206" t="str">
        <f t="shared" si="6"/>
        <v/>
      </c>
      <c r="BS15" s="207" t="str">
        <f t="shared" si="6"/>
        <v/>
      </c>
      <c r="BT15" s="208" t="str">
        <f t="shared" si="6"/>
        <v/>
      </c>
      <c r="BU15" s="206" t="str">
        <f t="shared" si="6"/>
        <v/>
      </c>
      <c r="BV15" s="206" t="str">
        <f t="shared" si="6"/>
        <v/>
      </c>
      <c r="BW15" s="207" t="str">
        <f t="shared" si="6"/>
        <v/>
      </c>
      <c r="BX15" s="208" t="str">
        <f t="shared" si="6"/>
        <v/>
      </c>
      <c r="BY15" s="206" t="str">
        <f t="shared" si="6"/>
        <v/>
      </c>
      <c r="BZ15" s="206" t="str">
        <f t="shared" si="6"/>
        <v/>
      </c>
      <c r="CA15" s="207" t="str">
        <f t="shared" si="6"/>
        <v/>
      </c>
      <c r="CB15" s="208" t="str">
        <f t="shared" si="6"/>
        <v/>
      </c>
      <c r="CC15" s="206" t="str">
        <f t="shared" si="6"/>
        <v/>
      </c>
      <c r="CD15" s="206" t="str">
        <f t="shared" si="6"/>
        <v/>
      </c>
      <c r="CE15" s="207" t="str">
        <f t="shared" si="6"/>
        <v/>
      </c>
    </row>
    <row r="16" spans="1:87" ht="18" customHeight="1">
      <c r="A16" s="22">
        <f>+TABELLA!I20</f>
        <v>9</v>
      </c>
      <c r="B16" s="22">
        <f>+TABELLA!J20</f>
        <v>14</v>
      </c>
      <c r="C16" s="22">
        <f>+TABELLA!K20</f>
        <v>0</v>
      </c>
      <c r="D16" s="22">
        <f>+TABELLA!L20</f>
        <v>0</v>
      </c>
      <c r="E16" s="22"/>
      <c r="F16" s="26">
        <f>IF(TABELLA!B20="","",TABELLA!B20)</f>
        <v>10</v>
      </c>
      <c r="G16" s="27" t="str">
        <f>IF(TABELLA!C20="","",TABELLA!C20)</f>
        <v>ALESSANDRO</v>
      </c>
      <c r="H16" s="203" t="str">
        <f t="shared" ref="H16:W16" si="16">IF(AND(G$3&gt;=$A16,G$3&lt;$B16),1,IF(AND(G$3&gt;=$C16,G$3&lt;$D16),1,""))</f>
        <v/>
      </c>
      <c r="I16" s="203" t="str">
        <f t="shared" si="16"/>
        <v/>
      </c>
      <c r="J16" s="203" t="str">
        <f t="shared" si="16"/>
        <v/>
      </c>
      <c r="K16" s="204" t="str">
        <f t="shared" si="16"/>
        <v/>
      </c>
      <c r="L16" s="205" t="str">
        <f t="shared" si="16"/>
        <v/>
      </c>
      <c r="M16" s="203" t="str">
        <f t="shared" si="16"/>
        <v/>
      </c>
      <c r="N16" s="203" t="str">
        <f t="shared" si="16"/>
        <v/>
      </c>
      <c r="O16" s="204" t="str">
        <f t="shared" si="16"/>
        <v/>
      </c>
      <c r="P16" s="205" t="str">
        <f t="shared" si="16"/>
        <v/>
      </c>
      <c r="Q16" s="203" t="str">
        <f t="shared" si="16"/>
        <v/>
      </c>
      <c r="R16" s="203" t="str">
        <f t="shared" si="16"/>
        <v/>
      </c>
      <c r="S16" s="204" t="str">
        <f t="shared" si="16"/>
        <v/>
      </c>
      <c r="T16" s="205" t="str">
        <f t="shared" si="16"/>
        <v/>
      </c>
      <c r="U16" s="203" t="str">
        <f t="shared" si="16"/>
        <v/>
      </c>
      <c r="V16" s="203" t="str">
        <f t="shared" si="16"/>
        <v/>
      </c>
      <c r="W16" s="204" t="str">
        <f t="shared" si="16"/>
        <v/>
      </c>
      <c r="X16" s="205">
        <f t="shared" si="3"/>
        <v>1</v>
      </c>
      <c r="Y16" s="203">
        <f t="shared" si="3"/>
        <v>1</v>
      </c>
      <c r="Z16" s="203">
        <f t="shared" si="3"/>
        <v>1</v>
      </c>
      <c r="AA16" s="204">
        <f t="shared" si="3"/>
        <v>1</v>
      </c>
      <c r="AB16" s="205">
        <f t="shared" si="3"/>
        <v>1</v>
      </c>
      <c r="AC16" s="203">
        <f t="shared" si="3"/>
        <v>1</v>
      </c>
      <c r="AD16" s="203">
        <f t="shared" si="3"/>
        <v>1</v>
      </c>
      <c r="AE16" s="204">
        <f t="shared" si="3"/>
        <v>1</v>
      </c>
      <c r="AF16" s="205">
        <f t="shared" si="3"/>
        <v>1</v>
      </c>
      <c r="AG16" s="203">
        <f t="shared" si="3"/>
        <v>1</v>
      </c>
      <c r="AH16" s="203">
        <f t="shared" si="3"/>
        <v>1</v>
      </c>
      <c r="AI16" s="204">
        <f t="shared" si="3"/>
        <v>1</v>
      </c>
      <c r="AJ16" s="205">
        <f t="shared" si="3"/>
        <v>1</v>
      </c>
      <c r="AK16" s="203">
        <f t="shared" si="3"/>
        <v>1</v>
      </c>
      <c r="AL16" s="203">
        <f t="shared" si="3"/>
        <v>1</v>
      </c>
      <c r="AM16" s="204">
        <f t="shared" si="3"/>
        <v>1</v>
      </c>
      <c r="AN16" s="205">
        <f t="shared" si="4"/>
        <v>1</v>
      </c>
      <c r="AO16" s="203">
        <f t="shared" si="4"/>
        <v>1</v>
      </c>
      <c r="AP16" s="203">
        <f t="shared" si="4"/>
        <v>1</v>
      </c>
      <c r="AQ16" s="204">
        <f t="shared" si="4"/>
        <v>1</v>
      </c>
      <c r="AR16" s="205" t="str">
        <f t="shared" si="4"/>
        <v/>
      </c>
      <c r="AS16" s="203" t="str">
        <f t="shared" si="4"/>
        <v/>
      </c>
      <c r="AT16" s="203" t="str">
        <f t="shared" si="4"/>
        <v/>
      </c>
      <c r="AU16" s="204" t="str">
        <f t="shared" si="4"/>
        <v/>
      </c>
      <c r="AV16" s="205" t="str">
        <f t="shared" si="4"/>
        <v/>
      </c>
      <c r="AW16" s="203" t="str">
        <f t="shared" si="4"/>
        <v/>
      </c>
      <c r="AX16" s="203" t="str">
        <f t="shared" si="4"/>
        <v/>
      </c>
      <c r="AY16" s="204" t="str">
        <f t="shared" si="4"/>
        <v/>
      </c>
      <c r="AZ16" s="205" t="str">
        <f t="shared" si="4"/>
        <v/>
      </c>
      <c r="BA16" s="203" t="str">
        <f t="shared" si="4"/>
        <v/>
      </c>
      <c r="BB16" s="203" t="str">
        <f t="shared" si="4"/>
        <v/>
      </c>
      <c r="BC16" s="204" t="str">
        <f t="shared" si="4"/>
        <v/>
      </c>
      <c r="BD16" s="205" t="str">
        <f t="shared" si="5"/>
        <v/>
      </c>
      <c r="BE16" s="203" t="str">
        <f t="shared" si="5"/>
        <v/>
      </c>
      <c r="BF16" s="203" t="str">
        <f t="shared" si="5"/>
        <v/>
      </c>
      <c r="BG16" s="204" t="str">
        <f t="shared" si="5"/>
        <v/>
      </c>
      <c r="BH16" s="205" t="str">
        <f t="shared" si="5"/>
        <v/>
      </c>
      <c r="BI16" s="203" t="str">
        <f t="shared" si="5"/>
        <v/>
      </c>
      <c r="BJ16" s="203" t="str">
        <f t="shared" si="5"/>
        <v/>
      </c>
      <c r="BK16" s="204" t="str">
        <f t="shared" si="5"/>
        <v/>
      </c>
      <c r="BL16" s="205" t="str">
        <f t="shared" si="5"/>
        <v/>
      </c>
      <c r="BM16" s="203" t="str">
        <f t="shared" si="5"/>
        <v/>
      </c>
      <c r="BN16" s="203" t="str">
        <f t="shared" si="5"/>
        <v/>
      </c>
      <c r="BO16" s="204" t="str">
        <f t="shared" si="5"/>
        <v/>
      </c>
      <c r="BP16" s="205" t="str">
        <f t="shared" si="6"/>
        <v/>
      </c>
      <c r="BQ16" s="203" t="str">
        <f t="shared" si="6"/>
        <v/>
      </c>
      <c r="BR16" s="203" t="str">
        <f t="shared" si="6"/>
        <v/>
      </c>
      <c r="BS16" s="204" t="str">
        <f t="shared" si="6"/>
        <v/>
      </c>
      <c r="BT16" s="205" t="str">
        <f t="shared" si="6"/>
        <v/>
      </c>
      <c r="BU16" s="203" t="str">
        <f t="shared" si="6"/>
        <v/>
      </c>
      <c r="BV16" s="203" t="str">
        <f t="shared" si="6"/>
        <v/>
      </c>
      <c r="BW16" s="204" t="str">
        <f t="shared" si="6"/>
        <v/>
      </c>
      <c r="BX16" s="205" t="str">
        <f t="shared" si="6"/>
        <v/>
      </c>
      <c r="BY16" s="203" t="str">
        <f t="shared" si="6"/>
        <v/>
      </c>
      <c r="BZ16" s="203" t="str">
        <f t="shared" si="6"/>
        <v/>
      </c>
      <c r="CA16" s="204" t="str">
        <f t="shared" si="6"/>
        <v/>
      </c>
      <c r="CB16" s="205" t="str">
        <f t="shared" si="6"/>
        <v/>
      </c>
      <c r="CC16" s="203" t="str">
        <f t="shared" si="6"/>
        <v/>
      </c>
      <c r="CD16" s="203" t="str">
        <f t="shared" si="6"/>
        <v/>
      </c>
      <c r="CE16" s="204" t="str">
        <f t="shared" si="6"/>
        <v/>
      </c>
    </row>
    <row r="17" spans="1:83" ht="18" customHeight="1">
      <c r="A17" s="22">
        <f>+TABELLA!I21</f>
        <v>0</v>
      </c>
      <c r="B17" s="22">
        <f>+TABELLA!J21</f>
        <v>0</v>
      </c>
      <c r="C17" s="22">
        <f>+TABELLA!K21</f>
        <v>0</v>
      </c>
      <c r="D17" s="22">
        <f>+TABELLA!L21</f>
        <v>0</v>
      </c>
      <c r="E17" s="22"/>
      <c r="F17" s="41">
        <f>IF(TABELLA!B21="","",TABELLA!B21)</f>
        <v>1</v>
      </c>
      <c r="G17" s="42" t="str">
        <f>IF(TABELLA!C21="","",TABELLA!C21)</f>
        <v/>
      </c>
      <c r="H17" s="206" t="str">
        <f t="shared" ref="H17:W17" si="17">IF(AND(G$3&gt;=$A17,G$3&lt;$B17),1,IF(AND(G$3&gt;=$C17,G$3&lt;$D17),1,""))</f>
        <v/>
      </c>
      <c r="I17" s="206" t="str">
        <f t="shared" si="17"/>
        <v/>
      </c>
      <c r="J17" s="206" t="str">
        <f t="shared" si="17"/>
        <v/>
      </c>
      <c r="K17" s="207" t="str">
        <f t="shared" si="17"/>
        <v/>
      </c>
      <c r="L17" s="208" t="str">
        <f t="shared" si="17"/>
        <v/>
      </c>
      <c r="M17" s="206" t="str">
        <f t="shared" si="17"/>
        <v/>
      </c>
      <c r="N17" s="206" t="str">
        <f t="shared" si="17"/>
        <v/>
      </c>
      <c r="O17" s="207" t="str">
        <f t="shared" si="17"/>
        <v/>
      </c>
      <c r="P17" s="208" t="str">
        <f t="shared" si="17"/>
        <v/>
      </c>
      <c r="Q17" s="206" t="str">
        <f t="shared" si="17"/>
        <v/>
      </c>
      <c r="R17" s="206" t="str">
        <f t="shared" si="17"/>
        <v/>
      </c>
      <c r="S17" s="207" t="str">
        <f t="shared" si="17"/>
        <v/>
      </c>
      <c r="T17" s="208" t="str">
        <f t="shared" si="17"/>
        <v/>
      </c>
      <c r="U17" s="206" t="str">
        <f t="shared" si="17"/>
        <v/>
      </c>
      <c r="V17" s="206" t="str">
        <f t="shared" si="17"/>
        <v/>
      </c>
      <c r="W17" s="207" t="str">
        <f t="shared" si="17"/>
        <v/>
      </c>
      <c r="X17" s="208" t="str">
        <f t="shared" si="3"/>
        <v/>
      </c>
      <c r="Y17" s="206" t="str">
        <f t="shared" si="3"/>
        <v/>
      </c>
      <c r="Z17" s="206" t="str">
        <f t="shared" si="3"/>
        <v/>
      </c>
      <c r="AA17" s="207" t="str">
        <f t="shared" si="3"/>
        <v/>
      </c>
      <c r="AB17" s="208" t="str">
        <f t="shared" si="3"/>
        <v/>
      </c>
      <c r="AC17" s="206" t="str">
        <f t="shared" si="3"/>
        <v/>
      </c>
      <c r="AD17" s="206" t="str">
        <f t="shared" si="3"/>
        <v/>
      </c>
      <c r="AE17" s="207" t="str">
        <f t="shared" si="3"/>
        <v/>
      </c>
      <c r="AF17" s="208" t="str">
        <f t="shared" si="3"/>
        <v/>
      </c>
      <c r="AG17" s="206" t="str">
        <f t="shared" si="3"/>
        <v/>
      </c>
      <c r="AH17" s="206" t="str">
        <f t="shared" si="3"/>
        <v/>
      </c>
      <c r="AI17" s="207" t="str">
        <f t="shared" si="3"/>
        <v/>
      </c>
      <c r="AJ17" s="208" t="str">
        <f t="shared" si="3"/>
        <v/>
      </c>
      <c r="AK17" s="206" t="str">
        <f t="shared" si="3"/>
        <v/>
      </c>
      <c r="AL17" s="206" t="str">
        <f t="shared" si="3"/>
        <v/>
      </c>
      <c r="AM17" s="207" t="str">
        <f t="shared" si="3"/>
        <v/>
      </c>
      <c r="AN17" s="208" t="str">
        <f t="shared" si="4"/>
        <v/>
      </c>
      <c r="AO17" s="206" t="str">
        <f t="shared" si="4"/>
        <v/>
      </c>
      <c r="AP17" s="206" t="str">
        <f t="shared" si="4"/>
        <v/>
      </c>
      <c r="AQ17" s="207" t="str">
        <f t="shared" si="4"/>
        <v/>
      </c>
      <c r="AR17" s="208" t="str">
        <f t="shared" si="4"/>
        <v/>
      </c>
      <c r="AS17" s="206" t="str">
        <f t="shared" si="4"/>
        <v/>
      </c>
      <c r="AT17" s="206" t="str">
        <f t="shared" si="4"/>
        <v/>
      </c>
      <c r="AU17" s="207" t="str">
        <f t="shared" si="4"/>
        <v/>
      </c>
      <c r="AV17" s="208" t="str">
        <f t="shared" si="4"/>
        <v/>
      </c>
      <c r="AW17" s="206" t="str">
        <f t="shared" si="4"/>
        <v/>
      </c>
      <c r="AX17" s="206" t="str">
        <f t="shared" si="4"/>
        <v/>
      </c>
      <c r="AY17" s="207" t="str">
        <f t="shared" si="4"/>
        <v/>
      </c>
      <c r="AZ17" s="208" t="str">
        <f t="shared" si="4"/>
        <v/>
      </c>
      <c r="BA17" s="206" t="str">
        <f t="shared" si="4"/>
        <v/>
      </c>
      <c r="BB17" s="206" t="str">
        <f t="shared" si="4"/>
        <v/>
      </c>
      <c r="BC17" s="207" t="str">
        <f t="shared" si="4"/>
        <v/>
      </c>
      <c r="BD17" s="208" t="str">
        <f t="shared" si="5"/>
        <v/>
      </c>
      <c r="BE17" s="206" t="str">
        <f t="shared" si="5"/>
        <v/>
      </c>
      <c r="BF17" s="206" t="str">
        <f t="shared" si="5"/>
        <v/>
      </c>
      <c r="BG17" s="207" t="str">
        <f t="shared" si="5"/>
        <v/>
      </c>
      <c r="BH17" s="208" t="str">
        <f t="shared" si="5"/>
        <v/>
      </c>
      <c r="BI17" s="206" t="str">
        <f t="shared" si="5"/>
        <v/>
      </c>
      <c r="BJ17" s="206" t="str">
        <f t="shared" si="5"/>
        <v/>
      </c>
      <c r="BK17" s="207" t="str">
        <f t="shared" si="5"/>
        <v/>
      </c>
      <c r="BL17" s="208" t="str">
        <f t="shared" si="5"/>
        <v/>
      </c>
      <c r="BM17" s="206" t="str">
        <f t="shared" si="5"/>
        <v/>
      </c>
      <c r="BN17" s="206" t="str">
        <f t="shared" si="5"/>
        <v/>
      </c>
      <c r="BO17" s="207" t="str">
        <f t="shared" si="5"/>
        <v/>
      </c>
      <c r="BP17" s="208" t="str">
        <f t="shared" si="6"/>
        <v/>
      </c>
      <c r="BQ17" s="206" t="str">
        <f t="shared" si="6"/>
        <v/>
      </c>
      <c r="BR17" s="206" t="str">
        <f t="shared" si="6"/>
        <v/>
      </c>
      <c r="BS17" s="207" t="str">
        <f t="shared" si="6"/>
        <v/>
      </c>
      <c r="BT17" s="208" t="str">
        <f t="shared" si="6"/>
        <v/>
      </c>
      <c r="BU17" s="206" t="str">
        <f t="shared" si="6"/>
        <v/>
      </c>
      <c r="BV17" s="206" t="str">
        <f t="shared" si="6"/>
        <v/>
      </c>
      <c r="BW17" s="207" t="str">
        <f t="shared" si="6"/>
        <v/>
      </c>
      <c r="BX17" s="208" t="str">
        <f t="shared" si="6"/>
        <v/>
      </c>
      <c r="BY17" s="206" t="str">
        <f t="shared" si="6"/>
        <v/>
      </c>
      <c r="BZ17" s="206" t="str">
        <f t="shared" si="6"/>
        <v/>
      </c>
      <c r="CA17" s="207" t="str">
        <f t="shared" si="6"/>
        <v/>
      </c>
      <c r="CB17" s="208" t="str">
        <f t="shared" si="6"/>
        <v/>
      </c>
      <c r="CC17" s="206" t="str">
        <f t="shared" si="6"/>
        <v/>
      </c>
      <c r="CD17" s="206" t="str">
        <f t="shared" si="6"/>
        <v/>
      </c>
      <c r="CE17" s="207" t="str">
        <f t="shared" si="6"/>
        <v/>
      </c>
    </row>
    <row r="18" spans="1:83" ht="18" customHeight="1">
      <c r="A18" s="22">
        <f>+TABELLA!I22</f>
        <v>0</v>
      </c>
      <c r="B18" s="22">
        <f>+TABELLA!J22</f>
        <v>0</v>
      </c>
      <c r="C18" s="22">
        <f>+TABELLA!K22</f>
        <v>0</v>
      </c>
      <c r="D18" s="22">
        <f>+TABELLA!L22</f>
        <v>0</v>
      </c>
      <c r="E18" s="22"/>
      <c r="F18" s="26">
        <f>IF(TABELLA!B22="","",TABELLA!B22)</f>
        <v>1</v>
      </c>
      <c r="G18" s="27" t="str">
        <f>IF(TABELLA!C22="","",TABELLA!C22)</f>
        <v/>
      </c>
      <c r="H18" s="203" t="str">
        <f t="shared" ref="H18:W18" si="18">IF(AND(G$3&gt;=$A18,G$3&lt;$B18),1,IF(AND(G$3&gt;=$C18,G$3&lt;$D18),1,""))</f>
        <v/>
      </c>
      <c r="I18" s="203" t="str">
        <f t="shared" si="18"/>
        <v/>
      </c>
      <c r="J18" s="203" t="str">
        <f t="shared" si="18"/>
        <v/>
      </c>
      <c r="K18" s="204" t="str">
        <f t="shared" si="18"/>
        <v/>
      </c>
      <c r="L18" s="205" t="str">
        <f t="shared" si="18"/>
        <v/>
      </c>
      <c r="M18" s="203" t="str">
        <f t="shared" si="18"/>
        <v/>
      </c>
      <c r="N18" s="203" t="str">
        <f t="shared" si="18"/>
        <v/>
      </c>
      <c r="O18" s="204" t="str">
        <f t="shared" si="18"/>
        <v/>
      </c>
      <c r="P18" s="205" t="str">
        <f t="shared" si="18"/>
        <v/>
      </c>
      <c r="Q18" s="203" t="str">
        <f t="shared" si="18"/>
        <v/>
      </c>
      <c r="R18" s="203" t="str">
        <f t="shared" si="18"/>
        <v/>
      </c>
      <c r="S18" s="204" t="str">
        <f t="shared" si="18"/>
        <v/>
      </c>
      <c r="T18" s="205" t="str">
        <f t="shared" si="18"/>
        <v/>
      </c>
      <c r="U18" s="203" t="str">
        <f t="shared" si="18"/>
        <v/>
      </c>
      <c r="V18" s="203" t="str">
        <f t="shared" si="18"/>
        <v/>
      </c>
      <c r="W18" s="204" t="str">
        <f t="shared" si="18"/>
        <v/>
      </c>
      <c r="X18" s="205" t="str">
        <f t="shared" si="3"/>
        <v/>
      </c>
      <c r="Y18" s="203" t="str">
        <f t="shared" si="3"/>
        <v/>
      </c>
      <c r="Z18" s="203" t="str">
        <f t="shared" si="3"/>
        <v/>
      </c>
      <c r="AA18" s="204" t="str">
        <f t="shared" si="3"/>
        <v/>
      </c>
      <c r="AB18" s="205" t="str">
        <f t="shared" si="3"/>
        <v/>
      </c>
      <c r="AC18" s="203" t="str">
        <f t="shared" si="3"/>
        <v/>
      </c>
      <c r="AD18" s="203" t="str">
        <f t="shared" si="3"/>
        <v/>
      </c>
      <c r="AE18" s="204" t="str">
        <f t="shared" si="3"/>
        <v/>
      </c>
      <c r="AF18" s="205" t="str">
        <f t="shared" si="3"/>
        <v/>
      </c>
      <c r="AG18" s="203" t="str">
        <f t="shared" si="3"/>
        <v/>
      </c>
      <c r="AH18" s="203" t="str">
        <f t="shared" si="3"/>
        <v/>
      </c>
      <c r="AI18" s="204" t="str">
        <f t="shared" si="3"/>
        <v/>
      </c>
      <c r="AJ18" s="205" t="str">
        <f t="shared" si="3"/>
        <v/>
      </c>
      <c r="AK18" s="203" t="str">
        <f t="shared" si="3"/>
        <v/>
      </c>
      <c r="AL18" s="203" t="str">
        <f t="shared" si="3"/>
        <v/>
      </c>
      <c r="AM18" s="204" t="str">
        <f t="shared" si="3"/>
        <v/>
      </c>
      <c r="AN18" s="205" t="str">
        <f t="shared" si="4"/>
        <v/>
      </c>
      <c r="AO18" s="203" t="str">
        <f t="shared" si="4"/>
        <v/>
      </c>
      <c r="AP18" s="203" t="str">
        <f t="shared" si="4"/>
        <v/>
      </c>
      <c r="AQ18" s="204" t="str">
        <f t="shared" si="4"/>
        <v/>
      </c>
      <c r="AR18" s="205" t="str">
        <f t="shared" si="4"/>
        <v/>
      </c>
      <c r="AS18" s="203" t="str">
        <f t="shared" si="4"/>
        <v/>
      </c>
      <c r="AT18" s="203" t="str">
        <f t="shared" si="4"/>
        <v/>
      </c>
      <c r="AU18" s="204" t="str">
        <f t="shared" si="4"/>
        <v/>
      </c>
      <c r="AV18" s="205" t="str">
        <f t="shared" si="4"/>
        <v/>
      </c>
      <c r="AW18" s="203" t="str">
        <f t="shared" si="4"/>
        <v/>
      </c>
      <c r="AX18" s="203" t="str">
        <f t="shared" si="4"/>
        <v/>
      </c>
      <c r="AY18" s="204" t="str">
        <f t="shared" si="4"/>
        <v/>
      </c>
      <c r="AZ18" s="205" t="str">
        <f t="shared" si="4"/>
        <v/>
      </c>
      <c r="BA18" s="203" t="str">
        <f t="shared" si="4"/>
        <v/>
      </c>
      <c r="BB18" s="203" t="str">
        <f t="shared" si="4"/>
        <v/>
      </c>
      <c r="BC18" s="204" t="str">
        <f t="shared" si="4"/>
        <v/>
      </c>
      <c r="BD18" s="205" t="str">
        <f t="shared" si="5"/>
        <v/>
      </c>
      <c r="BE18" s="203" t="str">
        <f t="shared" si="5"/>
        <v/>
      </c>
      <c r="BF18" s="203" t="str">
        <f t="shared" si="5"/>
        <v/>
      </c>
      <c r="BG18" s="204" t="str">
        <f t="shared" si="5"/>
        <v/>
      </c>
      <c r="BH18" s="205" t="str">
        <f t="shared" si="5"/>
        <v/>
      </c>
      <c r="BI18" s="203" t="str">
        <f t="shared" si="5"/>
        <v/>
      </c>
      <c r="BJ18" s="203" t="str">
        <f t="shared" si="5"/>
        <v/>
      </c>
      <c r="BK18" s="204" t="str">
        <f t="shared" si="5"/>
        <v/>
      </c>
      <c r="BL18" s="205" t="str">
        <f t="shared" si="5"/>
        <v/>
      </c>
      <c r="BM18" s="203" t="str">
        <f t="shared" si="5"/>
        <v/>
      </c>
      <c r="BN18" s="203" t="str">
        <f t="shared" si="5"/>
        <v/>
      </c>
      <c r="BO18" s="204" t="str">
        <f t="shared" si="5"/>
        <v/>
      </c>
      <c r="BP18" s="205" t="str">
        <f t="shared" si="6"/>
        <v/>
      </c>
      <c r="BQ18" s="203" t="str">
        <f t="shared" si="6"/>
        <v/>
      </c>
      <c r="BR18" s="203" t="str">
        <f t="shared" si="6"/>
        <v/>
      </c>
      <c r="BS18" s="204" t="str">
        <f t="shared" si="6"/>
        <v/>
      </c>
      <c r="BT18" s="205" t="str">
        <f t="shared" si="6"/>
        <v/>
      </c>
      <c r="BU18" s="203" t="str">
        <f t="shared" si="6"/>
        <v/>
      </c>
      <c r="BV18" s="203" t="str">
        <f t="shared" si="6"/>
        <v/>
      </c>
      <c r="BW18" s="204" t="str">
        <f t="shared" si="6"/>
        <v/>
      </c>
      <c r="BX18" s="205" t="str">
        <f t="shared" si="6"/>
        <v/>
      </c>
      <c r="BY18" s="203" t="str">
        <f t="shared" si="6"/>
        <v/>
      </c>
      <c r="BZ18" s="203" t="str">
        <f t="shared" si="6"/>
        <v/>
      </c>
      <c r="CA18" s="204" t="str">
        <f t="shared" si="6"/>
        <v/>
      </c>
      <c r="CB18" s="205" t="str">
        <f t="shared" si="6"/>
        <v/>
      </c>
      <c r="CC18" s="203" t="str">
        <f t="shared" si="6"/>
        <v/>
      </c>
      <c r="CD18" s="203" t="str">
        <f t="shared" si="6"/>
        <v/>
      </c>
      <c r="CE18" s="204" t="str">
        <f t="shared" si="6"/>
        <v/>
      </c>
    </row>
    <row r="19" spans="1:83" ht="18" customHeight="1">
      <c r="A19" s="22">
        <f>+TABELLA!I23</f>
        <v>0</v>
      </c>
      <c r="B19" s="22">
        <f>+TABELLA!J23</f>
        <v>0</v>
      </c>
      <c r="C19" s="22">
        <f>+TABELLA!K23</f>
        <v>0</v>
      </c>
      <c r="D19" s="22">
        <f>+TABELLA!L23</f>
        <v>0</v>
      </c>
      <c r="E19" s="22"/>
      <c r="F19" s="41">
        <f>IF(TABELLA!B23="","",TABELLA!B23)</f>
        <v>1</v>
      </c>
      <c r="G19" s="42" t="str">
        <f>IF(TABELLA!C23="","",TABELLA!C23)</f>
        <v>BALDAZZI ENRICO</v>
      </c>
      <c r="H19" s="206" t="str">
        <f t="shared" ref="H19:W19" si="19">IF(AND(G$3&gt;=$A19,G$3&lt;$B19),1,IF(AND(G$3&gt;=$C19,G$3&lt;$D19),1,""))</f>
        <v/>
      </c>
      <c r="I19" s="206" t="str">
        <f t="shared" si="19"/>
        <v/>
      </c>
      <c r="J19" s="206" t="str">
        <f t="shared" si="19"/>
        <v/>
      </c>
      <c r="K19" s="207" t="str">
        <f t="shared" si="19"/>
        <v/>
      </c>
      <c r="L19" s="208" t="str">
        <f t="shared" si="19"/>
        <v/>
      </c>
      <c r="M19" s="206" t="str">
        <f t="shared" si="19"/>
        <v/>
      </c>
      <c r="N19" s="206" t="str">
        <f t="shared" si="19"/>
        <v/>
      </c>
      <c r="O19" s="207" t="str">
        <f t="shared" si="19"/>
        <v/>
      </c>
      <c r="P19" s="208" t="str">
        <f t="shared" si="19"/>
        <v/>
      </c>
      <c r="Q19" s="206" t="str">
        <f t="shared" si="19"/>
        <v/>
      </c>
      <c r="R19" s="206" t="str">
        <f t="shared" si="19"/>
        <v/>
      </c>
      <c r="S19" s="207" t="str">
        <f t="shared" si="19"/>
        <v/>
      </c>
      <c r="T19" s="208" t="str">
        <f t="shared" si="19"/>
        <v/>
      </c>
      <c r="U19" s="206" t="str">
        <f t="shared" si="19"/>
        <v/>
      </c>
      <c r="V19" s="206" t="str">
        <f t="shared" si="19"/>
        <v/>
      </c>
      <c r="W19" s="207" t="str">
        <f t="shared" si="19"/>
        <v/>
      </c>
      <c r="X19" s="208" t="str">
        <f t="shared" si="3"/>
        <v/>
      </c>
      <c r="Y19" s="206" t="str">
        <f t="shared" si="3"/>
        <v/>
      </c>
      <c r="Z19" s="206" t="str">
        <f t="shared" si="3"/>
        <v/>
      </c>
      <c r="AA19" s="207" t="str">
        <f t="shared" si="3"/>
        <v/>
      </c>
      <c r="AB19" s="208" t="str">
        <f t="shared" si="3"/>
        <v/>
      </c>
      <c r="AC19" s="206" t="str">
        <f t="shared" si="3"/>
        <v/>
      </c>
      <c r="AD19" s="206" t="str">
        <f t="shared" si="3"/>
        <v/>
      </c>
      <c r="AE19" s="207" t="str">
        <f t="shared" si="3"/>
        <v/>
      </c>
      <c r="AF19" s="208" t="str">
        <f t="shared" si="3"/>
        <v/>
      </c>
      <c r="AG19" s="206" t="str">
        <f t="shared" si="3"/>
        <v/>
      </c>
      <c r="AH19" s="206" t="str">
        <f t="shared" si="3"/>
        <v/>
      </c>
      <c r="AI19" s="207" t="str">
        <f t="shared" si="3"/>
        <v/>
      </c>
      <c r="AJ19" s="208" t="str">
        <f t="shared" si="3"/>
        <v/>
      </c>
      <c r="AK19" s="206" t="str">
        <f t="shared" si="3"/>
        <v/>
      </c>
      <c r="AL19" s="206" t="str">
        <f t="shared" si="3"/>
        <v/>
      </c>
      <c r="AM19" s="207" t="str">
        <f t="shared" si="3"/>
        <v/>
      </c>
      <c r="AN19" s="208" t="str">
        <f t="shared" si="4"/>
        <v/>
      </c>
      <c r="AO19" s="206" t="str">
        <f t="shared" si="4"/>
        <v/>
      </c>
      <c r="AP19" s="206" t="str">
        <f t="shared" si="4"/>
        <v/>
      </c>
      <c r="AQ19" s="207" t="str">
        <f t="shared" si="4"/>
        <v/>
      </c>
      <c r="AR19" s="208" t="str">
        <f t="shared" si="4"/>
        <v/>
      </c>
      <c r="AS19" s="206" t="str">
        <f t="shared" si="4"/>
        <v/>
      </c>
      <c r="AT19" s="206" t="str">
        <f t="shared" si="4"/>
        <v/>
      </c>
      <c r="AU19" s="207" t="str">
        <f t="shared" si="4"/>
        <v/>
      </c>
      <c r="AV19" s="208" t="str">
        <f t="shared" si="4"/>
        <v/>
      </c>
      <c r="AW19" s="206" t="str">
        <f t="shared" si="4"/>
        <v/>
      </c>
      <c r="AX19" s="206" t="str">
        <f t="shared" si="4"/>
        <v/>
      </c>
      <c r="AY19" s="207" t="str">
        <f t="shared" si="4"/>
        <v/>
      </c>
      <c r="AZ19" s="208" t="str">
        <f t="shared" si="4"/>
        <v/>
      </c>
      <c r="BA19" s="206" t="str">
        <f t="shared" si="4"/>
        <v/>
      </c>
      <c r="BB19" s="206" t="str">
        <f t="shared" si="4"/>
        <v/>
      </c>
      <c r="BC19" s="207" t="str">
        <f t="shared" si="4"/>
        <v/>
      </c>
      <c r="BD19" s="208" t="str">
        <f t="shared" si="5"/>
        <v/>
      </c>
      <c r="BE19" s="206" t="str">
        <f t="shared" si="5"/>
        <v/>
      </c>
      <c r="BF19" s="206" t="str">
        <f t="shared" si="5"/>
        <v/>
      </c>
      <c r="BG19" s="207" t="str">
        <f t="shared" si="5"/>
        <v/>
      </c>
      <c r="BH19" s="208" t="str">
        <f t="shared" si="5"/>
        <v/>
      </c>
      <c r="BI19" s="206" t="str">
        <f t="shared" si="5"/>
        <v/>
      </c>
      <c r="BJ19" s="206" t="str">
        <f t="shared" si="5"/>
        <v/>
      </c>
      <c r="BK19" s="207" t="str">
        <f t="shared" si="5"/>
        <v/>
      </c>
      <c r="BL19" s="208" t="str">
        <f t="shared" si="5"/>
        <v/>
      </c>
      <c r="BM19" s="206" t="str">
        <f t="shared" si="5"/>
        <v/>
      </c>
      <c r="BN19" s="206" t="str">
        <f t="shared" si="5"/>
        <v/>
      </c>
      <c r="BO19" s="207" t="str">
        <f t="shared" si="5"/>
        <v/>
      </c>
      <c r="BP19" s="208" t="str">
        <f t="shared" si="6"/>
        <v/>
      </c>
      <c r="BQ19" s="206" t="str">
        <f t="shared" si="6"/>
        <v/>
      </c>
      <c r="BR19" s="206" t="str">
        <f t="shared" si="6"/>
        <v/>
      </c>
      <c r="BS19" s="207" t="str">
        <f t="shared" si="6"/>
        <v/>
      </c>
      <c r="BT19" s="208" t="str">
        <f t="shared" si="6"/>
        <v/>
      </c>
      <c r="BU19" s="206" t="str">
        <f t="shared" si="6"/>
        <v/>
      </c>
      <c r="BV19" s="206" t="str">
        <f t="shared" si="6"/>
        <v/>
      </c>
      <c r="BW19" s="207" t="str">
        <f t="shared" si="6"/>
        <v/>
      </c>
      <c r="BX19" s="208" t="str">
        <f t="shared" si="6"/>
        <v/>
      </c>
      <c r="BY19" s="206" t="str">
        <f t="shared" si="6"/>
        <v/>
      </c>
      <c r="BZ19" s="206" t="str">
        <f t="shared" si="6"/>
        <v/>
      </c>
      <c r="CA19" s="207" t="str">
        <f t="shared" si="6"/>
        <v/>
      </c>
      <c r="CB19" s="208" t="str">
        <f t="shared" si="6"/>
        <v/>
      </c>
      <c r="CC19" s="206" t="str">
        <f t="shared" si="6"/>
        <v/>
      </c>
      <c r="CD19" s="206" t="str">
        <f t="shared" si="6"/>
        <v/>
      </c>
      <c r="CE19" s="207" t="str">
        <f t="shared" si="6"/>
        <v/>
      </c>
    </row>
    <row r="20" spans="1:83" ht="18" customHeight="1">
      <c r="A20" s="22">
        <f>+TABELLA!I24</f>
        <v>0</v>
      </c>
      <c r="B20" s="22">
        <f>+TABELLA!J24</f>
        <v>0</v>
      </c>
      <c r="C20" s="22">
        <f>+TABELLA!K24</f>
        <v>0</v>
      </c>
      <c r="D20" s="22">
        <f>+TABELLA!L24</f>
        <v>0</v>
      </c>
      <c r="E20" s="22"/>
      <c r="F20" s="26">
        <f>IF(TABELLA!B24="","",TABELLA!B24)</f>
        <v>12</v>
      </c>
      <c r="G20" s="27" t="str">
        <f>IF(TABELLA!C24="","",TABELLA!C24)</f>
        <v>xx</v>
      </c>
      <c r="H20" s="203" t="str">
        <f t="shared" ref="H20:W20" si="20">IF(AND(G$3&gt;=$A20,G$3&lt;$B20),1,IF(AND(G$3&gt;=$C20,G$3&lt;$D20),1,""))</f>
        <v/>
      </c>
      <c r="I20" s="203" t="str">
        <f t="shared" si="20"/>
        <v/>
      </c>
      <c r="J20" s="203" t="str">
        <f t="shared" si="20"/>
        <v/>
      </c>
      <c r="K20" s="204" t="str">
        <f t="shared" si="20"/>
        <v/>
      </c>
      <c r="L20" s="205" t="str">
        <f t="shared" si="20"/>
        <v/>
      </c>
      <c r="M20" s="203" t="str">
        <f t="shared" si="20"/>
        <v/>
      </c>
      <c r="N20" s="203" t="str">
        <f t="shared" si="20"/>
        <v/>
      </c>
      <c r="O20" s="204" t="str">
        <f t="shared" si="20"/>
        <v/>
      </c>
      <c r="P20" s="205" t="str">
        <f t="shared" si="20"/>
        <v/>
      </c>
      <c r="Q20" s="203" t="str">
        <f t="shared" si="20"/>
        <v/>
      </c>
      <c r="R20" s="203" t="str">
        <f t="shared" si="20"/>
        <v/>
      </c>
      <c r="S20" s="204" t="str">
        <f t="shared" si="20"/>
        <v/>
      </c>
      <c r="T20" s="205" t="str">
        <f t="shared" si="20"/>
        <v/>
      </c>
      <c r="U20" s="203" t="str">
        <f t="shared" si="20"/>
        <v/>
      </c>
      <c r="V20" s="203" t="str">
        <f t="shared" si="20"/>
        <v/>
      </c>
      <c r="W20" s="204" t="str">
        <f t="shared" si="20"/>
        <v/>
      </c>
      <c r="X20" s="205" t="str">
        <f t="shared" si="3"/>
        <v/>
      </c>
      <c r="Y20" s="203" t="str">
        <f t="shared" si="3"/>
        <v/>
      </c>
      <c r="Z20" s="203" t="str">
        <f t="shared" si="3"/>
        <v/>
      </c>
      <c r="AA20" s="204" t="str">
        <f t="shared" si="3"/>
        <v/>
      </c>
      <c r="AB20" s="205" t="str">
        <f t="shared" si="3"/>
        <v/>
      </c>
      <c r="AC20" s="203" t="str">
        <f t="shared" si="3"/>
        <v/>
      </c>
      <c r="AD20" s="203" t="str">
        <f t="shared" si="3"/>
        <v/>
      </c>
      <c r="AE20" s="204" t="str">
        <f t="shared" si="3"/>
        <v/>
      </c>
      <c r="AF20" s="205" t="str">
        <f t="shared" si="3"/>
        <v/>
      </c>
      <c r="AG20" s="203" t="str">
        <f t="shared" si="3"/>
        <v/>
      </c>
      <c r="AH20" s="203" t="str">
        <f t="shared" si="3"/>
        <v/>
      </c>
      <c r="AI20" s="204" t="str">
        <f t="shared" si="3"/>
        <v/>
      </c>
      <c r="AJ20" s="205" t="str">
        <f t="shared" si="3"/>
        <v/>
      </c>
      <c r="AK20" s="203" t="str">
        <f t="shared" si="3"/>
        <v/>
      </c>
      <c r="AL20" s="203" t="str">
        <f t="shared" si="3"/>
        <v/>
      </c>
      <c r="AM20" s="204" t="str">
        <f t="shared" si="3"/>
        <v/>
      </c>
      <c r="AN20" s="205" t="str">
        <f t="shared" si="4"/>
        <v/>
      </c>
      <c r="AO20" s="203" t="str">
        <f t="shared" si="4"/>
        <v/>
      </c>
      <c r="AP20" s="203" t="str">
        <f t="shared" si="4"/>
        <v/>
      </c>
      <c r="AQ20" s="204" t="str">
        <f t="shared" si="4"/>
        <v/>
      </c>
      <c r="AR20" s="205" t="str">
        <f t="shared" si="4"/>
        <v/>
      </c>
      <c r="AS20" s="203" t="str">
        <f t="shared" si="4"/>
        <v/>
      </c>
      <c r="AT20" s="203" t="str">
        <f t="shared" si="4"/>
        <v/>
      </c>
      <c r="AU20" s="204" t="str">
        <f t="shared" si="4"/>
        <v/>
      </c>
      <c r="AV20" s="205" t="str">
        <f t="shared" si="4"/>
        <v/>
      </c>
      <c r="AW20" s="203" t="str">
        <f t="shared" si="4"/>
        <v/>
      </c>
      <c r="AX20" s="203" t="str">
        <f t="shared" si="4"/>
        <v/>
      </c>
      <c r="AY20" s="204" t="str">
        <f t="shared" si="4"/>
        <v/>
      </c>
      <c r="AZ20" s="205" t="str">
        <f t="shared" si="4"/>
        <v/>
      </c>
      <c r="BA20" s="203" t="str">
        <f t="shared" si="4"/>
        <v/>
      </c>
      <c r="BB20" s="203" t="str">
        <f t="shared" si="4"/>
        <v/>
      </c>
      <c r="BC20" s="204" t="str">
        <f t="shared" si="4"/>
        <v/>
      </c>
      <c r="BD20" s="205" t="str">
        <f t="shared" si="5"/>
        <v/>
      </c>
      <c r="BE20" s="203" t="str">
        <f t="shared" si="5"/>
        <v/>
      </c>
      <c r="BF20" s="203" t="str">
        <f t="shared" si="5"/>
        <v/>
      </c>
      <c r="BG20" s="204" t="str">
        <f t="shared" si="5"/>
        <v/>
      </c>
      <c r="BH20" s="205" t="str">
        <f t="shared" si="5"/>
        <v/>
      </c>
      <c r="BI20" s="203" t="str">
        <f t="shared" si="5"/>
        <v/>
      </c>
      <c r="BJ20" s="203" t="str">
        <f t="shared" si="5"/>
        <v/>
      </c>
      <c r="BK20" s="204" t="str">
        <f t="shared" si="5"/>
        <v/>
      </c>
      <c r="BL20" s="205" t="str">
        <f t="shared" si="5"/>
        <v/>
      </c>
      <c r="BM20" s="203" t="str">
        <f t="shared" si="5"/>
        <v/>
      </c>
      <c r="BN20" s="203" t="str">
        <f t="shared" si="5"/>
        <v/>
      </c>
      <c r="BO20" s="204" t="str">
        <f t="shared" si="5"/>
        <v/>
      </c>
      <c r="BP20" s="205" t="str">
        <f t="shared" si="6"/>
        <v/>
      </c>
      <c r="BQ20" s="203" t="str">
        <f t="shared" si="6"/>
        <v/>
      </c>
      <c r="BR20" s="203" t="str">
        <f t="shared" si="6"/>
        <v/>
      </c>
      <c r="BS20" s="204" t="str">
        <f t="shared" si="6"/>
        <v/>
      </c>
      <c r="BT20" s="205" t="str">
        <f t="shared" si="6"/>
        <v/>
      </c>
      <c r="BU20" s="203" t="str">
        <f t="shared" si="6"/>
        <v/>
      </c>
      <c r="BV20" s="203" t="str">
        <f t="shared" si="6"/>
        <v/>
      </c>
      <c r="BW20" s="204" t="str">
        <f t="shared" si="6"/>
        <v/>
      </c>
      <c r="BX20" s="205" t="str">
        <f t="shared" si="6"/>
        <v/>
      </c>
      <c r="BY20" s="203" t="str">
        <f t="shared" si="6"/>
        <v/>
      </c>
      <c r="BZ20" s="203" t="str">
        <f t="shared" si="6"/>
        <v/>
      </c>
      <c r="CA20" s="204" t="str">
        <f t="shared" si="6"/>
        <v/>
      </c>
      <c r="CB20" s="205" t="str">
        <f t="shared" si="6"/>
        <v/>
      </c>
      <c r="CC20" s="203" t="str">
        <f t="shared" si="6"/>
        <v/>
      </c>
      <c r="CD20" s="203" t="str">
        <f t="shared" si="6"/>
        <v/>
      </c>
      <c r="CE20" s="204" t="str">
        <f t="shared" si="6"/>
        <v/>
      </c>
    </row>
    <row r="21" spans="1:83" ht="18" customHeight="1">
      <c r="A21" s="22">
        <f>+TABELLA!I25</f>
        <v>0</v>
      </c>
      <c r="B21" s="22">
        <f>+TABELLA!J25</f>
        <v>0</v>
      </c>
      <c r="C21" s="22">
        <f>+TABELLA!K25</f>
        <v>0</v>
      </c>
      <c r="D21" s="22">
        <f>+TABELLA!L25</f>
        <v>0</v>
      </c>
      <c r="E21" s="22"/>
      <c r="F21" s="41">
        <f>IF(TABELLA!B25="","",TABELLA!B25)</f>
        <v>1</v>
      </c>
      <c r="G21" s="42" t="str">
        <f>IF(TABELLA!C25="","",TABELLA!C25)</f>
        <v/>
      </c>
      <c r="H21" s="206" t="str">
        <f t="shared" ref="H21:V21" si="21">IF(AND(G$3&gt;=$A21,G$3&lt;$B21),1,IF(AND(G$3&gt;=$C21,G$3&lt;$D21),1,""))</f>
        <v/>
      </c>
      <c r="I21" s="206" t="str">
        <f t="shared" si="21"/>
        <v/>
      </c>
      <c r="J21" s="206" t="str">
        <f t="shared" si="21"/>
        <v/>
      </c>
      <c r="K21" s="207" t="str">
        <f t="shared" si="21"/>
        <v/>
      </c>
      <c r="L21" s="208" t="str">
        <f t="shared" si="21"/>
        <v/>
      </c>
      <c r="M21" s="206" t="str">
        <f t="shared" si="21"/>
        <v/>
      </c>
      <c r="N21" s="206" t="str">
        <f t="shared" si="21"/>
        <v/>
      </c>
      <c r="O21" s="207" t="str">
        <f t="shared" si="21"/>
        <v/>
      </c>
      <c r="P21" s="208" t="str">
        <f t="shared" si="21"/>
        <v/>
      </c>
      <c r="Q21" s="206" t="str">
        <f t="shared" si="21"/>
        <v/>
      </c>
      <c r="R21" s="206" t="str">
        <f t="shared" si="21"/>
        <v/>
      </c>
      <c r="S21" s="207" t="str">
        <f t="shared" si="21"/>
        <v/>
      </c>
      <c r="T21" s="208" t="str">
        <f t="shared" si="21"/>
        <v/>
      </c>
      <c r="U21" s="206" t="str">
        <f t="shared" si="21"/>
        <v/>
      </c>
      <c r="V21" s="206" t="str">
        <f t="shared" si="21"/>
        <v/>
      </c>
      <c r="W21" s="207" t="str">
        <f t="shared" ref="W21:BO26" si="22">IF(AND(V$3&gt;=$A21,V$3&lt;$B21),1,IF(AND(V$3&gt;=$C21,V$3&lt;$D21),1,""))</f>
        <v/>
      </c>
      <c r="X21" s="208" t="str">
        <f t="shared" si="22"/>
        <v/>
      </c>
      <c r="Y21" s="206" t="str">
        <f t="shared" si="22"/>
        <v/>
      </c>
      <c r="Z21" s="206" t="str">
        <f t="shared" si="22"/>
        <v/>
      </c>
      <c r="AA21" s="207" t="str">
        <f t="shared" si="22"/>
        <v/>
      </c>
      <c r="AB21" s="208" t="str">
        <f t="shared" si="22"/>
        <v/>
      </c>
      <c r="AC21" s="206" t="str">
        <f t="shared" si="22"/>
        <v/>
      </c>
      <c r="AD21" s="206" t="str">
        <f t="shared" si="22"/>
        <v/>
      </c>
      <c r="AE21" s="207" t="str">
        <f t="shared" si="22"/>
        <v/>
      </c>
      <c r="AF21" s="208" t="str">
        <f t="shared" si="22"/>
        <v/>
      </c>
      <c r="AG21" s="206" t="str">
        <f t="shared" si="22"/>
        <v/>
      </c>
      <c r="AH21" s="206" t="str">
        <f t="shared" si="22"/>
        <v/>
      </c>
      <c r="AI21" s="207" t="str">
        <f t="shared" si="22"/>
        <v/>
      </c>
      <c r="AJ21" s="208" t="str">
        <f t="shared" si="22"/>
        <v/>
      </c>
      <c r="AK21" s="206" t="str">
        <f t="shared" si="22"/>
        <v/>
      </c>
      <c r="AL21" s="206" t="str">
        <f t="shared" si="22"/>
        <v/>
      </c>
      <c r="AM21" s="207" t="str">
        <f t="shared" si="22"/>
        <v/>
      </c>
      <c r="AN21" s="208" t="str">
        <f t="shared" si="22"/>
        <v/>
      </c>
      <c r="AO21" s="206" t="str">
        <f t="shared" si="22"/>
        <v/>
      </c>
      <c r="AP21" s="206" t="str">
        <f t="shared" si="22"/>
        <v/>
      </c>
      <c r="AQ21" s="207" t="str">
        <f t="shared" si="22"/>
        <v/>
      </c>
      <c r="AR21" s="208" t="str">
        <f t="shared" si="22"/>
        <v/>
      </c>
      <c r="AS21" s="206" t="str">
        <f t="shared" si="22"/>
        <v/>
      </c>
      <c r="AT21" s="206" t="str">
        <f t="shared" si="22"/>
        <v/>
      </c>
      <c r="AU21" s="207" t="str">
        <f t="shared" si="22"/>
        <v/>
      </c>
      <c r="AV21" s="208" t="str">
        <f t="shared" si="22"/>
        <v/>
      </c>
      <c r="AW21" s="206" t="str">
        <f t="shared" si="22"/>
        <v/>
      </c>
      <c r="AX21" s="206" t="str">
        <f t="shared" si="22"/>
        <v/>
      </c>
      <c r="AY21" s="207" t="str">
        <f t="shared" si="22"/>
        <v/>
      </c>
      <c r="AZ21" s="208" t="str">
        <f t="shared" si="22"/>
        <v/>
      </c>
      <c r="BA21" s="206" t="str">
        <f t="shared" si="22"/>
        <v/>
      </c>
      <c r="BB21" s="206" t="str">
        <f t="shared" si="22"/>
        <v/>
      </c>
      <c r="BC21" s="207" t="str">
        <f t="shared" si="22"/>
        <v/>
      </c>
      <c r="BD21" s="208" t="str">
        <f t="shared" si="22"/>
        <v/>
      </c>
      <c r="BE21" s="206" t="str">
        <f t="shared" si="22"/>
        <v/>
      </c>
      <c r="BF21" s="206" t="str">
        <f t="shared" si="22"/>
        <v/>
      </c>
      <c r="BG21" s="207" t="str">
        <f t="shared" si="22"/>
        <v/>
      </c>
      <c r="BH21" s="208" t="str">
        <f t="shared" si="22"/>
        <v/>
      </c>
      <c r="BI21" s="206" t="str">
        <f t="shared" si="22"/>
        <v/>
      </c>
      <c r="BJ21" s="206" t="str">
        <f t="shared" si="22"/>
        <v/>
      </c>
      <c r="BK21" s="207" t="str">
        <f t="shared" si="22"/>
        <v/>
      </c>
      <c r="BL21" s="208" t="str">
        <f t="shared" si="22"/>
        <v/>
      </c>
      <c r="BM21" s="206" t="str">
        <f t="shared" si="22"/>
        <v/>
      </c>
      <c r="BN21" s="206" t="str">
        <f t="shared" si="22"/>
        <v/>
      </c>
      <c r="BO21" s="207" t="str">
        <f t="shared" si="22"/>
        <v/>
      </c>
      <c r="BP21" s="208" t="str">
        <f t="shared" si="6"/>
        <v/>
      </c>
      <c r="BQ21" s="206" t="str">
        <f t="shared" si="6"/>
        <v/>
      </c>
      <c r="BR21" s="206" t="str">
        <f t="shared" si="6"/>
        <v/>
      </c>
      <c r="BS21" s="207" t="str">
        <f t="shared" si="6"/>
        <v/>
      </c>
      <c r="BT21" s="208" t="str">
        <f t="shared" si="6"/>
        <v/>
      </c>
      <c r="BU21" s="206" t="str">
        <f t="shared" si="6"/>
        <v/>
      </c>
      <c r="BV21" s="206" t="str">
        <f t="shared" si="6"/>
        <v/>
      </c>
      <c r="BW21" s="207" t="str">
        <f t="shared" si="6"/>
        <v/>
      </c>
      <c r="BX21" s="208" t="str">
        <f t="shared" si="6"/>
        <v/>
      </c>
      <c r="BY21" s="206" t="str">
        <f t="shared" si="6"/>
        <v/>
      </c>
      <c r="BZ21" s="206" t="str">
        <f t="shared" si="6"/>
        <v/>
      </c>
      <c r="CA21" s="207" t="str">
        <f t="shared" si="6"/>
        <v/>
      </c>
      <c r="CB21" s="208" t="str">
        <f t="shared" si="6"/>
        <v/>
      </c>
      <c r="CC21" s="206" t="str">
        <f t="shared" si="6"/>
        <v/>
      </c>
      <c r="CD21" s="206" t="str">
        <f t="shared" si="6"/>
        <v/>
      </c>
      <c r="CE21" s="207" t="str">
        <f t="shared" si="6"/>
        <v/>
      </c>
    </row>
    <row r="22" spans="1:83" ht="18" customHeight="1">
      <c r="A22" s="22">
        <f>+TABELLA!I26</f>
        <v>0</v>
      </c>
      <c r="B22" s="22">
        <f>+TABELLA!J26</f>
        <v>0</v>
      </c>
      <c r="C22" s="22">
        <f>+TABELLA!K26</f>
        <v>0</v>
      </c>
      <c r="D22" s="22">
        <f>+TABELLA!L26</f>
        <v>0</v>
      </c>
      <c r="E22" s="22"/>
      <c r="F22" s="26">
        <f>IF(TABELLA!B26="","",TABELLA!B26)</f>
        <v>1</v>
      </c>
      <c r="G22" s="27" t="str">
        <f>IF(TABELLA!C26="","",TABELLA!C26)</f>
        <v/>
      </c>
      <c r="H22" s="203" t="str">
        <f t="shared" ref="H22:V22" si="23">IF(AND(G$3&gt;=$A22,G$3&lt;$B22),1,IF(AND(G$3&gt;=$C22,G$3&lt;$D22),1,""))</f>
        <v/>
      </c>
      <c r="I22" s="203" t="str">
        <f t="shared" si="23"/>
        <v/>
      </c>
      <c r="J22" s="203" t="str">
        <f t="shared" si="23"/>
        <v/>
      </c>
      <c r="K22" s="204" t="str">
        <f t="shared" si="23"/>
        <v/>
      </c>
      <c r="L22" s="205" t="str">
        <f t="shared" si="23"/>
        <v/>
      </c>
      <c r="M22" s="203" t="str">
        <f t="shared" si="23"/>
        <v/>
      </c>
      <c r="N22" s="203" t="str">
        <f t="shared" si="23"/>
        <v/>
      </c>
      <c r="O22" s="204" t="str">
        <f t="shared" si="23"/>
        <v/>
      </c>
      <c r="P22" s="205" t="str">
        <f t="shared" si="23"/>
        <v/>
      </c>
      <c r="Q22" s="203" t="str">
        <f t="shared" si="23"/>
        <v/>
      </c>
      <c r="R22" s="203" t="str">
        <f t="shared" si="23"/>
        <v/>
      </c>
      <c r="S22" s="204" t="str">
        <f t="shared" si="23"/>
        <v/>
      </c>
      <c r="T22" s="205" t="str">
        <f t="shared" si="23"/>
        <v/>
      </c>
      <c r="U22" s="203" t="str">
        <f t="shared" si="23"/>
        <v/>
      </c>
      <c r="V22" s="203" t="str">
        <f t="shared" si="23"/>
        <v/>
      </c>
      <c r="W22" s="204" t="str">
        <f t="shared" ref="W22:W36" si="24">IF(AND(V$3&gt;=$A22,V$3&lt;$B22),1,IF(AND(V$3&gt;=$C22,V$3&lt;$D22),1,""))</f>
        <v/>
      </c>
      <c r="X22" s="205" t="str">
        <f t="shared" si="22"/>
        <v/>
      </c>
      <c r="Y22" s="203" t="str">
        <f t="shared" si="22"/>
        <v/>
      </c>
      <c r="Z22" s="203" t="str">
        <f t="shared" si="22"/>
        <v/>
      </c>
      <c r="AA22" s="204" t="str">
        <f t="shared" si="22"/>
        <v/>
      </c>
      <c r="AB22" s="205" t="str">
        <f t="shared" si="22"/>
        <v/>
      </c>
      <c r="AC22" s="203" t="str">
        <f t="shared" si="22"/>
        <v/>
      </c>
      <c r="AD22" s="203" t="str">
        <f t="shared" si="22"/>
        <v/>
      </c>
      <c r="AE22" s="204" t="str">
        <f t="shared" si="22"/>
        <v/>
      </c>
      <c r="AF22" s="205" t="str">
        <f t="shared" si="22"/>
        <v/>
      </c>
      <c r="AG22" s="203" t="str">
        <f t="shared" si="22"/>
        <v/>
      </c>
      <c r="AH22" s="203" t="str">
        <f t="shared" si="22"/>
        <v/>
      </c>
      <c r="AI22" s="204" t="str">
        <f t="shared" si="22"/>
        <v/>
      </c>
      <c r="AJ22" s="205" t="str">
        <f t="shared" si="22"/>
        <v/>
      </c>
      <c r="AK22" s="203" t="str">
        <f t="shared" si="22"/>
        <v/>
      </c>
      <c r="AL22" s="203" t="str">
        <f t="shared" si="22"/>
        <v/>
      </c>
      <c r="AM22" s="204" t="str">
        <f t="shared" si="22"/>
        <v/>
      </c>
      <c r="AN22" s="205" t="str">
        <f t="shared" si="22"/>
        <v/>
      </c>
      <c r="AO22" s="203" t="str">
        <f t="shared" si="22"/>
        <v/>
      </c>
      <c r="AP22" s="203" t="str">
        <f t="shared" si="22"/>
        <v/>
      </c>
      <c r="AQ22" s="204" t="str">
        <f t="shared" si="22"/>
        <v/>
      </c>
      <c r="AR22" s="205" t="str">
        <f t="shared" si="22"/>
        <v/>
      </c>
      <c r="AS22" s="203" t="str">
        <f t="shared" si="22"/>
        <v/>
      </c>
      <c r="AT22" s="203" t="str">
        <f t="shared" si="22"/>
        <v/>
      </c>
      <c r="AU22" s="204" t="str">
        <f t="shared" si="22"/>
        <v/>
      </c>
      <c r="AV22" s="205" t="str">
        <f t="shared" si="22"/>
        <v/>
      </c>
      <c r="AW22" s="203" t="str">
        <f t="shared" si="22"/>
        <v/>
      </c>
      <c r="AX22" s="203" t="str">
        <f t="shared" si="22"/>
        <v/>
      </c>
      <c r="AY22" s="204" t="str">
        <f t="shared" si="22"/>
        <v/>
      </c>
      <c r="AZ22" s="205" t="str">
        <f t="shared" si="22"/>
        <v/>
      </c>
      <c r="BA22" s="203" t="str">
        <f t="shared" si="22"/>
        <v/>
      </c>
      <c r="BB22" s="203" t="str">
        <f t="shared" si="22"/>
        <v/>
      </c>
      <c r="BC22" s="204" t="str">
        <f t="shared" si="22"/>
        <v/>
      </c>
      <c r="BD22" s="205" t="str">
        <f t="shared" si="22"/>
        <v/>
      </c>
      <c r="BE22" s="203" t="str">
        <f t="shared" si="22"/>
        <v/>
      </c>
      <c r="BF22" s="203" t="str">
        <f t="shared" si="22"/>
        <v/>
      </c>
      <c r="BG22" s="204" t="str">
        <f t="shared" si="22"/>
        <v/>
      </c>
      <c r="BH22" s="205" t="str">
        <f t="shared" si="22"/>
        <v/>
      </c>
      <c r="BI22" s="203" t="str">
        <f t="shared" si="22"/>
        <v/>
      </c>
      <c r="BJ22" s="203" t="str">
        <f t="shared" si="22"/>
        <v/>
      </c>
      <c r="BK22" s="204" t="str">
        <f t="shared" si="22"/>
        <v/>
      </c>
      <c r="BL22" s="205" t="str">
        <f t="shared" si="22"/>
        <v/>
      </c>
      <c r="BM22" s="203" t="str">
        <f t="shared" si="22"/>
        <v/>
      </c>
      <c r="BN22" s="203" t="str">
        <f t="shared" si="22"/>
        <v/>
      </c>
      <c r="BO22" s="204" t="str">
        <f t="shared" si="22"/>
        <v/>
      </c>
      <c r="BP22" s="205" t="str">
        <f t="shared" ref="BP22:CE37" si="25">IF(AND(BO$3&gt;=$A22,BO$3&lt;$B22),1,IF(AND(BO$3&gt;=$C22,BO$3&lt;$D22),1,""))</f>
        <v/>
      </c>
      <c r="BQ22" s="203" t="str">
        <f t="shared" si="25"/>
        <v/>
      </c>
      <c r="BR22" s="203" t="str">
        <f t="shared" si="25"/>
        <v/>
      </c>
      <c r="BS22" s="204" t="str">
        <f t="shared" si="25"/>
        <v/>
      </c>
      <c r="BT22" s="205" t="str">
        <f t="shared" si="25"/>
        <v/>
      </c>
      <c r="BU22" s="203" t="str">
        <f t="shared" si="25"/>
        <v/>
      </c>
      <c r="BV22" s="203" t="str">
        <f t="shared" si="25"/>
        <v/>
      </c>
      <c r="BW22" s="204" t="str">
        <f t="shared" si="25"/>
        <v/>
      </c>
      <c r="BX22" s="205" t="str">
        <f t="shared" si="25"/>
        <v/>
      </c>
      <c r="BY22" s="203" t="str">
        <f t="shared" si="25"/>
        <v/>
      </c>
      <c r="BZ22" s="203" t="str">
        <f t="shared" si="25"/>
        <v/>
      </c>
      <c r="CA22" s="204" t="str">
        <f t="shared" si="25"/>
        <v/>
      </c>
      <c r="CB22" s="205" t="str">
        <f t="shared" si="25"/>
        <v/>
      </c>
      <c r="CC22" s="203" t="str">
        <f t="shared" si="25"/>
        <v/>
      </c>
      <c r="CD22" s="203" t="str">
        <f t="shared" si="25"/>
        <v/>
      </c>
      <c r="CE22" s="204" t="str">
        <f t="shared" si="25"/>
        <v/>
      </c>
    </row>
    <row r="23" spans="1:83" ht="18" customHeight="1">
      <c r="A23" s="22">
        <f>+TABELLA!I27</f>
        <v>0</v>
      </c>
      <c r="B23" s="22">
        <f>+TABELLA!J27</f>
        <v>0</v>
      </c>
      <c r="C23" s="22">
        <f>+TABELLA!K27</f>
        <v>0</v>
      </c>
      <c r="D23" s="22">
        <f>+TABELLA!L27</f>
        <v>0</v>
      </c>
      <c r="E23" s="22"/>
      <c r="F23" s="41" t="str">
        <f>IF(TABELLA!B27="","",TABELLA!B27)</f>
        <v/>
      </c>
      <c r="G23" s="42" t="str">
        <f>IF(TABELLA!C27="","",TABELLA!C27)</f>
        <v/>
      </c>
      <c r="H23" s="206" t="str">
        <f t="shared" ref="H23:V23" si="26">IF(AND(G$3&gt;=$A23,G$3&lt;$B23),1,IF(AND(G$3&gt;=$C23,G$3&lt;$D23),1,""))</f>
        <v/>
      </c>
      <c r="I23" s="206" t="str">
        <f t="shared" si="26"/>
        <v/>
      </c>
      <c r="J23" s="206" t="str">
        <f t="shared" si="26"/>
        <v/>
      </c>
      <c r="K23" s="207" t="str">
        <f t="shared" si="26"/>
        <v/>
      </c>
      <c r="L23" s="208" t="str">
        <f t="shared" si="26"/>
        <v/>
      </c>
      <c r="M23" s="206" t="str">
        <f t="shared" si="26"/>
        <v/>
      </c>
      <c r="N23" s="206" t="str">
        <f t="shared" si="26"/>
        <v/>
      </c>
      <c r="O23" s="207" t="str">
        <f t="shared" si="26"/>
        <v/>
      </c>
      <c r="P23" s="208" t="str">
        <f t="shared" si="26"/>
        <v/>
      </c>
      <c r="Q23" s="206" t="str">
        <f t="shared" si="26"/>
        <v/>
      </c>
      <c r="R23" s="206" t="str">
        <f t="shared" si="26"/>
        <v/>
      </c>
      <c r="S23" s="207" t="str">
        <f t="shared" si="26"/>
        <v/>
      </c>
      <c r="T23" s="208" t="str">
        <f t="shared" si="26"/>
        <v/>
      </c>
      <c r="U23" s="206" t="str">
        <f t="shared" si="26"/>
        <v/>
      </c>
      <c r="V23" s="206" t="str">
        <f t="shared" si="26"/>
        <v/>
      </c>
      <c r="W23" s="207" t="str">
        <f t="shared" si="24"/>
        <v/>
      </c>
      <c r="X23" s="208" t="str">
        <f t="shared" si="22"/>
        <v/>
      </c>
      <c r="Y23" s="206" t="str">
        <f t="shared" si="22"/>
        <v/>
      </c>
      <c r="Z23" s="206" t="str">
        <f t="shared" si="22"/>
        <v/>
      </c>
      <c r="AA23" s="207" t="str">
        <f t="shared" si="22"/>
        <v/>
      </c>
      <c r="AB23" s="208" t="str">
        <f t="shared" si="22"/>
        <v/>
      </c>
      <c r="AC23" s="206" t="str">
        <f t="shared" si="22"/>
        <v/>
      </c>
      <c r="AD23" s="206" t="str">
        <f t="shared" si="22"/>
        <v/>
      </c>
      <c r="AE23" s="207" t="str">
        <f t="shared" si="22"/>
        <v/>
      </c>
      <c r="AF23" s="208" t="str">
        <f t="shared" si="22"/>
        <v/>
      </c>
      <c r="AG23" s="206" t="str">
        <f t="shared" si="22"/>
        <v/>
      </c>
      <c r="AH23" s="206" t="str">
        <f t="shared" si="22"/>
        <v/>
      </c>
      <c r="AI23" s="207" t="str">
        <f t="shared" si="22"/>
        <v/>
      </c>
      <c r="AJ23" s="208" t="str">
        <f t="shared" si="22"/>
        <v/>
      </c>
      <c r="AK23" s="206" t="str">
        <f t="shared" si="22"/>
        <v/>
      </c>
      <c r="AL23" s="206" t="str">
        <f t="shared" si="22"/>
        <v/>
      </c>
      <c r="AM23" s="207" t="str">
        <f t="shared" si="22"/>
        <v/>
      </c>
      <c r="AN23" s="208" t="str">
        <f t="shared" si="22"/>
        <v/>
      </c>
      <c r="AO23" s="206" t="str">
        <f t="shared" si="22"/>
        <v/>
      </c>
      <c r="AP23" s="206" t="str">
        <f t="shared" si="22"/>
        <v/>
      </c>
      <c r="AQ23" s="207" t="str">
        <f t="shared" si="22"/>
        <v/>
      </c>
      <c r="AR23" s="208" t="str">
        <f t="shared" si="22"/>
        <v/>
      </c>
      <c r="AS23" s="206" t="str">
        <f t="shared" si="22"/>
        <v/>
      </c>
      <c r="AT23" s="206" t="str">
        <f t="shared" si="22"/>
        <v/>
      </c>
      <c r="AU23" s="207" t="str">
        <f t="shared" si="22"/>
        <v/>
      </c>
      <c r="AV23" s="208" t="str">
        <f t="shared" si="22"/>
        <v/>
      </c>
      <c r="AW23" s="206" t="str">
        <f t="shared" si="22"/>
        <v/>
      </c>
      <c r="AX23" s="206" t="str">
        <f t="shared" si="22"/>
        <v/>
      </c>
      <c r="AY23" s="207" t="str">
        <f t="shared" si="22"/>
        <v/>
      </c>
      <c r="AZ23" s="208" t="str">
        <f t="shared" si="22"/>
        <v/>
      </c>
      <c r="BA23" s="206" t="str">
        <f t="shared" si="22"/>
        <v/>
      </c>
      <c r="BB23" s="206" t="str">
        <f t="shared" si="22"/>
        <v/>
      </c>
      <c r="BC23" s="207" t="str">
        <f t="shared" si="22"/>
        <v/>
      </c>
      <c r="BD23" s="208" t="str">
        <f t="shared" si="22"/>
        <v/>
      </c>
      <c r="BE23" s="206" t="str">
        <f t="shared" si="22"/>
        <v/>
      </c>
      <c r="BF23" s="206" t="str">
        <f t="shared" si="22"/>
        <v/>
      </c>
      <c r="BG23" s="207" t="str">
        <f t="shared" si="22"/>
        <v/>
      </c>
      <c r="BH23" s="208" t="str">
        <f t="shared" si="22"/>
        <v/>
      </c>
      <c r="BI23" s="206" t="str">
        <f t="shared" si="22"/>
        <v/>
      </c>
      <c r="BJ23" s="206" t="str">
        <f t="shared" si="22"/>
        <v/>
      </c>
      <c r="BK23" s="207" t="str">
        <f t="shared" si="22"/>
        <v/>
      </c>
      <c r="BL23" s="208" t="str">
        <f t="shared" si="22"/>
        <v/>
      </c>
      <c r="BM23" s="206" t="str">
        <f t="shared" si="22"/>
        <v/>
      </c>
      <c r="BN23" s="206" t="str">
        <f t="shared" si="22"/>
        <v/>
      </c>
      <c r="BO23" s="207" t="str">
        <f t="shared" si="22"/>
        <v/>
      </c>
      <c r="BP23" s="208" t="str">
        <f t="shared" si="25"/>
        <v/>
      </c>
      <c r="BQ23" s="206" t="str">
        <f t="shared" si="25"/>
        <v/>
      </c>
      <c r="BR23" s="206" t="str">
        <f t="shared" si="25"/>
        <v/>
      </c>
      <c r="BS23" s="207" t="str">
        <f t="shared" si="25"/>
        <v/>
      </c>
      <c r="BT23" s="208" t="str">
        <f t="shared" si="25"/>
        <v/>
      </c>
      <c r="BU23" s="206" t="str">
        <f t="shared" si="25"/>
        <v/>
      </c>
      <c r="BV23" s="206" t="str">
        <f t="shared" si="25"/>
        <v/>
      </c>
      <c r="BW23" s="207" t="str">
        <f t="shared" si="25"/>
        <v/>
      </c>
      <c r="BX23" s="208" t="str">
        <f t="shared" si="25"/>
        <v/>
      </c>
      <c r="BY23" s="206" t="str">
        <f t="shared" si="25"/>
        <v/>
      </c>
      <c r="BZ23" s="206" t="str">
        <f t="shared" si="25"/>
        <v/>
      </c>
      <c r="CA23" s="207" t="str">
        <f t="shared" si="25"/>
        <v/>
      </c>
      <c r="CB23" s="208" t="str">
        <f t="shared" si="25"/>
        <v/>
      </c>
      <c r="CC23" s="206" t="str">
        <f t="shared" si="25"/>
        <v/>
      </c>
      <c r="CD23" s="206" t="str">
        <f t="shared" si="25"/>
        <v/>
      </c>
      <c r="CE23" s="207" t="str">
        <f t="shared" si="25"/>
        <v/>
      </c>
    </row>
    <row r="24" spans="1:83" ht="18" customHeight="1">
      <c r="A24" s="22">
        <f>+TABELLA!I28</f>
        <v>0</v>
      </c>
      <c r="B24" s="22">
        <f>+TABELLA!J28</f>
        <v>0</v>
      </c>
      <c r="C24" s="22">
        <f>+TABELLA!K28</f>
        <v>0</v>
      </c>
      <c r="D24" s="22">
        <f>+TABELLA!L28</f>
        <v>0</v>
      </c>
      <c r="E24" s="22"/>
      <c r="F24" s="26">
        <f>IF(TABELLA!B28="","",TABELLA!B28)</f>
        <v>3</v>
      </c>
      <c r="G24" s="27" t="str">
        <f>IF(TABELLA!C28="","",TABELLA!C28)</f>
        <v>SARTORATO TATIANA</v>
      </c>
      <c r="H24" s="203" t="str">
        <f t="shared" ref="H24:V24" si="27">IF(AND(G$3&gt;=$A24,G$3&lt;$B24),1,IF(AND(G$3&gt;=$C24,G$3&lt;$D24),1,""))</f>
        <v/>
      </c>
      <c r="I24" s="203" t="str">
        <f t="shared" si="27"/>
        <v/>
      </c>
      <c r="J24" s="203" t="str">
        <f t="shared" si="27"/>
        <v/>
      </c>
      <c r="K24" s="204" t="str">
        <f t="shared" si="27"/>
        <v/>
      </c>
      <c r="L24" s="205" t="str">
        <f t="shared" si="27"/>
        <v/>
      </c>
      <c r="M24" s="203" t="str">
        <f t="shared" si="27"/>
        <v/>
      </c>
      <c r="N24" s="203" t="str">
        <f t="shared" si="27"/>
        <v/>
      </c>
      <c r="O24" s="204" t="str">
        <f t="shared" si="27"/>
        <v/>
      </c>
      <c r="P24" s="205" t="str">
        <f t="shared" si="27"/>
        <v/>
      </c>
      <c r="Q24" s="203" t="str">
        <f t="shared" si="27"/>
        <v/>
      </c>
      <c r="R24" s="203" t="str">
        <f t="shared" si="27"/>
        <v/>
      </c>
      <c r="S24" s="204" t="str">
        <f t="shared" si="27"/>
        <v/>
      </c>
      <c r="T24" s="205" t="str">
        <f t="shared" si="27"/>
        <v/>
      </c>
      <c r="U24" s="203" t="str">
        <f t="shared" si="27"/>
        <v/>
      </c>
      <c r="V24" s="203" t="str">
        <f t="shared" si="27"/>
        <v/>
      </c>
      <c r="W24" s="204" t="str">
        <f t="shared" si="24"/>
        <v/>
      </c>
      <c r="X24" s="205" t="str">
        <f t="shared" si="22"/>
        <v/>
      </c>
      <c r="Y24" s="203" t="str">
        <f t="shared" si="22"/>
        <v/>
      </c>
      <c r="Z24" s="203" t="str">
        <f t="shared" si="22"/>
        <v/>
      </c>
      <c r="AA24" s="204" t="str">
        <f t="shared" si="22"/>
        <v/>
      </c>
      <c r="AB24" s="205" t="str">
        <f t="shared" si="22"/>
        <v/>
      </c>
      <c r="AC24" s="203" t="str">
        <f t="shared" si="22"/>
        <v/>
      </c>
      <c r="AD24" s="203" t="str">
        <f t="shared" si="22"/>
        <v/>
      </c>
      <c r="AE24" s="204" t="str">
        <f t="shared" si="22"/>
        <v/>
      </c>
      <c r="AF24" s="205" t="str">
        <f t="shared" si="22"/>
        <v/>
      </c>
      <c r="AG24" s="203" t="str">
        <f t="shared" si="22"/>
        <v/>
      </c>
      <c r="AH24" s="203" t="str">
        <f t="shared" si="22"/>
        <v/>
      </c>
      <c r="AI24" s="204" t="str">
        <f t="shared" si="22"/>
        <v/>
      </c>
      <c r="AJ24" s="205" t="str">
        <f t="shared" si="22"/>
        <v/>
      </c>
      <c r="AK24" s="203" t="str">
        <f t="shared" si="22"/>
        <v/>
      </c>
      <c r="AL24" s="203" t="str">
        <f t="shared" si="22"/>
        <v/>
      </c>
      <c r="AM24" s="204" t="str">
        <f t="shared" si="22"/>
        <v/>
      </c>
      <c r="AN24" s="205" t="str">
        <f t="shared" si="22"/>
        <v/>
      </c>
      <c r="AO24" s="203" t="str">
        <f t="shared" si="22"/>
        <v/>
      </c>
      <c r="AP24" s="203" t="str">
        <f t="shared" si="22"/>
        <v/>
      </c>
      <c r="AQ24" s="204" t="str">
        <f t="shared" si="22"/>
        <v/>
      </c>
      <c r="AR24" s="205" t="str">
        <f t="shared" si="22"/>
        <v/>
      </c>
      <c r="AS24" s="203" t="str">
        <f t="shared" si="22"/>
        <v/>
      </c>
      <c r="AT24" s="203" t="str">
        <f t="shared" si="22"/>
        <v/>
      </c>
      <c r="AU24" s="204" t="str">
        <f t="shared" si="22"/>
        <v/>
      </c>
      <c r="AV24" s="205" t="str">
        <f t="shared" si="22"/>
        <v/>
      </c>
      <c r="AW24" s="203" t="str">
        <f t="shared" si="22"/>
        <v/>
      </c>
      <c r="AX24" s="203" t="str">
        <f t="shared" si="22"/>
        <v/>
      </c>
      <c r="AY24" s="204" t="str">
        <f t="shared" si="22"/>
        <v/>
      </c>
      <c r="AZ24" s="205" t="str">
        <f t="shared" si="22"/>
        <v/>
      </c>
      <c r="BA24" s="203" t="str">
        <f t="shared" si="22"/>
        <v/>
      </c>
      <c r="BB24" s="203" t="str">
        <f t="shared" si="22"/>
        <v/>
      </c>
      <c r="BC24" s="204" t="str">
        <f t="shared" si="22"/>
        <v/>
      </c>
      <c r="BD24" s="205" t="str">
        <f t="shared" si="22"/>
        <v/>
      </c>
      <c r="BE24" s="203" t="str">
        <f t="shared" si="22"/>
        <v/>
      </c>
      <c r="BF24" s="203" t="str">
        <f t="shared" si="22"/>
        <v/>
      </c>
      <c r="BG24" s="204" t="str">
        <f t="shared" si="22"/>
        <v/>
      </c>
      <c r="BH24" s="205" t="str">
        <f t="shared" si="22"/>
        <v/>
      </c>
      <c r="BI24" s="203" t="str">
        <f t="shared" si="22"/>
        <v/>
      </c>
      <c r="BJ24" s="203" t="str">
        <f t="shared" si="22"/>
        <v/>
      </c>
      <c r="BK24" s="204" t="str">
        <f t="shared" si="22"/>
        <v/>
      </c>
      <c r="BL24" s="205" t="str">
        <f t="shared" si="22"/>
        <v/>
      </c>
      <c r="BM24" s="203" t="str">
        <f t="shared" si="22"/>
        <v/>
      </c>
      <c r="BN24" s="203" t="str">
        <f t="shared" si="22"/>
        <v/>
      </c>
      <c r="BO24" s="204" t="str">
        <f t="shared" si="22"/>
        <v/>
      </c>
      <c r="BP24" s="205" t="str">
        <f t="shared" si="25"/>
        <v/>
      </c>
      <c r="BQ24" s="203" t="str">
        <f t="shared" si="25"/>
        <v/>
      </c>
      <c r="BR24" s="203" t="str">
        <f t="shared" si="25"/>
        <v/>
      </c>
      <c r="BS24" s="204" t="str">
        <f t="shared" si="25"/>
        <v/>
      </c>
      <c r="BT24" s="205" t="str">
        <f t="shared" si="25"/>
        <v/>
      </c>
      <c r="BU24" s="203" t="str">
        <f t="shared" si="25"/>
        <v/>
      </c>
      <c r="BV24" s="203" t="str">
        <f t="shared" si="25"/>
        <v/>
      </c>
      <c r="BW24" s="204" t="str">
        <f t="shared" si="25"/>
        <v/>
      </c>
      <c r="BX24" s="205" t="str">
        <f t="shared" si="25"/>
        <v/>
      </c>
      <c r="BY24" s="203" t="str">
        <f t="shared" si="25"/>
        <v/>
      </c>
      <c r="BZ24" s="203" t="str">
        <f t="shared" si="25"/>
        <v/>
      </c>
      <c r="CA24" s="204" t="str">
        <f t="shared" si="25"/>
        <v/>
      </c>
      <c r="CB24" s="205" t="str">
        <f t="shared" si="25"/>
        <v/>
      </c>
      <c r="CC24" s="203" t="str">
        <f t="shared" si="25"/>
        <v/>
      </c>
      <c r="CD24" s="203" t="str">
        <f t="shared" si="25"/>
        <v/>
      </c>
      <c r="CE24" s="204" t="str">
        <f t="shared" si="25"/>
        <v/>
      </c>
    </row>
    <row r="25" spans="1:83" ht="18" customHeight="1">
      <c r="A25" s="22">
        <f>+TABELLA!I29</f>
        <v>0</v>
      </c>
      <c r="B25" s="22">
        <f>+TABELLA!J29</f>
        <v>0</v>
      </c>
      <c r="C25" s="22" t="str">
        <f>+TABELLA!K29</f>
        <v>S</v>
      </c>
      <c r="D25" s="22">
        <f>+TABELLA!L29</f>
        <v>0</v>
      </c>
      <c r="E25" s="22"/>
      <c r="F25" s="41">
        <f>IF(TABELLA!B29="","",TABELLA!B29)</f>
        <v>3</v>
      </c>
      <c r="G25" s="42" t="str">
        <f>IF(TABELLA!C29="","",TABELLA!C29)</f>
        <v>CATALDO MARIKA</v>
      </c>
      <c r="H25" s="206" t="str">
        <f t="shared" ref="H25:V25" si="28">IF(AND(G$3&gt;=$A25,G$3&lt;$B25),1,IF(AND(G$3&gt;=$C25,G$3&lt;$D25),1,""))</f>
        <v/>
      </c>
      <c r="I25" s="206" t="str">
        <f t="shared" si="28"/>
        <v/>
      </c>
      <c r="J25" s="206" t="str">
        <f t="shared" si="28"/>
        <v/>
      </c>
      <c r="K25" s="207" t="str">
        <f t="shared" si="28"/>
        <v/>
      </c>
      <c r="L25" s="208" t="str">
        <f t="shared" si="28"/>
        <v/>
      </c>
      <c r="M25" s="206" t="str">
        <f t="shared" si="28"/>
        <v/>
      </c>
      <c r="N25" s="206" t="str">
        <f t="shared" si="28"/>
        <v/>
      </c>
      <c r="O25" s="207" t="str">
        <f t="shared" si="28"/>
        <v/>
      </c>
      <c r="P25" s="208" t="str">
        <f t="shared" si="28"/>
        <v/>
      </c>
      <c r="Q25" s="206" t="str">
        <f t="shared" si="28"/>
        <v/>
      </c>
      <c r="R25" s="206" t="str">
        <f t="shared" si="28"/>
        <v/>
      </c>
      <c r="S25" s="207" t="str">
        <f t="shared" si="28"/>
        <v/>
      </c>
      <c r="T25" s="208" t="str">
        <f t="shared" si="28"/>
        <v/>
      </c>
      <c r="U25" s="206" t="str">
        <f t="shared" si="28"/>
        <v/>
      </c>
      <c r="V25" s="206" t="str">
        <f t="shared" si="28"/>
        <v/>
      </c>
      <c r="W25" s="207" t="str">
        <f t="shared" si="24"/>
        <v/>
      </c>
      <c r="X25" s="208" t="str">
        <f t="shared" si="22"/>
        <v/>
      </c>
      <c r="Y25" s="206" t="str">
        <f t="shared" si="22"/>
        <v/>
      </c>
      <c r="Z25" s="206" t="str">
        <f t="shared" si="22"/>
        <v/>
      </c>
      <c r="AA25" s="207" t="str">
        <f t="shared" si="22"/>
        <v/>
      </c>
      <c r="AB25" s="208" t="str">
        <f t="shared" si="22"/>
        <v/>
      </c>
      <c r="AC25" s="206" t="str">
        <f t="shared" si="22"/>
        <v/>
      </c>
      <c r="AD25" s="206" t="str">
        <f t="shared" si="22"/>
        <v/>
      </c>
      <c r="AE25" s="207" t="str">
        <f t="shared" si="22"/>
        <v/>
      </c>
      <c r="AF25" s="208" t="str">
        <f t="shared" si="22"/>
        <v/>
      </c>
      <c r="AG25" s="206" t="str">
        <f t="shared" si="22"/>
        <v/>
      </c>
      <c r="AH25" s="206" t="str">
        <f t="shared" si="22"/>
        <v/>
      </c>
      <c r="AI25" s="207" t="str">
        <f t="shared" si="22"/>
        <v/>
      </c>
      <c r="AJ25" s="208" t="str">
        <f t="shared" si="22"/>
        <v/>
      </c>
      <c r="AK25" s="206" t="str">
        <f t="shared" si="22"/>
        <v/>
      </c>
      <c r="AL25" s="206" t="str">
        <f t="shared" si="22"/>
        <v/>
      </c>
      <c r="AM25" s="207" t="str">
        <f t="shared" si="22"/>
        <v/>
      </c>
      <c r="AN25" s="208" t="str">
        <f t="shared" si="22"/>
        <v/>
      </c>
      <c r="AO25" s="206" t="str">
        <f t="shared" si="22"/>
        <v/>
      </c>
      <c r="AP25" s="206" t="str">
        <f t="shared" si="22"/>
        <v/>
      </c>
      <c r="AQ25" s="207" t="str">
        <f t="shared" si="22"/>
        <v/>
      </c>
      <c r="AR25" s="208" t="str">
        <f t="shared" si="22"/>
        <v/>
      </c>
      <c r="AS25" s="206" t="str">
        <f t="shared" si="22"/>
        <v/>
      </c>
      <c r="AT25" s="206" t="str">
        <f t="shared" si="22"/>
        <v/>
      </c>
      <c r="AU25" s="207" t="str">
        <f t="shared" si="22"/>
        <v/>
      </c>
      <c r="AV25" s="208" t="str">
        <f t="shared" si="22"/>
        <v/>
      </c>
      <c r="AW25" s="206" t="str">
        <f t="shared" si="22"/>
        <v/>
      </c>
      <c r="AX25" s="206" t="str">
        <f t="shared" si="22"/>
        <v/>
      </c>
      <c r="AY25" s="207" t="str">
        <f t="shared" si="22"/>
        <v/>
      </c>
      <c r="AZ25" s="208" t="str">
        <f t="shared" si="22"/>
        <v/>
      </c>
      <c r="BA25" s="206" t="str">
        <f t="shared" si="22"/>
        <v/>
      </c>
      <c r="BB25" s="206" t="str">
        <f t="shared" si="22"/>
        <v/>
      </c>
      <c r="BC25" s="207" t="str">
        <f t="shared" si="22"/>
        <v/>
      </c>
      <c r="BD25" s="208" t="str">
        <f t="shared" si="22"/>
        <v/>
      </c>
      <c r="BE25" s="206" t="str">
        <f t="shared" si="22"/>
        <v/>
      </c>
      <c r="BF25" s="206" t="str">
        <f t="shared" si="22"/>
        <v/>
      </c>
      <c r="BG25" s="207" t="str">
        <f t="shared" si="22"/>
        <v/>
      </c>
      <c r="BH25" s="208" t="str">
        <f t="shared" si="22"/>
        <v/>
      </c>
      <c r="BI25" s="206" t="str">
        <f t="shared" si="22"/>
        <v/>
      </c>
      <c r="BJ25" s="206" t="str">
        <f t="shared" si="22"/>
        <v/>
      </c>
      <c r="BK25" s="207" t="str">
        <f t="shared" si="22"/>
        <v/>
      </c>
      <c r="BL25" s="208" t="str">
        <f t="shared" si="22"/>
        <v/>
      </c>
      <c r="BM25" s="206" t="str">
        <f t="shared" si="22"/>
        <v/>
      </c>
      <c r="BN25" s="206" t="str">
        <f t="shared" si="22"/>
        <v/>
      </c>
      <c r="BO25" s="207" t="str">
        <f t="shared" si="22"/>
        <v/>
      </c>
      <c r="BP25" s="208" t="str">
        <f t="shared" si="25"/>
        <v/>
      </c>
      <c r="BQ25" s="206" t="str">
        <f t="shared" si="25"/>
        <v/>
      </c>
      <c r="BR25" s="206" t="str">
        <f t="shared" si="25"/>
        <v/>
      </c>
      <c r="BS25" s="207" t="str">
        <f t="shared" si="25"/>
        <v/>
      </c>
      <c r="BT25" s="208" t="str">
        <f t="shared" si="25"/>
        <v/>
      </c>
      <c r="BU25" s="206" t="str">
        <f t="shared" si="25"/>
        <v/>
      </c>
      <c r="BV25" s="206" t="str">
        <f t="shared" si="25"/>
        <v/>
      </c>
      <c r="BW25" s="207" t="str">
        <f t="shared" si="25"/>
        <v/>
      </c>
      <c r="BX25" s="208" t="str">
        <f t="shared" si="25"/>
        <v/>
      </c>
      <c r="BY25" s="206" t="str">
        <f t="shared" si="25"/>
        <v/>
      </c>
      <c r="BZ25" s="206" t="str">
        <f t="shared" si="25"/>
        <v/>
      </c>
      <c r="CA25" s="207" t="str">
        <f t="shared" si="25"/>
        <v/>
      </c>
      <c r="CB25" s="208" t="str">
        <f t="shared" si="25"/>
        <v/>
      </c>
      <c r="CC25" s="206" t="str">
        <f t="shared" si="25"/>
        <v/>
      </c>
      <c r="CD25" s="206" t="str">
        <f t="shared" si="25"/>
        <v/>
      </c>
      <c r="CE25" s="207" t="str">
        <f t="shared" si="25"/>
        <v/>
      </c>
    </row>
    <row r="26" spans="1:83" ht="18" customHeight="1">
      <c r="A26" s="22">
        <f>+TABELLA!I30</f>
        <v>0</v>
      </c>
      <c r="B26" s="22">
        <f>+TABELLA!J30</f>
        <v>0</v>
      </c>
      <c r="C26" s="22">
        <f>+TABELLA!K30</f>
        <v>0</v>
      </c>
      <c r="D26" s="22">
        <f>+TABELLA!L30</f>
        <v>0</v>
      </c>
      <c r="E26" s="22"/>
      <c r="F26" s="26">
        <f>IF(TABELLA!B30="","",TABELLA!B30)</f>
        <v>3</v>
      </c>
      <c r="G26" s="27" t="str">
        <f>IF(TABELLA!C30="","",TABELLA!C30)</f>
        <v>ALDARWISH HASSAN</v>
      </c>
      <c r="H26" s="203" t="str">
        <f t="shared" ref="H26:V26" si="29">IF(AND(G$3&gt;=$A26,G$3&lt;$B26),1,IF(AND(G$3&gt;=$C26,G$3&lt;$D26),1,""))</f>
        <v/>
      </c>
      <c r="I26" s="203" t="str">
        <f t="shared" si="29"/>
        <v/>
      </c>
      <c r="J26" s="203" t="str">
        <f t="shared" si="29"/>
        <v/>
      </c>
      <c r="K26" s="204" t="str">
        <f t="shared" si="29"/>
        <v/>
      </c>
      <c r="L26" s="205" t="str">
        <f t="shared" si="29"/>
        <v/>
      </c>
      <c r="M26" s="203" t="str">
        <f t="shared" si="29"/>
        <v/>
      </c>
      <c r="N26" s="203" t="str">
        <f t="shared" si="29"/>
        <v/>
      </c>
      <c r="O26" s="204" t="str">
        <f t="shared" si="29"/>
        <v/>
      </c>
      <c r="P26" s="205" t="str">
        <f t="shared" si="29"/>
        <v/>
      </c>
      <c r="Q26" s="203" t="str">
        <f t="shared" si="29"/>
        <v/>
      </c>
      <c r="R26" s="203" t="str">
        <f t="shared" si="29"/>
        <v/>
      </c>
      <c r="S26" s="204" t="str">
        <f t="shared" si="29"/>
        <v/>
      </c>
      <c r="T26" s="205" t="str">
        <f t="shared" si="29"/>
        <v/>
      </c>
      <c r="U26" s="203" t="str">
        <f t="shared" si="29"/>
        <v/>
      </c>
      <c r="V26" s="203" t="str">
        <f t="shared" si="29"/>
        <v/>
      </c>
      <c r="W26" s="204" t="str">
        <f t="shared" si="24"/>
        <v/>
      </c>
      <c r="X26" s="205" t="str">
        <f t="shared" si="22"/>
        <v/>
      </c>
      <c r="Y26" s="203" t="str">
        <f t="shared" si="22"/>
        <v/>
      </c>
      <c r="Z26" s="203" t="str">
        <f t="shared" si="22"/>
        <v/>
      </c>
      <c r="AA26" s="204" t="str">
        <f t="shared" si="22"/>
        <v/>
      </c>
      <c r="AB26" s="205" t="str">
        <f t="shared" si="22"/>
        <v/>
      </c>
      <c r="AC26" s="203" t="str">
        <f t="shared" si="22"/>
        <v/>
      </c>
      <c r="AD26" s="203" t="str">
        <f t="shared" si="22"/>
        <v/>
      </c>
      <c r="AE26" s="204" t="str">
        <f t="shared" si="22"/>
        <v/>
      </c>
      <c r="AF26" s="205" t="str">
        <f t="shared" si="22"/>
        <v/>
      </c>
      <c r="AG26" s="203" t="str">
        <f t="shared" si="22"/>
        <v/>
      </c>
      <c r="AH26" s="203" t="str">
        <f t="shared" si="22"/>
        <v/>
      </c>
      <c r="AI26" s="204" t="str">
        <f t="shared" si="22"/>
        <v/>
      </c>
      <c r="AJ26" s="205" t="str">
        <f t="shared" si="22"/>
        <v/>
      </c>
      <c r="AK26" s="203" t="str">
        <f t="shared" si="22"/>
        <v/>
      </c>
      <c r="AL26" s="203" t="str">
        <f t="shared" si="22"/>
        <v/>
      </c>
      <c r="AM26" s="204" t="str">
        <f t="shared" si="22"/>
        <v/>
      </c>
      <c r="AN26" s="205" t="str">
        <f t="shared" si="22"/>
        <v/>
      </c>
      <c r="AO26" s="203" t="str">
        <f t="shared" si="22"/>
        <v/>
      </c>
      <c r="AP26" s="203" t="str">
        <f t="shared" si="22"/>
        <v/>
      </c>
      <c r="AQ26" s="204" t="str">
        <f t="shared" si="22"/>
        <v/>
      </c>
      <c r="AR26" s="205" t="str">
        <f t="shared" si="22"/>
        <v/>
      </c>
      <c r="AS26" s="203" t="str">
        <f t="shared" si="22"/>
        <v/>
      </c>
      <c r="AT26" s="203" t="str">
        <f t="shared" si="22"/>
        <v/>
      </c>
      <c r="AU26" s="204" t="str">
        <f t="shared" si="22"/>
        <v/>
      </c>
      <c r="AV26" s="205" t="str">
        <f t="shared" si="22"/>
        <v/>
      </c>
      <c r="AW26" s="203" t="str">
        <f t="shared" si="22"/>
        <v/>
      </c>
      <c r="AX26" s="203" t="str">
        <f t="shared" si="22"/>
        <v/>
      </c>
      <c r="AY26" s="204" t="str">
        <f t="shared" si="22"/>
        <v/>
      </c>
      <c r="AZ26" s="205" t="str">
        <f t="shared" si="22"/>
        <v/>
      </c>
      <c r="BA26" s="203" t="str">
        <f t="shared" si="22"/>
        <v/>
      </c>
      <c r="BB26" s="203" t="str">
        <f t="shared" si="22"/>
        <v/>
      </c>
      <c r="BC26" s="204" t="str">
        <f t="shared" si="22"/>
        <v/>
      </c>
      <c r="BD26" s="205" t="str">
        <f t="shared" si="22"/>
        <v/>
      </c>
      <c r="BE26" s="203" t="str">
        <f t="shared" si="22"/>
        <v/>
      </c>
      <c r="BF26" s="203" t="str">
        <f t="shared" ref="BF26:BO26" si="30">IF(AND(BE$3&gt;=$A26,BE$3&lt;$B26),1,IF(AND(BE$3&gt;=$C26,BE$3&lt;$D26),1,""))</f>
        <v/>
      </c>
      <c r="BG26" s="204" t="str">
        <f t="shared" si="30"/>
        <v/>
      </c>
      <c r="BH26" s="205" t="str">
        <f t="shared" si="30"/>
        <v/>
      </c>
      <c r="BI26" s="203" t="str">
        <f t="shared" si="30"/>
        <v/>
      </c>
      <c r="BJ26" s="203" t="str">
        <f t="shared" si="30"/>
        <v/>
      </c>
      <c r="BK26" s="204" t="str">
        <f t="shared" si="30"/>
        <v/>
      </c>
      <c r="BL26" s="205" t="str">
        <f t="shared" si="30"/>
        <v/>
      </c>
      <c r="BM26" s="203" t="str">
        <f t="shared" si="30"/>
        <v/>
      </c>
      <c r="BN26" s="203" t="str">
        <f t="shared" si="30"/>
        <v/>
      </c>
      <c r="BO26" s="204" t="str">
        <f t="shared" si="30"/>
        <v/>
      </c>
      <c r="BP26" s="205" t="str">
        <f t="shared" si="25"/>
        <v/>
      </c>
      <c r="BQ26" s="203" t="str">
        <f t="shared" si="25"/>
        <v/>
      </c>
      <c r="BR26" s="203" t="str">
        <f t="shared" si="25"/>
        <v/>
      </c>
      <c r="BS26" s="204" t="str">
        <f t="shared" si="25"/>
        <v/>
      </c>
      <c r="BT26" s="205" t="str">
        <f t="shared" si="25"/>
        <v/>
      </c>
      <c r="BU26" s="203" t="str">
        <f t="shared" si="25"/>
        <v/>
      </c>
      <c r="BV26" s="203" t="str">
        <f t="shared" si="25"/>
        <v/>
      </c>
      <c r="BW26" s="204" t="str">
        <f t="shared" si="25"/>
        <v/>
      </c>
      <c r="BX26" s="205" t="str">
        <f t="shared" si="25"/>
        <v/>
      </c>
      <c r="BY26" s="203" t="str">
        <f t="shared" si="25"/>
        <v/>
      </c>
      <c r="BZ26" s="203" t="str">
        <f t="shared" si="25"/>
        <v/>
      </c>
      <c r="CA26" s="204" t="str">
        <f t="shared" si="25"/>
        <v/>
      </c>
      <c r="CB26" s="205" t="str">
        <f t="shared" si="25"/>
        <v/>
      </c>
      <c r="CC26" s="203" t="str">
        <f t="shared" si="25"/>
        <v/>
      </c>
      <c r="CD26" s="203" t="str">
        <f t="shared" si="25"/>
        <v/>
      </c>
      <c r="CE26" s="204" t="str">
        <f t="shared" si="25"/>
        <v/>
      </c>
    </row>
    <row r="27" spans="1:83" ht="18" customHeight="1">
      <c r="A27" s="22">
        <f>+TABELLA!I31</f>
        <v>0</v>
      </c>
      <c r="B27" s="22">
        <f>+TABELLA!J31</f>
        <v>0</v>
      </c>
      <c r="C27" s="22">
        <f>+TABELLA!K31</f>
        <v>0</v>
      </c>
      <c r="D27" s="22">
        <f>+TABELLA!L31</f>
        <v>0</v>
      </c>
      <c r="E27" s="22"/>
      <c r="F27" s="41" t="str">
        <f>IF(TABELLA!B31="","",TABELLA!B31)</f>
        <v/>
      </c>
      <c r="G27" s="42" t="str">
        <f>IF(TABELLA!C31="","",TABELLA!C31)</f>
        <v/>
      </c>
      <c r="H27" s="206" t="str">
        <f t="shared" ref="H27:V27" si="31">IF(AND(G$3&gt;=$A27,G$3&lt;$B27),1,IF(AND(G$3&gt;=$C27,G$3&lt;$D27),1,""))</f>
        <v/>
      </c>
      <c r="I27" s="206" t="str">
        <f t="shared" si="31"/>
        <v/>
      </c>
      <c r="J27" s="206" t="str">
        <f t="shared" si="31"/>
        <v/>
      </c>
      <c r="K27" s="207" t="str">
        <f t="shared" si="31"/>
        <v/>
      </c>
      <c r="L27" s="208" t="str">
        <f t="shared" si="31"/>
        <v/>
      </c>
      <c r="M27" s="206" t="str">
        <f t="shared" si="31"/>
        <v/>
      </c>
      <c r="N27" s="206" t="str">
        <f t="shared" si="31"/>
        <v/>
      </c>
      <c r="O27" s="207" t="str">
        <f t="shared" si="31"/>
        <v/>
      </c>
      <c r="P27" s="208" t="str">
        <f t="shared" si="31"/>
        <v/>
      </c>
      <c r="Q27" s="206" t="str">
        <f t="shared" si="31"/>
        <v/>
      </c>
      <c r="R27" s="206" t="str">
        <f t="shared" si="31"/>
        <v/>
      </c>
      <c r="S27" s="207" t="str">
        <f t="shared" si="31"/>
        <v/>
      </c>
      <c r="T27" s="208" t="str">
        <f t="shared" si="31"/>
        <v/>
      </c>
      <c r="U27" s="206" t="str">
        <f t="shared" si="31"/>
        <v/>
      </c>
      <c r="V27" s="206" t="str">
        <f t="shared" si="31"/>
        <v/>
      </c>
      <c r="W27" s="207" t="str">
        <f t="shared" si="24"/>
        <v/>
      </c>
      <c r="X27" s="208" t="str">
        <f t="shared" ref="X27:BO32" si="32">IF(AND(W$3&gt;=$A27,W$3&lt;$B27),1,IF(AND(W$3&gt;=$C27,W$3&lt;$D27),1,""))</f>
        <v/>
      </c>
      <c r="Y27" s="206" t="str">
        <f t="shared" si="32"/>
        <v/>
      </c>
      <c r="Z27" s="206" t="str">
        <f t="shared" si="32"/>
        <v/>
      </c>
      <c r="AA27" s="207" t="str">
        <f t="shared" si="32"/>
        <v/>
      </c>
      <c r="AB27" s="208" t="str">
        <f t="shared" si="32"/>
        <v/>
      </c>
      <c r="AC27" s="206" t="str">
        <f t="shared" si="32"/>
        <v/>
      </c>
      <c r="AD27" s="206" t="str">
        <f t="shared" si="32"/>
        <v/>
      </c>
      <c r="AE27" s="207" t="str">
        <f t="shared" si="32"/>
        <v/>
      </c>
      <c r="AF27" s="208" t="str">
        <f t="shared" si="32"/>
        <v/>
      </c>
      <c r="AG27" s="206" t="str">
        <f t="shared" si="32"/>
        <v/>
      </c>
      <c r="AH27" s="206" t="str">
        <f t="shared" si="32"/>
        <v/>
      </c>
      <c r="AI27" s="207" t="str">
        <f t="shared" si="32"/>
        <v/>
      </c>
      <c r="AJ27" s="208" t="str">
        <f t="shared" si="32"/>
        <v/>
      </c>
      <c r="AK27" s="206" t="str">
        <f t="shared" si="32"/>
        <v/>
      </c>
      <c r="AL27" s="206" t="str">
        <f t="shared" si="32"/>
        <v/>
      </c>
      <c r="AM27" s="207" t="str">
        <f t="shared" si="32"/>
        <v/>
      </c>
      <c r="AN27" s="208" t="str">
        <f t="shared" si="32"/>
        <v/>
      </c>
      <c r="AO27" s="206" t="str">
        <f t="shared" si="32"/>
        <v/>
      </c>
      <c r="AP27" s="206" t="str">
        <f t="shared" si="32"/>
        <v/>
      </c>
      <c r="AQ27" s="207" t="str">
        <f t="shared" si="32"/>
        <v/>
      </c>
      <c r="AR27" s="208" t="str">
        <f t="shared" si="32"/>
        <v/>
      </c>
      <c r="AS27" s="206" t="str">
        <f t="shared" si="32"/>
        <v/>
      </c>
      <c r="AT27" s="206" t="str">
        <f t="shared" si="32"/>
        <v/>
      </c>
      <c r="AU27" s="207" t="str">
        <f t="shared" si="32"/>
        <v/>
      </c>
      <c r="AV27" s="208" t="str">
        <f t="shared" si="32"/>
        <v/>
      </c>
      <c r="AW27" s="206" t="str">
        <f t="shared" si="32"/>
        <v/>
      </c>
      <c r="AX27" s="206" t="str">
        <f t="shared" si="32"/>
        <v/>
      </c>
      <c r="AY27" s="207" t="str">
        <f t="shared" si="32"/>
        <v/>
      </c>
      <c r="AZ27" s="208" t="str">
        <f t="shared" si="32"/>
        <v/>
      </c>
      <c r="BA27" s="206" t="str">
        <f t="shared" si="32"/>
        <v/>
      </c>
      <c r="BB27" s="206" t="str">
        <f t="shared" si="32"/>
        <v/>
      </c>
      <c r="BC27" s="207" t="str">
        <f t="shared" si="32"/>
        <v/>
      </c>
      <c r="BD27" s="208" t="str">
        <f t="shared" si="32"/>
        <v/>
      </c>
      <c r="BE27" s="206" t="str">
        <f t="shared" si="32"/>
        <v/>
      </c>
      <c r="BF27" s="206" t="str">
        <f t="shared" si="32"/>
        <v/>
      </c>
      <c r="BG27" s="207" t="str">
        <f t="shared" si="32"/>
        <v/>
      </c>
      <c r="BH27" s="208" t="str">
        <f t="shared" si="32"/>
        <v/>
      </c>
      <c r="BI27" s="206" t="str">
        <f t="shared" si="32"/>
        <v/>
      </c>
      <c r="BJ27" s="206" t="str">
        <f t="shared" si="32"/>
        <v/>
      </c>
      <c r="BK27" s="207" t="str">
        <f t="shared" si="32"/>
        <v/>
      </c>
      <c r="BL27" s="208" t="str">
        <f t="shared" si="32"/>
        <v/>
      </c>
      <c r="BM27" s="206" t="str">
        <f t="shared" si="32"/>
        <v/>
      </c>
      <c r="BN27" s="206" t="str">
        <f t="shared" si="32"/>
        <v/>
      </c>
      <c r="BO27" s="207" t="str">
        <f t="shared" si="32"/>
        <v/>
      </c>
      <c r="BP27" s="208" t="str">
        <f t="shared" si="25"/>
        <v/>
      </c>
      <c r="BQ27" s="206" t="str">
        <f t="shared" si="25"/>
        <v/>
      </c>
      <c r="BR27" s="206" t="str">
        <f t="shared" si="25"/>
        <v/>
      </c>
      <c r="BS27" s="207" t="str">
        <f t="shared" si="25"/>
        <v/>
      </c>
      <c r="BT27" s="208" t="str">
        <f t="shared" si="25"/>
        <v/>
      </c>
      <c r="BU27" s="206" t="str">
        <f t="shared" si="25"/>
        <v/>
      </c>
      <c r="BV27" s="206" t="str">
        <f t="shared" si="25"/>
        <v/>
      </c>
      <c r="BW27" s="207" t="str">
        <f t="shared" si="25"/>
        <v/>
      </c>
      <c r="BX27" s="208" t="str">
        <f t="shared" si="25"/>
        <v/>
      </c>
      <c r="BY27" s="206" t="str">
        <f t="shared" si="25"/>
        <v/>
      </c>
      <c r="BZ27" s="206" t="str">
        <f t="shared" si="25"/>
        <v/>
      </c>
      <c r="CA27" s="207" t="str">
        <f t="shared" si="25"/>
        <v/>
      </c>
      <c r="CB27" s="208" t="str">
        <f t="shared" si="25"/>
        <v/>
      </c>
      <c r="CC27" s="206" t="str">
        <f t="shared" si="25"/>
        <v/>
      </c>
      <c r="CD27" s="206" t="str">
        <f t="shared" si="25"/>
        <v/>
      </c>
      <c r="CE27" s="207" t="str">
        <f t="shared" si="25"/>
        <v/>
      </c>
    </row>
    <row r="28" spans="1:83" ht="18" customHeight="1">
      <c r="A28" s="22">
        <f>+TABELLA!I32</f>
        <v>0</v>
      </c>
      <c r="B28" s="22">
        <f>+TABELLA!J32</f>
        <v>0</v>
      </c>
      <c r="C28" s="22">
        <f>+TABELLA!K32</f>
        <v>0</v>
      </c>
      <c r="D28" s="22">
        <f>+TABELLA!L32</f>
        <v>0</v>
      </c>
      <c r="E28" s="22"/>
      <c r="F28" s="26">
        <f>IF(TABELLA!B32="","",TABELLA!B32)</f>
        <v>2</v>
      </c>
      <c r="G28" s="27" t="str">
        <f>IF(TABELLA!C32="","",TABELLA!C32)</f>
        <v/>
      </c>
      <c r="H28" s="203" t="str">
        <f t="shared" ref="H28:V28" si="33">IF(AND(G$3&gt;=$A28,G$3&lt;$B28),1,IF(AND(G$3&gt;=$C28,G$3&lt;$D28),1,""))</f>
        <v/>
      </c>
      <c r="I28" s="203" t="str">
        <f t="shared" si="33"/>
        <v/>
      </c>
      <c r="J28" s="203" t="str">
        <f t="shared" si="33"/>
        <v/>
      </c>
      <c r="K28" s="204" t="str">
        <f t="shared" si="33"/>
        <v/>
      </c>
      <c r="L28" s="205" t="str">
        <f t="shared" si="33"/>
        <v/>
      </c>
      <c r="M28" s="203" t="str">
        <f t="shared" si="33"/>
        <v/>
      </c>
      <c r="N28" s="203" t="str">
        <f t="shared" si="33"/>
        <v/>
      </c>
      <c r="O28" s="204" t="str">
        <f t="shared" si="33"/>
        <v/>
      </c>
      <c r="P28" s="205" t="str">
        <f t="shared" si="33"/>
        <v/>
      </c>
      <c r="Q28" s="203" t="str">
        <f t="shared" si="33"/>
        <v/>
      </c>
      <c r="R28" s="203" t="str">
        <f t="shared" si="33"/>
        <v/>
      </c>
      <c r="S28" s="204" t="str">
        <f t="shared" si="33"/>
        <v/>
      </c>
      <c r="T28" s="205" t="str">
        <f t="shared" si="33"/>
        <v/>
      </c>
      <c r="U28" s="203" t="str">
        <f t="shared" si="33"/>
        <v/>
      </c>
      <c r="V28" s="203" t="str">
        <f t="shared" si="33"/>
        <v/>
      </c>
      <c r="W28" s="204" t="str">
        <f t="shared" si="24"/>
        <v/>
      </c>
      <c r="X28" s="205" t="str">
        <f t="shared" si="32"/>
        <v/>
      </c>
      <c r="Y28" s="203" t="str">
        <f t="shared" si="32"/>
        <v/>
      </c>
      <c r="Z28" s="203" t="str">
        <f t="shared" si="32"/>
        <v/>
      </c>
      <c r="AA28" s="204" t="str">
        <f t="shared" si="32"/>
        <v/>
      </c>
      <c r="AB28" s="205" t="str">
        <f t="shared" si="32"/>
        <v/>
      </c>
      <c r="AC28" s="203" t="str">
        <f t="shared" si="32"/>
        <v/>
      </c>
      <c r="AD28" s="203" t="str">
        <f t="shared" si="32"/>
        <v/>
      </c>
      <c r="AE28" s="204" t="str">
        <f t="shared" si="32"/>
        <v/>
      </c>
      <c r="AF28" s="205" t="str">
        <f t="shared" si="32"/>
        <v/>
      </c>
      <c r="AG28" s="203" t="str">
        <f t="shared" si="32"/>
        <v/>
      </c>
      <c r="AH28" s="203" t="str">
        <f t="shared" si="32"/>
        <v/>
      </c>
      <c r="AI28" s="204" t="str">
        <f t="shared" si="32"/>
        <v/>
      </c>
      <c r="AJ28" s="205" t="str">
        <f t="shared" si="32"/>
        <v/>
      </c>
      <c r="AK28" s="203" t="str">
        <f t="shared" si="32"/>
        <v/>
      </c>
      <c r="AL28" s="203" t="str">
        <f t="shared" si="32"/>
        <v/>
      </c>
      <c r="AM28" s="204" t="str">
        <f t="shared" si="32"/>
        <v/>
      </c>
      <c r="AN28" s="205" t="str">
        <f t="shared" si="32"/>
        <v/>
      </c>
      <c r="AO28" s="203" t="str">
        <f t="shared" si="32"/>
        <v/>
      </c>
      <c r="AP28" s="203" t="str">
        <f t="shared" si="32"/>
        <v/>
      </c>
      <c r="AQ28" s="204" t="str">
        <f t="shared" si="32"/>
        <v/>
      </c>
      <c r="AR28" s="205" t="str">
        <f t="shared" si="32"/>
        <v/>
      </c>
      <c r="AS28" s="203" t="str">
        <f t="shared" si="32"/>
        <v/>
      </c>
      <c r="AT28" s="203" t="str">
        <f t="shared" si="32"/>
        <v/>
      </c>
      <c r="AU28" s="204" t="str">
        <f t="shared" si="32"/>
        <v/>
      </c>
      <c r="AV28" s="205" t="str">
        <f t="shared" si="32"/>
        <v/>
      </c>
      <c r="AW28" s="203" t="str">
        <f t="shared" si="32"/>
        <v/>
      </c>
      <c r="AX28" s="203" t="str">
        <f t="shared" si="32"/>
        <v/>
      </c>
      <c r="AY28" s="204" t="str">
        <f t="shared" si="32"/>
        <v/>
      </c>
      <c r="AZ28" s="205" t="str">
        <f t="shared" si="32"/>
        <v/>
      </c>
      <c r="BA28" s="203" t="str">
        <f t="shared" si="32"/>
        <v/>
      </c>
      <c r="BB28" s="203" t="str">
        <f t="shared" si="32"/>
        <v/>
      </c>
      <c r="BC28" s="204" t="str">
        <f t="shared" si="32"/>
        <v/>
      </c>
      <c r="BD28" s="205" t="str">
        <f t="shared" si="32"/>
        <v/>
      </c>
      <c r="BE28" s="203" t="str">
        <f t="shared" si="32"/>
        <v/>
      </c>
      <c r="BF28" s="203" t="str">
        <f t="shared" si="32"/>
        <v/>
      </c>
      <c r="BG28" s="204" t="str">
        <f t="shared" si="32"/>
        <v/>
      </c>
      <c r="BH28" s="205" t="str">
        <f t="shared" si="32"/>
        <v/>
      </c>
      <c r="BI28" s="203" t="str">
        <f t="shared" si="32"/>
        <v/>
      </c>
      <c r="BJ28" s="203" t="str">
        <f t="shared" si="32"/>
        <v/>
      </c>
      <c r="BK28" s="204" t="str">
        <f t="shared" si="32"/>
        <v/>
      </c>
      <c r="BL28" s="205" t="str">
        <f t="shared" si="32"/>
        <v/>
      </c>
      <c r="BM28" s="203" t="str">
        <f t="shared" si="32"/>
        <v/>
      </c>
      <c r="BN28" s="203" t="str">
        <f t="shared" si="32"/>
        <v/>
      </c>
      <c r="BO28" s="204" t="str">
        <f t="shared" si="32"/>
        <v/>
      </c>
      <c r="BP28" s="205" t="str">
        <f t="shared" si="25"/>
        <v/>
      </c>
      <c r="BQ28" s="203" t="str">
        <f t="shared" si="25"/>
        <v/>
      </c>
      <c r="BR28" s="203" t="str">
        <f t="shared" si="25"/>
        <v/>
      </c>
      <c r="BS28" s="204" t="str">
        <f t="shared" si="25"/>
        <v/>
      </c>
      <c r="BT28" s="205" t="str">
        <f t="shared" si="25"/>
        <v/>
      </c>
      <c r="BU28" s="203" t="str">
        <f t="shared" si="25"/>
        <v/>
      </c>
      <c r="BV28" s="203" t="str">
        <f t="shared" si="25"/>
        <v/>
      </c>
      <c r="BW28" s="204" t="str">
        <f t="shared" si="25"/>
        <v/>
      </c>
      <c r="BX28" s="205" t="str">
        <f t="shared" si="25"/>
        <v/>
      </c>
      <c r="BY28" s="203" t="str">
        <f t="shared" si="25"/>
        <v/>
      </c>
      <c r="BZ28" s="203" t="str">
        <f t="shared" si="25"/>
        <v/>
      </c>
      <c r="CA28" s="204" t="str">
        <f t="shared" si="25"/>
        <v/>
      </c>
      <c r="CB28" s="205" t="str">
        <f t="shared" si="25"/>
        <v/>
      </c>
      <c r="CC28" s="203" t="str">
        <f t="shared" si="25"/>
        <v/>
      </c>
      <c r="CD28" s="203" t="str">
        <f t="shared" si="25"/>
        <v/>
      </c>
      <c r="CE28" s="204" t="str">
        <f t="shared" si="25"/>
        <v/>
      </c>
    </row>
    <row r="29" spans="1:83" ht="18" customHeight="1">
      <c r="A29" s="22">
        <f>+TABELLA!I33</f>
        <v>0</v>
      </c>
      <c r="B29" s="22">
        <f>+TABELLA!J33</f>
        <v>0</v>
      </c>
      <c r="C29" s="22">
        <f>+TABELLA!K33</f>
        <v>0</v>
      </c>
      <c r="D29" s="22">
        <f>+TABELLA!L33</f>
        <v>0</v>
      </c>
      <c r="E29" s="22"/>
      <c r="F29" s="41" t="str">
        <f>IF(TABELLA!B33="","",TABELLA!B33)</f>
        <v/>
      </c>
      <c r="G29" s="42" t="str">
        <f>IF(TABELLA!C33="","",TABELLA!C33)</f>
        <v/>
      </c>
      <c r="H29" s="206" t="str">
        <f t="shared" ref="H29:V29" si="34">IF(AND(G$3&gt;=$A29,G$3&lt;$B29),1,IF(AND(G$3&gt;=$C29,G$3&lt;$D29),1,""))</f>
        <v/>
      </c>
      <c r="I29" s="206" t="str">
        <f t="shared" si="34"/>
        <v/>
      </c>
      <c r="J29" s="206" t="str">
        <f t="shared" si="34"/>
        <v/>
      </c>
      <c r="K29" s="207" t="str">
        <f t="shared" si="34"/>
        <v/>
      </c>
      <c r="L29" s="208" t="str">
        <f t="shared" si="34"/>
        <v/>
      </c>
      <c r="M29" s="206" t="str">
        <f t="shared" si="34"/>
        <v/>
      </c>
      <c r="N29" s="206" t="str">
        <f t="shared" si="34"/>
        <v/>
      </c>
      <c r="O29" s="207" t="str">
        <f t="shared" si="34"/>
        <v/>
      </c>
      <c r="P29" s="208" t="str">
        <f t="shared" si="34"/>
        <v/>
      </c>
      <c r="Q29" s="206" t="str">
        <f t="shared" si="34"/>
        <v/>
      </c>
      <c r="R29" s="206" t="str">
        <f t="shared" si="34"/>
        <v/>
      </c>
      <c r="S29" s="207" t="str">
        <f t="shared" si="34"/>
        <v/>
      </c>
      <c r="T29" s="208" t="str">
        <f t="shared" si="34"/>
        <v/>
      </c>
      <c r="U29" s="206" t="str">
        <f t="shared" si="34"/>
        <v/>
      </c>
      <c r="V29" s="206" t="str">
        <f t="shared" si="34"/>
        <v/>
      </c>
      <c r="W29" s="207" t="str">
        <f t="shared" si="24"/>
        <v/>
      </c>
      <c r="X29" s="208" t="str">
        <f t="shared" si="32"/>
        <v/>
      </c>
      <c r="Y29" s="206" t="str">
        <f t="shared" si="32"/>
        <v/>
      </c>
      <c r="Z29" s="206" t="str">
        <f t="shared" si="32"/>
        <v/>
      </c>
      <c r="AA29" s="207" t="str">
        <f t="shared" si="32"/>
        <v/>
      </c>
      <c r="AB29" s="208" t="str">
        <f t="shared" si="32"/>
        <v/>
      </c>
      <c r="AC29" s="206" t="str">
        <f t="shared" si="32"/>
        <v/>
      </c>
      <c r="AD29" s="206" t="str">
        <f t="shared" si="32"/>
        <v/>
      </c>
      <c r="AE29" s="207" t="str">
        <f t="shared" si="32"/>
        <v/>
      </c>
      <c r="AF29" s="208" t="str">
        <f t="shared" si="32"/>
        <v/>
      </c>
      <c r="AG29" s="206" t="str">
        <f t="shared" si="32"/>
        <v/>
      </c>
      <c r="AH29" s="206" t="str">
        <f t="shared" si="32"/>
        <v/>
      </c>
      <c r="AI29" s="207" t="str">
        <f t="shared" si="32"/>
        <v/>
      </c>
      <c r="AJ29" s="208" t="str">
        <f t="shared" si="32"/>
        <v/>
      </c>
      <c r="AK29" s="206" t="str">
        <f t="shared" si="32"/>
        <v/>
      </c>
      <c r="AL29" s="206" t="str">
        <f t="shared" si="32"/>
        <v/>
      </c>
      <c r="AM29" s="207" t="str">
        <f t="shared" si="32"/>
        <v/>
      </c>
      <c r="AN29" s="208" t="str">
        <f t="shared" si="32"/>
        <v/>
      </c>
      <c r="AO29" s="206" t="str">
        <f t="shared" si="32"/>
        <v/>
      </c>
      <c r="AP29" s="206" t="str">
        <f t="shared" si="32"/>
        <v/>
      </c>
      <c r="AQ29" s="207" t="str">
        <f t="shared" si="32"/>
        <v/>
      </c>
      <c r="AR29" s="208" t="str">
        <f t="shared" si="32"/>
        <v/>
      </c>
      <c r="AS29" s="206" t="str">
        <f t="shared" si="32"/>
        <v/>
      </c>
      <c r="AT29" s="206" t="str">
        <f t="shared" si="32"/>
        <v/>
      </c>
      <c r="AU29" s="207" t="str">
        <f t="shared" si="32"/>
        <v/>
      </c>
      <c r="AV29" s="208" t="str">
        <f t="shared" si="32"/>
        <v/>
      </c>
      <c r="AW29" s="206" t="str">
        <f t="shared" si="32"/>
        <v/>
      </c>
      <c r="AX29" s="206" t="str">
        <f t="shared" si="32"/>
        <v/>
      </c>
      <c r="AY29" s="207" t="str">
        <f t="shared" si="32"/>
        <v/>
      </c>
      <c r="AZ29" s="208" t="str">
        <f t="shared" si="32"/>
        <v/>
      </c>
      <c r="BA29" s="206" t="str">
        <f t="shared" si="32"/>
        <v/>
      </c>
      <c r="BB29" s="206" t="str">
        <f t="shared" si="32"/>
        <v/>
      </c>
      <c r="BC29" s="207" t="str">
        <f t="shared" si="32"/>
        <v/>
      </c>
      <c r="BD29" s="208" t="str">
        <f t="shared" si="32"/>
        <v/>
      </c>
      <c r="BE29" s="206" t="str">
        <f t="shared" si="32"/>
        <v/>
      </c>
      <c r="BF29" s="206" t="str">
        <f t="shared" si="32"/>
        <v/>
      </c>
      <c r="BG29" s="207" t="str">
        <f t="shared" si="32"/>
        <v/>
      </c>
      <c r="BH29" s="208" t="str">
        <f t="shared" si="32"/>
        <v/>
      </c>
      <c r="BI29" s="206" t="str">
        <f t="shared" si="32"/>
        <v/>
      </c>
      <c r="BJ29" s="206" t="str">
        <f t="shared" si="32"/>
        <v/>
      </c>
      <c r="BK29" s="207" t="str">
        <f t="shared" si="32"/>
        <v/>
      </c>
      <c r="BL29" s="208" t="str">
        <f t="shared" si="32"/>
        <v/>
      </c>
      <c r="BM29" s="206" t="str">
        <f t="shared" si="32"/>
        <v/>
      </c>
      <c r="BN29" s="206" t="str">
        <f t="shared" si="32"/>
        <v/>
      </c>
      <c r="BO29" s="207" t="str">
        <f t="shared" si="32"/>
        <v/>
      </c>
      <c r="BP29" s="208" t="str">
        <f t="shared" si="25"/>
        <v/>
      </c>
      <c r="BQ29" s="206" t="str">
        <f t="shared" si="25"/>
        <v/>
      </c>
      <c r="BR29" s="206" t="str">
        <f t="shared" si="25"/>
        <v/>
      </c>
      <c r="BS29" s="207" t="str">
        <f t="shared" si="25"/>
        <v/>
      </c>
      <c r="BT29" s="208" t="str">
        <f t="shared" si="25"/>
        <v/>
      </c>
      <c r="BU29" s="206" t="str">
        <f t="shared" si="25"/>
        <v/>
      </c>
      <c r="BV29" s="206" t="str">
        <f t="shared" si="25"/>
        <v/>
      </c>
      <c r="BW29" s="207" t="str">
        <f t="shared" si="25"/>
        <v/>
      </c>
      <c r="BX29" s="208" t="str">
        <f t="shared" si="25"/>
        <v/>
      </c>
      <c r="BY29" s="206" t="str">
        <f t="shared" si="25"/>
        <v/>
      </c>
      <c r="BZ29" s="206" t="str">
        <f t="shared" si="25"/>
        <v/>
      </c>
      <c r="CA29" s="207" t="str">
        <f t="shared" si="25"/>
        <v/>
      </c>
      <c r="CB29" s="208" t="str">
        <f t="shared" si="25"/>
        <v/>
      </c>
      <c r="CC29" s="206" t="str">
        <f t="shared" si="25"/>
        <v/>
      </c>
      <c r="CD29" s="206" t="str">
        <f t="shared" si="25"/>
        <v/>
      </c>
      <c r="CE29" s="207" t="str">
        <f t="shared" si="25"/>
        <v/>
      </c>
    </row>
    <row r="30" spans="1:83" ht="18" customHeight="1">
      <c r="A30" s="22">
        <f>+TABELLA!I34</f>
        <v>0</v>
      </c>
      <c r="B30" s="22">
        <f>+TABELLA!J34</f>
        <v>0</v>
      </c>
      <c r="C30" s="22">
        <f>+TABELLA!K34</f>
        <v>0</v>
      </c>
      <c r="D30" s="22">
        <f>+TABELLA!L34</f>
        <v>0</v>
      </c>
      <c r="E30" s="22"/>
      <c r="F30" s="26">
        <f>IF(TABELLA!B34="","",TABELLA!B34)</f>
        <v>8</v>
      </c>
      <c r="G30" s="27" t="str">
        <f>IF(TABELLA!C34="","",TABELLA!C34)</f>
        <v>VALENTINI TAMARA</v>
      </c>
      <c r="H30" s="203" t="str">
        <f t="shared" ref="H30:V30" si="35">IF(AND(G$3&gt;=$A30,G$3&lt;$B30),1,IF(AND(G$3&gt;=$C30,G$3&lt;$D30),1,""))</f>
        <v/>
      </c>
      <c r="I30" s="203" t="str">
        <f t="shared" si="35"/>
        <v/>
      </c>
      <c r="J30" s="203" t="str">
        <f t="shared" si="35"/>
        <v/>
      </c>
      <c r="K30" s="204" t="str">
        <f t="shared" si="35"/>
        <v/>
      </c>
      <c r="L30" s="205" t="str">
        <f t="shared" si="35"/>
        <v/>
      </c>
      <c r="M30" s="203" t="str">
        <f t="shared" si="35"/>
        <v/>
      </c>
      <c r="N30" s="203" t="str">
        <f t="shared" si="35"/>
        <v/>
      </c>
      <c r="O30" s="204" t="str">
        <f t="shared" si="35"/>
        <v/>
      </c>
      <c r="P30" s="205" t="str">
        <f t="shared" si="35"/>
        <v/>
      </c>
      <c r="Q30" s="203" t="str">
        <f t="shared" si="35"/>
        <v/>
      </c>
      <c r="R30" s="203" t="str">
        <f t="shared" si="35"/>
        <v/>
      </c>
      <c r="S30" s="204" t="str">
        <f t="shared" si="35"/>
        <v/>
      </c>
      <c r="T30" s="205" t="str">
        <f t="shared" si="35"/>
        <v/>
      </c>
      <c r="U30" s="203" t="str">
        <f t="shared" si="35"/>
        <v/>
      </c>
      <c r="V30" s="203" t="str">
        <f t="shared" si="35"/>
        <v/>
      </c>
      <c r="W30" s="204" t="str">
        <f t="shared" si="24"/>
        <v/>
      </c>
      <c r="X30" s="205" t="str">
        <f t="shared" si="32"/>
        <v/>
      </c>
      <c r="Y30" s="203" t="str">
        <f t="shared" si="32"/>
        <v/>
      </c>
      <c r="Z30" s="203" t="str">
        <f t="shared" si="32"/>
        <v/>
      </c>
      <c r="AA30" s="204" t="str">
        <f t="shared" si="32"/>
        <v/>
      </c>
      <c r="AB30" s="205" t="str">
        <f t="shared" si="32"/>
        <v/>
      </c>
      <c r="AC30" s="203" t="str">
        <f t="shared" si="32"/>
        <v/>
      </c>
      <c r="AD30" s="203" t="str">
        <f t="shared" si="32"/>
        <v/>
      </c>
      <c r="AE30" s="204" t="str">
        <f t="shared" si="32"/>
        <v/>
      </c>
      <c r="AF30" s="205" t="str">
        <f t="shared" si="32"/>
        <v/>
      </c>
      <c r="AG30" s="203" t="str">
        <f t="shared" si="32"/>
        <v/>
      </c>
      <c r="AH30" s="203" t="str">
        <f t="shared" si="32"/>
        <v/>
      </c>
      <c r="AI30" s="204" t="str">
        <f t="shared" si="32"/>
        <v/>
      </c>
      <c r="AJ30" s="205" t="str">
        <f t="shared" si="32"/>
        <v/>
      </c>
      <c r="AK30" s="203" t="str">
        <f t="shared" si="32"/>
        <v/>
      </c>
      <c r="AL30" s="203" t="str">
        <f t="shared" si="32"/>
        <v/>
      </c>
      <c r="AM30" s="204" t="str">
        <f t="shared" si="32"/>
        <v/>
      </c>
      <c r="AN30" s="205" t="str">
        <f t="shared" si="32"/>
        <v/>
      </c>
      <c r="AO30" s="203" t="str">
        <f t="shared" si="32"/>
        <v/>
      </c>
      <c r="AP30" s="203" t="str">
        <f t="shared" si="32"/>
        <v/>
      </c>
      <c r="AQ30" s="204" t="str">
        <f t="shared" si="32"/>
        <v/>
      </c>
      <c r="AR30" s="205" t="str">
        <f t="shared" si="32"/>
        <v/>
      </c>
      <c r="AS30" s="203" t="str">
        <f t="shared" si="32"/>
        <v/>
      </c>
      <c r="AT30" s="203" t="str">
        <f t="shared" si="32"/>
        <v/>
      </c>
      <c r="AU30" s="204" t="str">
        <f t="shared" si="32"/>
        <v/>
      </c>
      <c r="AV30" s="205" t="str">
        <f t="shared" si="32"/>
        <v/>
      </c>
      <c r="AW30" s="203" t="str">
        <f t="shared" si="32"/>
        <v/>
      </c>
      <c r="AX30" s="203" t="str">
        <f t="shared" si="32"/>
        <v/>
      </c>
      <c r="AY30" s="204" t="str">
        <f t="shared" si="32"/>
        <v/>
      </c>
      <c r="AZ30" s="205" t="str">
        <f t="shared" si="32"/>
        <v/>
      </c>
      <c r="BA30" s="203" t="str">
        <f t="shared" si="32"/>
        <v/>
      </c>
      <c r="BB30" s="203" t="str">
        <f t="shared" si="32"/>
        <v/>
      </c>
      <c r="BC30" s="204" t="str">
        <f t="shared" si="32"/>
        <v/>
      </c>
      <c r="BD30" s="205" t="str">
        <f t="shared" si="32"/>
        <v/>
      </c>
      <c r="BE30" s="203" t="str">
        <f t="shared" si="32"/>
        <v/>
      </c>
      <c r="BF30" s="203" t="str">
        <f t="shared" si="32"/>
        <v/>
      </c>
      <c r="BG30" s="204" t="str">
        <f t="shared" si="32"/>
        <v/>
      </c>
      <c r="BH30" s="205" t="str">
        <f t="shared" si="32"/>
        <v/>
      </c>
      <c r="BI30" s="203" t="str">
        <f t="shared" si="32"/>
        <v/>
      </c>
      <c r="BJ30" s="203" t="str">
        <f t="shared" si="32"/>
        <v/>
      </c>
      <c r="BK30" s="204" t="str">
        <f t="shared" si="32"/>
        <v/>
      </c>
      <c r="BL30" s="205" t="str">
        <f t="shared" si="32"/>
        <v/>
      </c>
      <c r="BM30" s="203" t="str">
        <f t="shared" si="32"/>
        <v/>
      </c>
      <c r="BN30" s="203" t="str">
        <f t="shared" si="32"/>
        <v/>
      </c>
      <c r="BO30" s="204" t="str">
        <f t="shared" si="32"/>
        <v/>
      </c>
      <c r="BP30" s="205" t="str">
        <f t="shared" si="25"/>
        <v/>
      </c>
      <c r="BQ30" s="203" t="str">
        <f t="shared" si="25"/>
        <v/>
      </c>
      <c r="BR30" s="203" t="str">
        <f t="shared" si="25"/>
        <v/>
      </c>
      <c r="BS30" s="204" t="str">
        <f t="shared" si="25"/>
        <v/>
      </c>
      <c r="BT30" s="205" t="str">
        <f t="shared" si="25"/>
        <v/>
      </c>
      <c r="BU30" s="203" t="str">
        <f t="shared" si="25"/>
        <v/>
      </c>
      <c r="BV30" s="203" t="str">
        <f t="shared" si="25"/>
        <v/>
      </c>
      <c r="BW30" s="204" t="str">
        <f t="shared" si="25"/>
        <v/>
      </c>
      <c r="BX30" s="205" t="str">
        <f t="shared" si="25"/>
        <v/>
      </c>
      <c r="BY30" s="203" t="str">
        <f t="shared" si="25"/>
        <v/>
      </c>
      <c r="BZ30" s="203" t="str">
        <f t="shared" si="25"/>
        <v/>
      </c>
      <c r="CA30" s="204" t="str">
        <f t="shared" si="25"/>
        <v/>
      </c>
      <c r="CB30" s="205" t="str">
        <f t="shared" si="25"/>
        <v/>
      </c>
      <c r="CC30" s="203" t="str">
        <f t="shared" si="25"/>
        <v/>
      </c>
      <c r="CD30" s="203" t="str">
        <f t="shared" si="25"/>
        <v/>
      </c>
      <c r="CE30" s="204" t="str">
        <f t="shared" si="25"/>
        <v/>
      </c>
    </row>
    <row r="31" spans="1:83" ht="18" customHeight="1">
      <c r="A31" s="22">
        <f>+TABELLA!I35</f>
        <v>0</v>
      </c>
      <c r="B31" s="22">
        <f>+TABELLA!J35</f>
        <v>0</v>
      </c>
      <c r="C31" s="22">
        <f>+TABELLA!K35</f>
        <v>0</v>
      </c>
      <c r="D31" s="22">
        <f>+TABELLA!L35</f>
        <v>0</v>
      </c>
      <c r="E31" s="22"/>
      <c r="F31" s="41" t="str">
        <f>IF(TABELLA!B35="","",TABELLA!B35)</f>
        <v/>
      </c>
      <c r="G31" s="42" t="str">
        <f>IF(TABELLA!C35="","",TABELLA!C35)</f>
        <v/>
      </c>
      <c r="H31" s="206" t="str">
        <f t="shared" ref="H31:V31" si="36">IF(AND(G$3&gt;=$A31,G$3&lt;$B31),1,IF(AND(G$3&gt;=$C31,G$3&lt;$D31),1,""))</f>
        <v/>
      </c>
      <c r="I31" s="206" t="str">
        <f t="shared" si="36"/>
        <v/>
      </c>
      <c r="J31" s="206" t="str">
        <f t="shared" si="36"/>
        <v/>
      </c>
      <c r="K31" s="207" t="str">
        <f t="shared" si="36"/>
        <v/>
      </c>
      <c r="L31" s="208" t="str">
        <f t="shared" si="36"/>
        <v/>
      </c>
      <c r="M31" s="206" t="str">
        <f t="shared" si="36"/>
        <v/>
      </c>
      <c r="N31" s="206" t="str">
        <f t="shared" si="36"/>
        <v/>
      </c>
      <c r="O31" s="207" t="str">
        <f t="shared" si="36"/>
        <v/>
      </c>
      <c r="P31" s="208" t="str">
        <f t="shared" si="36"/>
        <v/>
      </c>
      <c r="Q31" s="206" t="str">
        <f t="shared" si="36"/>
        <v/>
      </c>
      <c r="R31" s="206" t="str">
        <f t="shared" si="36"/>
        <v/>
      </c>
      <c r="S31" s="207" t="str">
        <f t="shared" si="36"/>
        <v/>
      </c>
      <c r="T31" s="208" t="str">
        <f t="shared" si="36"/>
        <v/>
      </c>
      <c r="U31" s="206" t="str">
        <f t="shared" si="36"/>
        <v/>
      </c>
      <c r="V31" s="206" t="str">
        <f t="shared" si="36"/>
        <v/>
      </c>
      <c r="W31" s="207" t="str">
        <f t="shared" si="24"/>
        <v/>
      </c>
      <c r="X31" s="208" t="str">
        <f t="shared" si="32"/>
        <v/>
      </c>
      <c r="Y31" s="206" t="str">
        <f t="shared" si="32"/>
        <v/>
      </c>
      <c r="Z31" s="206" t="str">
        <f t="shared" si="32"/>
        <v/>
      </c>
      <c r="AA31" s="207" t="str">
        <f t="shared" si="32"/>
        <v/>
      </c>
      <c r="AB31" s="208" t="str">
        <f t="shared" si="32"/>
        <v/>
      </c>
      <c r="AC31" s="206" t="str">
        <f t="shared" si="32"/>
        <v/>
      </c>
      <c r="AD31" s="206" t="str">
        <f t="shared" si="32"/>
        <v/>
      </c>
      <c r="AE31" s="207" t="str">
        <f t="shared" si="32"/>
        <v/>
      </c>
      <c r="AF31" s="208" t="str">
        <f t="shared" si="32"/>
        <v/>
      </c>
      <c r="AG31" s="206" t="str">
        <f t="shared" si="32"/>
        <v/>
      </c>
      <c r="AH31" s="206" t="str">
        <f t="shared" si="32"/>
        <v/>
      </c>
      <c r="AI31" s="207" t="str">
        <f t="shared" si="32"/>
        <v/>
      </c>
      <c r="AJ31" s="208" t="str">
        <f t="shared" si="32"/>
        <v/>
      </c>
      <c r="AK31" s="206" t="str">
        <f t="shared" si="32"/>
        <v/>
      </c>
      <c r="AL31" s="206" t="str">
        <f t="shared" si="32"/>
        <v/>
      </c>
      <c r="AM31" s="207" t="str">
        <f t="shared" si="32"/>
        <v/>
      </c>
      <c r="AN31" s="208" t="str">
        <f t="shared" si="32"/>
        <v/>
      </c>
      <c r="AO31" s="206" t="str">
        <f t="shared" si="32"/>
        <v/>
      </c>
      <c r="AP31" s="206" t="str">
        <f t="shared" si="32"/>
        <v/>
      </c>
      <c r="AQ31" s="207" t="str">
        <f t="shared" si="32"/>
        <v/>
      </c>
      <c r="AR31" s="208" t="str">
        <f t="shared" si="32"/>
        <v/>
      </c>
      <c r="AS31" s="206" t="str">
        <f t="shared" si="32"/>
        <v/>
      </c>
      <c r="AT31" s="206" t="str">
        <f t="shared" si="32"/>
        <v/>
      </c>
      <c r="AU31" s="207" t="str">
        <f t="shared" si="32"/>
        <v/>
      </c>
      <c r="AV31" s="208" t="str">
        <f t="shared" si="32"/>
        <v/>
      </c>
      <c r="AW31" s="206" t="str">
        <f t="shared" si="32"/>
        <v/>
      </c>
      <c r="AX31" s="206" t="str">
        <f t="shared" si="32"/>
        <v/>
      </c>
      <c r="AY31" s="207" t="str">
        <f t="shared" si="32"/>
        <v/>
      </c>
      <c r="AZ31" s="208" t="str">
        <f t="shared" si="32"/>
        <v/>
      </c>
      <c r="BA31" s="206" t="str">
        <f t="shared" si="32"/>
        <v/>
      </c>
      <c r="BB31" s="206" t="str">
        <f t="shared" si="32"/>
        <v/>
      </c>
      <c r="BC31" s="207" t="str">
        <f t="shared" si="32"/>
        <v/>
      </c>
      <c r="BD31" s="208" t="str">
        <f t="shared" si="32"/>
        <v/>
      </c>
      <c r="BE31" s="206" t="str">
        <f t="shared" si="32"/>
        <v/>
      </c>
      <c r="BF31" s="206" t="str">
        <f t="shared" si="32"/>
        <v/>
      </c>
      <c r="BG31" s="207" t="str">
        <f t="shared" si="32"/>
        <v/>
      </c>
      <c r="BH31" s="208" t="str">
        <f t="shared" si="32"/>
        <v/>
      </c>
      <c r="BI31" s="206" t="str">
        <f t="shared" si="32"/>
        <v/>
      </c>
      <c r="BJ31" s="206" t="str">
        <f t="shared" si="32"/>
        <v/>
      </c>
      <c r="BK31" s="207" t="str">
        <f t="shared" si="32"/>
        <v/>
      </c>
      <c r="BL31" s="208" t="str">
        <f t="shared" si="32"/>
        <v/>
      </c>
      <c r="BM31" s="206" t="str">
        <f t="shared" si="32"/>
        <v/>
      </c>
      <c r="BN31" s="206" t="str">
        <f t="shared" si="32"/>
        <v/>
      </c>
      <c r="BO31" s="207" t="str">
        <f t="shared" si="32"/>
        <v/>
      </c>
      <c r="BP31" s="208" t="str">
        <f t="shared" si="25"/>
        <v/>
      </c>
      <c r="BQ31" s="206" t="str">
        <f t="shared" si="25"/>
        <v/>
      </c>
      <c r="BR31" s="206" t="str">
        <f t="shared" si="25"/>
        <v/>
      </c>
      <c r="BS31" s="207" t="str">
        <f t="shared" si="25"/>
        <v/>
      </c>
      <c r="BT31" s="208" t="str">
        <f t="shared" si="25"/>
        <v/>
      </c>
      <c r="BU31" s="206" t="str">
        <f t="shared" si="25"/>
        <v/>
      </c>
      <c r="BV31" s="206" t="str">
        <f t="shared" si="25"/>
        <v/>
      </c>
      <c r="BW31" s="207" t="str">
        <f t="shared" si="25"/>
        <v/>
      </c>
      <c r="BX31" s="208" t="str">
        <f t="shared" si="25"/>
        <v/>
      </c>
      <c r="BY31" s="206" t="str">
        <f t="shared" si="25"/>
        <v/>
      </c>
      <c r="BZ31" s="206" t="str">
        <f t="shared" si="25"/>
        <v/>
      </c>
      <c r="CA31" s="207" t="str">
        <f t="shared" si="25"/>
        <v/>
      </c>
      <c r="CB31" s="208" t="str">
        <f t="shared" si="25"/>
        <v/>
      </c>
      <c r="CC31" s="206" t="str">
        <f t="shared" si="25"/>
        <v/>
      </c>
      <c r="CD31" s="206" t="str">
        <f t="shared" si="25"/>
        <v/>
      </c>
      <c r="CE31" s="207" t="str">
        <f t="shared" si="25"/>
        <v/>
      </c>
    </row>
    <row r="32" spans="1:83" ht="18" customHeight="1">
      <c r="A32" s="22">
        <f>+TABELLA!I36</f>
        <v>0</v>
      </c>
      <c r="B32" s="22">
        <f>+TABELLA!J36</f>
        <v>0</v>
      </c>
      <c r="C32" s="22">
        <f>+TABELLA!K36</f>
        <v>0</v>
      </c>
      <c r="D32" s="22">
        <f>+TABELLA!L36</f>
        <v>0</v>
      </c>
      <c r="E32" s="22"/>
      <c r="F32" s="26" t="str">
        <f>IF(TABELLA!B36="","",TABELLA!B36)</f>
        <v/>
      </c>
      <c r="G32" s="27" t="str">
        <f>IF(TABELLA!C36="","",TABELLA!C36)</f>
        <v/>
      </c>
      <c r="H32" s="203" t="str">
        <f t="shared" ref="H32:V32" si="37">IF(AND(G$3&gt;=$A32,G$3&lt;$B32),1,IF(AND(G$3&gt;=$C32,G$3&lt;$D32),1,""))</f>
        <v/>
      </c>
      <c r="I32" s="203" t="str">
        <f t="shared" si="37"/>
        <v/>
      </c>
      <c r="J32" s="203" t="str">
        <f t="shared" si="37"/>
        <v/>
      </c>
      <c r="K32" s="204" t="str">
        <f t="shared" si="37"/>
        <v/>
      </c>
      <c r="L32" s="205" t="str">
        <f t="shared" si="37"/>
        <v/>
      </c>
      <c r="M32" s="203" t="str">
        <f t="shared" si="37"/>
        <v/>
      </c>
      <c r="N32" s="203" t="str">
        <f t="shared" si="37"/>
        <v/>
      </c>
      <c r="O32" s="204" t="str">
        <f t="shared" si="37"/>
        <v/>
      </c>
      <c r="P32" s="205" t="str">
        <f t="shared" si="37"/>
        <v/>
      </c>
      <c r="Q32" s="203" t="str">
        <f t="shared" si="37"/>
        <v/>
      </c>
      <c r="R32" s="203" t="str">
        <f t="shared" si="37"/>
        <v/>
      </c>
      <c r="S32" s="204" t="str">
        <f t="shared" si="37"/>
        <v/>
      </c>
      <c r="T32" s="205" t="str">
        <f t="shared" si="37"/>
        <v/>
      </c>
      <c r="U32" s="203" t="str">
        <f t="shared" si="37"/>
        <v/>
      </c>
      <c r="V32" s="203" t="str">
        <f t="shared" si="37"/>
        <v/>
      </c>
      <c r="W32" s="204" t="str">
        <f t="shared" si="24"/>
        <v/>
      </c>
      <c r="X32" s="205" t="str">
        <f t="shared" si="32"/>
        <v/>
      </c>
      <c r="Y32" s="203" t="str">
        <f t="shared" si="32"/>
        <v/>
      </c>
      <c r="Z32" s="203" t="str">
        <f t="shared" si="32"/>
        <v/>
      </c>
      <c r="AA32" s="204" t="str">
        <f t="shared" si="32"/>
        <v/>
      </c>
      <c r="AB32" s="205" t="str">
        <f t="shared" si="32"/>
        <v/>
      </c>
      <c r="AC32" s="203" t="str">
        <f t="shared" si="32"/>
        <v/>
      </c>
      <c r="AD32" s="203" t="str">
        <f t="shared" si="32"/>
        <v/>
      </c>
      <c r="AE32" s="204" t="str">
        <f t="shared" si="32"/>
        <v/>
      </c>
      <c r="AF32" s="205" t="str">
        <f t="shared" si="32"/>
        <v/>
      </c>
      <c r="AG32" s="203" t="str">
        <f t="shared" si="32"/>
        <v/>
      </c>
      <c r="AH32" s="203" t="str">
        <f t="shared" si="32"/>
        <v/>
      </c>
      <c r="AI32" s="204" t="str">
        <f t="shared" si="32"/>
        <v/>
      </c>
      <c r="AJ32" s="205" t="str">
        <f t="shared" si="32"/>
        <v/>
      </c>
      <c r="AK32" s="203" t="str">
        <f t="shared" si="32"/>
        <v/>
      </c>
      <c r="AL32" s="203" t="str">
        <f t="shared" si="32"/>
        <v/>
      </c>
      <c r="AM32" s="204" t="str">
        <f t="shared" si="32"/>
        <v/>
      </c>
      <c r="AN32" s="205" t="str">
        <f t="shared" si="32"/>
        <v/>
      </c>
      <c r="AO32" s="203" t="str">
        <f t="shared" si="32"/>
        <v/>
      </c>
      <c r="AP32" s="203" t="str">
        <f t="shared" si="32"/>
        <v/>
      </c>
      <c r="AQ32" s="204" t="str">
        <f t="shared" si="32"/>
        <v/>
      </c>
      <c r="AR32" s="205" t="str">
        <f t="shared" si="32"/>
        <v/>
      </c>
      <c r="AS32" s="203" t="str">
        <f t="shared" si="32"/>
        <v/>
      </c>
      <c r="AT32" s="203" t="str">
        <f t="shared" si="32"/>
        <v/>
      </c>
      <c r="AU32" s="204" t="str">
        <f t="shared" si="32"/>
        <v/>
      </c>
      <c r="AV32" s="205" t="str">
        <f t="shared" si="32"/>
        <v/>
      </c>
      <c r="AW32" s="203" t="str">
        <f t="shared" si="32"/>
        <v/>
      </c>
      <c r="AX32" s="203" t="str">
        <f t="shared" si="32"/>
        <v/>
      </c>
      <c r="AY32" s="204" t="str">
        <f t="shared" si="32"/>
        <v/>
      </c>
      <c r="AZ32" s="205" t="str">
        <f t="shared" si="32"/>
        <v/>
      </c>
      <c r="BA32" s="203" t="str">
        <f t="shared" si="32"/>
        <v/>
      </c>
      <c r="BB32" s="203" t="str">
        <f t="shared" si="32"/>
        <v/>
      </c>
      <c r="BC32" s="204" t="str">
        <f t="shared" si="32"/>
        <v/>
      </c>
      <c r="BD32" s="205" t="str">
        <f t="shared" si="32"/>
        <v/>
      </c>
      <c r="BE32" s="203" t="str">
        <f t="shared" si="32"/>
        <v/>
      </c>
      <c r="BF32" s="203" t="str">
        <f t="shared" si="32"/>
        <v/>
      </c>
      <c r="BG32" s="204" t="str">
        <f t="shared" ref="BG32:BO32" si="38">IF(AND(BF$3&gt;=$A32,BF$3&lt;$B32),1,IF(AND(BF$3&gt;=$C32,BF$3&lt;$D32),1,""))</f>
        <v/>
      </c>
      <c r="BH32" s="205" t="str">
        <f t="shared" si="38"/>
        <v/>
      </c>
      <c r="BI32" s="203" t="str">
        <f t="shared" si="38"/>
        <v/>
      </c>
      <c r="BJ32" s="203" t="str">
        <f t="shared" si="38"/>
        <v/>
      </c>
      <c r="BK32" s="204" t="str">
        <f t="shared" si="38"/>
        <v/>
      </c>
      <c r="BL32" s="205" t="str">
        <f t="shared" si="38"/>
        <v/>
      </c>
      <c r="BM32" s="203" t="str">
        <f t="shared" si="38"/>
        <v/>
      </c>
      <c r="BN32" s="203" t="str">
        <f t="shared" si="38"/>
        <v/>
      </c>
      <c r="BO32" s="204" t="str">
        <f t="shared" si="38"/>
        <v/>
      </c>
      <c r="BP32" s="205" t="str">
        <f t="shared" si="25"/>
        <v/>
      </c>
      <c r="BQ32" s="203" t="str">
        <f t="shared" si="25"/>
        <v/>
      </c>
      <c r="BR32" s="203" t="str">
        <f t="shared" si="25"/>
        <v/>
      </c>
      <c r="BS32" s="204" t="str">
        <f t="shared" si="25"/>
        <v/>
      </c>
      <c r="BT32" s="205" t="str">
        <f t="shared" si="25"/>
        <v/>
      </c>
      <c r="BU32" s="203" t="str">
        <f t="shared" si="25"/>
        <v/>
      </c>
      <c r="BV32" s="203" t="str">
        <f t="shared" si="25"/>
        <v/>
      </c>
      <c r="BW32" s="204" t="str">
        <f t="shared" si="25"/>
        <v/>
      </c>
      <c r="BX32" s="205" t="str">
        <f t="shared" si="25"/>
        <v/>
      </c>
      <c r="BY32" s="203" t="str">
        <f t="shared" si="25"/>
        <v/>
      </c>
      <c r="BZ32" s="203" t="str">
        <f t="shared" si="25"/>
        <v/>
      </c>
      <c r="CA32" s="204" t="str">
        <f t="shared" si="25"/>
        <v/>
      </c>
      <c r="CB32" s="205" t="str">
        <f t="shared" si="25"/>
        <v/>
      </c>
      <c r="CC32" s="203" t="str">
        <f t="shared" si="25"/>
        <v/>
      </c>
      <c r="CD32" s="203" t="str">
        <f t="shared" si="25"/>
        <v/>
      </c>
      <c r="CE32" s="204" t="str">
        <f t="shared" si="25"/>
        <v/>
      </c>
    </row>
    <row r="33" spans="1:87" ht="18" customHeight="1">
      <c r="A33" s="22">
        <f>+TABELLA!I37</f>
        <v>0</v>
      </c>
      <c r="B33" s="22">
        <f>+TABELLA!J37</f>
        <v>0</v>
      </c>
      <c r="C33" s="22">
        <f>+TABELLA!K37</f>
        <v>0</v>
      </c>
      <c r="D33" s="22">
        <f>+TABELLA!L37</f>
        <v>0</v>
      </c>
      <c r="E33" s="22"/>
      <c r="F33" s="41">
        <f>IF(TABELLA!B37="","",TABELLA!B37)</f>
        <v>4</v>
      </c>
      <c r="G33" s="42" t="str">
        <f>IF(TABELLA!C37="","",TABELLA!C37)</f>
        <v/>
      </c>
      <c r="H33" s="206" t="str">
        <f t="shared" ref="H33:V33" si="39">IF(AND(G$3&gt;=$A33,G$3&lt;$B33),1,IF(AND(G$3&gt;=$C33,G$3&lt;$D33),1,""))</f>
        <v/>
      </c>
      <c r="I33" s="206" t="str">
        <f t="shared" si="39"/>
        <v/>
      </c>
      <c r="J33" s="206" t="str">
        <f t="shared" si="39"/>
        <v/>
      </c>
      <c r="K33" s="207" t="str">
        <f t="shared" si="39"/>
        <v/>
      </c>
      <c r="L33" s="208" t="str">
        <f t="shared" si="39"/>
        <v/>
      </c>
      <c r="M33" s="206" t="str">
        <f t="shared" si="39"/>
        <v/>
      </c>
      <c r="N33" s="206" t="str">
        <f t="shared" si="39"/>
        <v/>
      </c>
      <c r="O33" s="207" t="str">
        <f t="shared" si="39"/>
        <v/>
      </c>
      <c r="P33" s="208" t="str">
        <f t="shared" si="39"/>
        <v/>
      </c>
      <c r="Q33" s="206" t="str">
        <f t="shared" si="39"/>
        <v/>
      </c>
      <c r="R33" s="206" t="str">
        <f t="shared" si="39"/>
        <v/>
      </c>
      <c r="S33" s="207" t="str">
        <f t="shared" si="39"/>
        <v/>
      </c>
      <c r="T33" s="208" t="str">
        <f t="shared" si="39"/>
        <v/>
      </c>
      <c r="U33" s="206" t="str">
        <f t="shared" si="39"/>
        <v/>
      </c>
      <c r="V33" s="206" t="str">
        <f t="shared" si="39"/>
        <v/>
      </c>
      <c r="W33" s="207" t="str">
        <f t="shared" si="24"/>
        <v/>
      </c>
      <c r="X33" s="208" t="str">
        <f t="shared" ref="X33:BO36" si="40">IF(AND(W$3&gt;=$A33,W$3&lt;$B33),1,IF(AND(W$3&gt;=$C33,W$3&lt;$D33),1,""))</f>
        <v/>
      </c>
      <c r="Y33" s="206" t="str">
        <f t="shared" si="40"/>
        <v/>
      </c>
      <c r="Z33" s="206" t="str">
        <f t="shared" si="40"/>
        <v/>
      </c>
      <c r="AA33" s="207" t="str">
        <f t="shared" si="40"/>
        <v/>
      </c>
      <c r="AB33" s="208" t="str">
        <f t="shared" si="40"/>
        <v/>
      </c>
      <c r="AC33" s="206" t="str">
        <f t="shared" si="40"/>
        <v/>
      </c>
      <c r="AD33" s="206" t="str">
        <f t="shared" si="40"/>
        <v/>
      </c>
      <c r="AE33" s="207" t="str">
        <f t="shared" si="40"/>
        <v/>
      </c>
      <c r="AF33" s="208" t="str">
        <f t="shared" si="40"/>
        <v/>
      </c>
      <c r="AG33" s="206" t="str">
        <f t="shared" si="40"/>
        <v/>
      </c>
      <c r="AH33" s="206" t="str">
        <f t="shared" si="40"/>
        <v/>
      </c>
      <c r="AI33" s="207" t="str">
        <f t="shared" si="40"/>
        <v/>
      </c>
      <c r="AJ33" s="208" t="str">
        <f t="shared" si="40"/>
        <v/>
      </c>
      <c r="AK33" s="206" t="str">
        <f t="shared" si="40"/>
        <v/>
      </c>
      <c r="AL33" s="206" t="str">
        <f t="shared" si="40"/>
        <v/>
      </c>
      <c r="AM33" s="207" t="str">
        <f t="shared" si="40"/>
        <v/>
      </c>
      <c r="AN33" s="208" t="str">
        <f t="shared" si="40"/>
        <v/>
      </c>
      <c r="AO33" s="206" t="str">
        <f t="shared" si="40"/>
        <v/>
      </c>
      <c r="AP33" s="206" t="str">
        <f t="shared" si="40"/>
        <v/>
      </c>
      <c r="AQ33" s="207" t="str">
        <f t="shared" si="40"/>
        <v/>
      </c>
      <c r="AR33" s="208" t="str">
        <f t="shared" si="40"/>
        <v/>
      </c>
      <c r="AS33" s="206" t="str">
        <f t="shared" si="40"/>
        <v/>
      </c>
      <c r="AT33" s="206" t="str">
        <f t="shared" si="40"/>
        <v/>
      </c>
      <c r="AU33" s="207" t="str">
        <f t="shared" si="40"/>
        <v/>
      </c>
      <c r="AV33" s="208" t="str">
        <f t="shared" si="40"/>
        <v/>
      </c>
      <c r="AW33" s="206" t="str">
        <f t="shared" si="40"/>
        <v/>
      </c>
      <c r="AX33" s="206" t="str">
        <f t="shared" si="40"/>
        <v/>
      </c>
      <c r="AY33" s="207" t="str">
        <f t="shared" si="40"/>
        <v/>
      </c>
      <c r="AZ33" s="208" t="str">
        <f t="shared" si="40"/>
        <v/>
      </c>
      <c r="BA33" s="206" t="str">
        <f t="shared" si="40"/>
        <v/>
      </c>
      <c r="BB33" s="206" t="str">
        <f t="shared" si="40"/>
        <v/>
      </c>
      <c r="BC33" s="207" t="str">
        <f t="shared" si="40"/>
        <v/>
      </c>
      <c r="BD33" s="208" t="str">
        <f t="shared" si="40"/>
        <v/>
      </c>
      <c r="BE33" s="206" t="str">
        <f t="shared" si="40"/>
        <v/>
      </c>
      <c r="BF33" s="206" t="str">
        <f t="shared" si="40"/>
        <v/>
      </c>
      <c r="BG33" s="207" t="str">
        <f t="shared" si="40"/>
        <v/>
      </c>
      <c r="BH33" s="208" t="str">
        <f t="shared" si="40"/>
        <v/>
      </c>
      <c r="BI33" s="206" t="str">
        <f t="shared" si="40"/>
        <v/>
      </c>
      <c r="BJ33" s="206" t="str">
        <f t="shared" si="40"/>
        <v/>
      </c>
      <c r="BK33" s="207" t="str">
        <f t="shared" si="40"/>
        <v/>
      </c>
      <c r="BL33" s="208" t="str">
        <f t="shared" si="40"/>
        <v/>
      </c>
      <c r="BM33" s="206" t="str">
        <f t="shared" si="40"/>
        <v/>
      </c>
      <c r="BN33" s="206" t="str">
        <f t="shared" si="40"/>
        <v/>
      </c>
      <c r="BO33" s="207" t="str">
        <f t="shared" si="40"/>
        <v/>
      </c>
      <c r="BP33" s="208" t="str">
        <f t="shared" si="25"/>
        <v/>
      </c>
      <c r="BQ33" s="206" t="str">
        <f t="shared" si="25"/>
        <v/>
      </c>
      <c r="BR33" s="206" t="str">
        <f t="shared" si="25"/>
        <v/>
      </c>
      <c r="BS33" s="207" t="str">
        <f t="shared" si="25"/>
        <v/>
      </c>
      <c r="BT33" s="208" t="str">
        <f t="shared" si="25"/>
        <v/>
      </c>
      <c r="BU33" s="206" t="str">
        <f t="shared" si="25"/>
        <v/>
      </c>
      <c r="BV33" s="206" t="str">
        <f t="shared" si="25"/>
        <v/>
      </c>
      <c r="BW33" s="207" t="str">
        <f t="shared" si="25"/>
        <v/>
      </c>
      <c r="BX33" s="208" t="str">
        <f t="shared" si="25"/>
        <v/>
      </c>
      <c r="BY33" s="206" t="str">
        <f t="shared" si="25"/>
        <v/>
      </c>
      <c r="BZ33" s="206" t="str">
        <f t="shared" si="25"/>
        <v/>
      </c>
      <c r="CA33" s="207" t="str">
        <f t="shared" si="25"/>
        <v/>
      </c>
      <c r="CB33" s="208" t="str">
        <f t="shared" si="25"/>
        <v/>
      </c>
      <c r="CC33" s="206" t="str">
        <f t="shared" si="25"/>
        <v/>
      </c>
      <c r="CD33" s="206" t="str">
        <f t="shared" si="25"/>
        <v/>
      </c>
      <c r="CE33" s="207" t="str">
        <f t="shared" si="25"/>
        <v/>
      </c>
    </row>
    <row r="34" spans="1:87" ht="18" customHeight="1">
      <c r="A34" s="22">
        <f>+TABELLA!I38</f>
        <v>0</v>
      </c>
      <c r="B34" s="22">
        <f>+TABELLA!J38</f>
        <v>0</v>
      </c>
      <c r="C34" s="22">
        <f>+TABELLA!K38</f>
        <v>0</v>
      </c>
      <c r="D34" s="22">
        <f>+TABELLA!L38</f>
        <v>0</v>
      </c>
      <c r="E34" s="22"/>
      <c r="F34" s="26">
        <f>IF(TABELLA!B38="","",TABELLA!B38)</f>
        <v>4</v>
      </c>
      <c r="G34" s="27" t="str">
        <f>IF(TABELLA!C38="","",TABELLA!C38)</f>
        <v>GREGGIO MONICA</v>
      </c>
      <c r="H34" s="203" t="str">
        <f t="shared" ref="H34:V34" si="41">IF(AND(G$3&gt;=$A34,G$3&lt;$B34),1,IF(AND(G$3&gt;=$C34,G$3&lt;$D34),1,""))</f>
        <v/>
      </c>
      <c r="I34" s="203" t="str">
        <f t="shared" si="41"/>
        <v/>
      </c>
      <c r="J34" s="203" t="str">
        <f t="shared" si="41"/>
        <v/>
      </c>
      <c r="K34" s="204" t="str">
        <f t="shared" si="41"/>
        <v/>
      </c>
      <c r="L34" s="205" t="str">
        <f t="shared" si="41"/>
        <v/>
      </c>
      <c r="M34" s="203" t="str">
        <f t="shared" si="41"/>
        <v/>
      </c>
      <c r="N34" s="203" t="str">
        <f t="shared" si="41"/>
        <v/>
      </c>
      <c r="O34" s="204" t="str">
        <f t="shared" si="41"/>
        <v/>
      </c>
      <c r="P34" s="205" t="str">
        <f t="shared" si="41"/>
        <v/>
      </c>
      <c r="Q34" s="203" t="str">
        <f t="shared" si="41"/>
        <v/>
      </c>
      <c r="R34" s="203" t="str">
        <f t="shared" si="41"/>
        <v/>
      </c>
      <c r="S34" s="204" t="str">
        <f t="shared" si="41"/>
        <v/>
      </c>
      <c r="T34" s="205" t="str">
        <f t="shared" si="41"/>
        <v/>
      </c>
      <c r="U34" s="203" t="str">
        <f t="shared" si="41"/>
        <v/>
      </c>
      <c r="V34" s="203" t="str">
        <f t="shared" si="41"/>
        <v/>
      </c>
      <c r="W34" s="204" t="str">
        <f t="shared" si="24"/>
        <v/>
      </c>
      <c r="X34" s="205" t="str">
        <f t="shared" si="40"/>
        <v/>
      </c>
      <c r="Y34" s="203" t="str">
        <f t="shared" si="40"/>
        <v/>
      </c>
      <c r="Z34" s="203" t="str">
        <f t="shared" si="40"/>
        <v/>
      </c>
      <c r="AA34" s="204" t="str">
        <f t="shared" si="40"/>
        <v/>
      </c>
      <c r="AB34" s="205" t="str">
        <f t="shared" si="40"/>
        <v/>
      </c>
      <c r="AC34" s="203" t="str">
        <f t="shared" si="40"/>
        <v/>
      </c>
      <c r="AD34" s="203" t="str">
        <f t="shared" si="40"/>
        <v/>
      </c>
      <c r="AE34" s="204" t="str">
        <f t="shared" si="40"/>
        <v/>
      </c>
      <c r="AF34" s="205" t="str">
        <f t="shared" si="40"/>
        <v/>
      </c>
      <c r="AG34" s="203" t="str">
        <f t="shared" si="40"/>
        <v/>
      </c>
      <c r="AH34" s="203" t="str">
        <f t="shared" si="40"/>
        <v/>
      </c>
      <c r="AI34" s="204" t="str">
        <f t="shared" si="40"/>
        <v/>
      </c>
      <c r="AJ34" s="205" t="str">
        <f t="shared" si="40"/>
        <v/>
      </c>
      <c r="AK34" s="203" t="str">
        <f t="shared" si="40"/>
        <v/>
      </c>
      <c r="AL34" s="203" t="str">
        <f t="shared" si="40"/>
        <v/>
      </c>
      <c r="AM34" s="204" t="str">
        <f t="shared" si="40"/>
        <v/>
      </c>
      <c r="AN34" s="205" t="str">
        <f t="shared" si="40"/>
        <v/>
      </c>
      <c r="AO34" s="203" t="str">
        <f t="shared" si="40"/>
        <v/>
      </c>
      <c r="AP34" s="203" t="str">
        <f t="shared" si="40"/>
        <v/>
      </c>
      <c r="AQ34" s="204" t="str">
        <f t="shared" si="40"/>
        <v/>
      </c>
      <c r="AR34" s="205" t="str">
        <f t="shared" si="40"/>
        <v/>
      </c>
      <c r="AS34" s="203" t="str">
        <f t="shared" si="40"/>
        <v/>
      </c>
      <c r="AT34" s="203" t="str">
        <f t="shared" si="40"/>
        <v/>
      </c>
      <c r="AU34" s="204" t="str">
        <f t="shared" si="40"/>
        <v/>
      </c>
      <c r="AV34" s="205" t="str">
        <f t="shared" si="40"/>
        <v/>
      </c>
      <c r="AW34" s="203" t="str">
        <f t="shared" si="40"/>
        <v/>
      </c>
      <c r="AX34" s="203" t="str">
        <f t="shared" si="40"/>
        <v/>
      </c>
      <c r="AY34" s="204" t="str">
        <f t="shared" si="40"/>
        <v/>
      </c>
      <c r="AZ34" s="205" t="str">
        <f t="shared" si="40"/>
        <v/>
      </c>
      <c r="BA34" s="203" t="str">
        <f t="shared" si="40"/>
        <v/>
      </c>
      <c r="BB34" s="203" t="str">
        <f t="shared" si="40"/>
        <v/>
      </c>
      <c r="BC34" s="204" t="str">
        <f t="shared" si="40"/>
        <v/>
      </c>
      <c r="BD34" s="205" t="str">
        <f t="shared" si="40"/>
        <v/>
      </c>
      <c r="BE34" s="203" t="str">
        <f t="shared" si="40"/>
        <v/>
      </c>
      <c r="BF34" s="203" t="str">
        <f t="shared" si="40"/>
        <v/>
      </c>
      <c r="BG34" s="204" t="str">
        <f t="shared" si="40"/>
        <v/>
      </c>
      <c r="BH34" s="205" t="str">
        <f t="shared" si="40"/>
        <v/>
      </c>
      <c r="BI34" s="203" t="str">
        <f t="shared" si="40"/>
        <v/>
      </c>
      <c r="BJ34" s="203" t="str">
        <f t="shared" si="40"/>
        <v/>
      </c>
      <c r="BK34" s="204" t="str">
        <f t="shared" si="40"/>
        <v/>
      </c>
      <c r="BL34" s="205" t="str">
        <f t="shared" si="40"/>
        <v/>
      </c>
      <c r="BM34" s="203" t="str">
        <f t="shared" si="40"/>
        <v/>
      </c>
      <c r="BN34" s="203" t="str">
        <f t="shared" si="40"/>
        <v/>
      </c>
      <c r="BO34" s="204" t="str">
        <f t="shared" si="40"/>
        <v/>
      </c>
      <c r="BP34" s="205" t="str">
        <f t="shared" si="25"/>
        <v/>
      </c>
      <c r="BQ34" s="203" t="str">
        <f t="shared" si="25"/>
        <v/>
      </c>
      <c r="BR34" s="203" t="str">
        <f t="shared" si="25"/>
        <v/>
      </c>
      <c r="BS34" s="204" t="str">
        <f t="shared" si="25"/>
        <v/>
      </c>
      <c r="BT34" s="205" t="str">
        <f t="shared" si="25"/>
        <v/>
      </c>
      <c r="BU34" s="203" t="str">
        <f t="shared" si="25"/>
        <v/>
      </c>
      <c r="BV34" s="203" t="str">
        <f t="shared" si="25"/>
        <v/>
      </c>
      <c r="BW34" s="204" t="str">
        <f t="shared" si="25"/>
        <v/>
      </c>
      <c r="BX34" s="205" t="str">
        <f t="shared" si="25"/>
        <v/>
      </c>
      <c r="BY34" s="203" t="str">
        <f t="shared" si="25"/>
        <v/>
      </c>
      <c r="BZ34" s="203" t="str">
        <f t="shared" si="25"/>
        <v/>
      </c>
      <c r="CA34" s="204" t="str">
        <f t="shared" si="25"/>
        <v/>
      </c>
      <c r="CB34" s="205" t="str">
        <f t="shared" si="25"/>
        <v/>
      </c>
      <c r="CC34" s="203" t="str">
        <f t="shared" si="25"/>
        <v/>
      </c>
      <c r="CD34" s="203" t="str">
        <f t="shared" si="25"/>
        <v/>
      </c>
      <c r="CE34" s="204" t="str">
        <f t="shared" si="25"/>
        <v/>
      </c>
    </row>
    <row r="35" spans="1:87" ht="18" customHeight="1">
      <c r="A35" s="22">
        <f>+TABELLA!I39</f>
        <v>0</v>
      </c>
      <c r="B35" s="22">
        <f>+TABELLA!J39</f>
        <v>0</v>
      </c>
      <c r="C35" s="22">
        <f>+TABELLA!K39</f>
        <v>0</v>
      </c>
      <c r="D35" s="22">
        <f>+TABELLA!L39</f>
        <v>0</v>
      </c>
      <c r="E35" s="22"/>
      <c r="F35" s="41">
        <f>IF(TABELLA!B39="","",TABELLA!B39)</f>
        <v>4</v>
      </c>
      <c r="G35" s="42" t="str">
        <f>IF(TABELLA!C39="","",TABELLA!C39)</f>
        <v>RACCAGNI CRISTIANA</v>
      </c>
      <c r="H35" s="206" t="str">
        <f t="shared" ref="H35:V35" si="42">IF(AND(G$3&gt;=$A35,G$3&lt;$B35),1,IF(AND(G$3&gt;=$C35,G$3&lt;$D35),1,""))</f>
        <v/>
      </c>
      <c r="I35" s="206" t="str">
        <f t="shared" si="42"/>
        <v/>
      </c>
      <c r="J35" s="206" t="str">
        <f t="shared" si="42"/>
        <v/>
      </c>
      <c r="K35" s="207" t="str">
        <f t="shared" si="42"/>
        <v/>
      </c>
      <c r="L35" s="208" t="str">
        <f t="shared" si="42"/>
        <v/>
      </c>
      <c r="M35" s="206" t="str">
        <f t="shared" si="42"/>
        <v/>
      </c>
      <c r="N35" s="206" t="str">
        <f t="shared" si="42"/>
        <v/>
      </c>
      <c r="O35" s="207" t="str">
        <f t="shared" si="42"/>
        <v/>
      </c>
      <c r="P35" s="208" t="str">
        <f t="shared" si="42"/>
        <v/>
      </c>
      <c r="Q35" s="206" t="str">
        <f t="shared" si="42"/>
        <v/>
      </c>
      <c r="R35" s="206" t="str">
        <f t="shared" si="42"/>
        <v/>
      </c>
      <c r="S35" s="207" t="str">
        <f t="shared" si="42"/>
        <v/>
      </c>
      <c r="T35" s="208" t="str">
        <f t="shared" si="42"/>
        <v/>
      </c>
      <c r="U35" s="206" t="str">
        <f t="shared" si="42"/>
        <v/>
      </c>
      <c r="V35" s="206" t="str">
        <f t="shared" si="42"/>
        <v/>
      </c>
      <c r="W35" s="207" t="str">
        <f t="shared" si="24"/>
        <v/>
      </c>
      <c r="X35" s="208" t="str">
        <f t="shared" si="40"/>
        <v/>
      </c>
      <c r="Y35" s="206" t="str">
        <f t="shared" si="40"/>
        <v/>
      </c>
      <c r="Z35" s="206" t="str">
        <f t="shared" si="40"/>
        <v/>
      </c>
      <c r="AA35" s="207" t="str">
        <f t="shared" si="40"/>
        <v/>
      </c>
      <c r="AB35" s="208" t="str">
        <f t="shared" si="40"/>
        <v/>
      </c>
      <c r="AC35" s="206" t="str">
        <f t="shared" si="40"/>
        <v/>
      </c>
      <c r="AD35" s="206" t="str">
        <f t="shared" si="40"/>
        <v/>
      </c>
      <c r="AE35" s="207" t="str">
        <f t="shared" si="40"/>
        <v/>
      </c>
      <c r="AF35" s="208" t="str">
        <f t="shared" si="40"/>
        <v/>
      </c>
      <c r="AG35" s="206" t="str">
        <f t="shared" si="40"/>
        <v/>
      </c>
      <c r="AH35" s="206" t="str">
        <f t="shared" si="40"/>
        <v/>
      </c>
      <c r="AI35" s="207" t="str">
        <f t="shared" si="40"/>
        <v/>
      </c>
      <c r="AJ35" s="208" t="str">
        <f t="shared" si="40"/>
        <v/>
      </c>
      <c r="AK35" s="206" t="str">
        <f t="shared" si="40"/>
        <v/>
      </c>
      <c r="AL35" s="206" t="str">
        <f t="shared" si="40"/>
        <v/>
      </c>
      <c r="AM35" s="207" t="str">
        <f t="shared" si="40"/>
        <v/>
      </c>
      <c r="AN35" s="208" t="str">
        <f t="shared" si="40"/>
        <v/>
      </c>
      <c r="AO35" s="206" t="str">
        <f t="shared" si="40"/>
        <v/>
      </c>
      <c r="AP35" s="206" t="str">
        <f t="shared" si="40"/>
        <v/>
      </c>
      <c r="AQ35" s="207" t="str">
        <f t="shared" si="40"/>
        <v/>
      </c>
      <c r="AR35" s="208" t="str">
        <f t="shared" si="40"/>
        <v/>
      </c>
      <c r="AS35" s="206" t="str">
        <f t="shared" si="40"/>
        <v/>
      </c>
      <c r="AT35" s="206" t="str">
        <f t="shared" si="40"/>
        <v/>
      </c>
      <c r="AU35" s="207" t="str">
        <f t="shared" si="40"/>
        <v/>
      </c>
      <c r="AV35" s="208" t="str">
        <f t="shared" si="40"/>
        <v/>
      </c>
      <c r="AW35" s="206" t="str">
        <f t="shared" si="40"/>
        <v/>
      </c>
      <c r="AX35" s="206" t="str">
        <f t="shared" si="40"/>
        <v/>
      </c>
      <c r="AY35" s="207" t="str">
        <f t="shared" si="40"/>
        <v/>
      </c>
      <c r="AZ35" s="208" t="str">
        <f t="shared" si="40"/>
        <v/>
      </c>
      <c r="BA35" s="206" t="str">
        <f t="shared" si="40"/>
        <v/>
      </c>
      <c r="BB35" s="206" t="str">
        <f t="shared" si="40"/>
        <v/>
      </c>
      <c r="BC35" s="207" t="str">
        <f t="shared" si="40"/>
        <v/>
      </c>
      <c r="BD35" s="208" t="str">
        <f t="shared" si="40"/>
        <v/>
      </c>
      <c r="BE35" s="206" t="str">
        <f t="shared" si="40"/>
        <v/>
      </c>
      <c r="BF35" s="206" t="str">
        <f t="shared" si="40"/>
        <v/>
      </c>
      <c r="BG35" s="207" t="str">
        <f t="shared" si="40"/>
        <v/>
      </c>
      <c r="BH35" s="208" t="str">
        <f t="shared" si="40"/>
        <v/>
      </c>
      <c r="BI35" s="206" t="str">
        <f t="shared" si="40"/>
        <v/>
      </c>
      <c r="BJ35" s="206" t="str">
        <f t="shared" si="40"/>
        <v/>
      </c>
      <c r="BK35" s="207" t="str">
        <f t="shared" si="40"/>
        <v/>
      </c>
      <c r="BL35" s="208" t="str">
        <f t="shared" si="40"/>
        <v/>
      </c>
      <c r="BM35" s="206" t="str">
        <f t="shared" si="40"/>
        <v/>
      </c>
      <c r="BN35" s="206" t="str">
        <f t="shared" si="40"/>
        <v/>
      </c>
      <c r="BO35" s="207" t="str">
        <f t="shared" si="40"/>
        <v/>
      </c>
      <c r="BP35" s="208" t="str">
        <f t="shared" si="25"/>
        <v/>
      </c>
      <c r="BQ35" s="206" t="str">
        <f t="shared" si="25"/>
        <v/>
      </c>
      <c r="BR35" s="206" t="str">
        <f t="shared" si="25"/>
        <v/>
      </c>
      <c r="BS35" s="207" t="str">
        <f t="shared" si="25"/>
        <v/>
      </c>
      <c r="BT35" s="208" t="str">
        <f t="shared" si="25"/>
        <v/>
      </c>
      <c r="BU35" s="206" t="str">
        <f t="shared" si="25"/>
        <v/>
      </c>
      <c r="BV35" s="206" t="str">
        <f t="shared" si="25"/>
        <v/>
      </c>
      <c r="BW35" s="207" t="str">
        <f t="shared" si="25"/>
        <v/>
      </c>
      <c r="BX35" s="208" t="str">
        <f t="shared" si="25"/>
        <v/>
      </c>
      <c r="BY35" s="206" t="str">
        <f t="shared" si="25"/>
        <v/>
      </c>
      <c r="BZ35" s="206" t="str">
        <f t="shared" si="25"/>
        <v/>
      </c>
      <c r="CA35" s="207" t="str">
        <f t="shared" si="25"/>
        <v/>
      </c>
      <c r="CB35" s="208" t="str">
        <f t="shared" si="25"/>
        <v/>
      </c>
      <c r="CC35" s="206" t="str">
        <f t="shared" si="25"/>
        <v/>
      </c>
      <c r="CD35" s="206" t="str">
        <f t="shared" si="25"/>
        <v/>
      </c>
      <c r="CE35" s="207" t="str">
        <f t="shared" si="25"/>
        <v/>
      </c>
    </row>
    <row r="36" spans="1:87" ht="18" customHeight="1">
      <c r="A36" s="22">
        <f>+TABELLA!I40</f>
        <v>0</v>
      </c>
      <c r="B36" s="22">
        <f>+TABELLA!J40</f>
        <v>0</v>
      </c>
      <c r="C36" s="22">
        <f>+TABELLA!K40</f>
        <v>0</v>
      </c>
      <c r="D36" s="22">
        <f>+TABELLA!L40</f>
        <v>0</v>
      </c>
      <c r="E36" s="22"/>
      <c r="F36" s="26">
        <f>IF(TABELLA!B40="","",TABELLA!B40)</f>
        <v>4</v>
      </c>
      <c r="G36" s="27" t="str">
        <f>IF(TABELLA!C40="","",TABELLA!C40)</f>
        <v>LO BELLO ENRICHETTA</v>
      </c>
      <c r="H36" s="203" t="str">
        <f t="shared" ref="H36:V36" si="43">IF(AND(G$3&gt;=$A36,G$3&lt;$B36),1,IF(AND(G$3&gt;=$C36,G$3&lt;$D36),1,""))</f>
        <v/>
      </c>
      <c r="I36" s="203" t="str">
        <f t="shared" si="43"/>
        <v/>
      </c>
      <c r="J36" s="203" t="str">
        <f t="shared" si="43"/>
        <v/>
      </c>
      <c r="K36" s="204" t="str">
        <f t="shared" si="43"/>
        <v/>
      </c>
      <c r="L36" s="205" t="str">
        <f t="shared" si="43"/>
        <v/>
      </c>
      <c r="M36" s="203" t="str">
        <f t="shared" si="43"/>
        <v/>
      </c>
      <c r="N36" s="203" t="str">
        <f t="shared" si="43"/>
        <v/>
      </c>
      <c r="O36" s="204" t="str">
        <f t="shared" si="43"/>
        <v/>
      </c>
      <c r="P36" s="205" t="str">
        <f t="shared" si="43"/>
        <v/>
      </c>
      <c r="Q36" s="203" t="str">
        <f t="shared" si="43"/>
        <v/>
      </c>
      <c r="R36" s="203" t="str">
        <f t="shared" si="43"/>
        <v/>
      </c>
      <c r="S36" s="204" t="str">
        <f t="shared" si="43"/>
        <v/>
      </c>
      <c r="T36" s="205" t="str">
        <f t="shared" si="43"/>
        <v/>
      </c>
      <c r="U36" s="203" t="str">
        <f t="shared" si="43"/>
        <v/>
      </c>
      <c r="V36" s="203" t="str">
        <f t="shared" si="43"/>
        <v/>
      </c>
      <c r="W36" s="204" t="str">
        <f t="shared" si="24"/>
        <v/>
      </c>
      <c r="X36" s="205" t="str">
        <f t="shared" si="40"/>
        <v/>
      </c>
      <c r="Y36" s="203" t="str">
        <f t="shared" si="40"/>
        <v/>
      </c>
      <c r="Z36" s="203" t="str">
        <f t="shared" si="40"/>
        <v/>
      </c>
      <c r="AA36" s="204" t="str">
        <f t="shared" si="40"/>
        <v/>
      </c>
      <c r="AB36" s="205" t="str">
        <f t="shared" si="40"/>
        <v/>
      </c>
      <c r="AC36" s="203" t="str">
        <f t="shared" si="40"/>
        <v/>
      </c>
      <c r="AD36" s="203" t="str">
        <f t="shared" si="40"/>
        <v/>
      </c>
      <c r="AE36" s="204" t="str">
        <f t="shared" si="40"/>
        <v/>
      </c>
      <c r="AF36" s="205" t="str">
        <f t="shared" si="40"/>
        <v/>
      </c>
      <c r="AG36" s="203" t="str">
        <f t="shared" si="40"/>
        <v/>
      </c>
      <c r="AH36" s="203" t="str">
        <f t="shared" si="40"/>
        <v/>
      </c>
      <c r="AI36" s="204" t="str">
        <f t="shared" si="40"/>
        <v/>
      </c>
      <c r="AJ36" s="205" t="str">
        <f t="shared" si="40"/>
        <v/>
      </c>
      <c r="AK36" s="203" t="str">
        <f t="shared" si="40"/>
        <v/>
      </c>
      <c r="AL36" s="203" t="str">
        <f t="shared" si="40"/>
        <v/>
      </c>
      <c r="AM36" s="204" t="str">
        <f t="shared" si="40"/>
        <v/>
      </c>
      <c r="AN36" s="205" t="str">
        <f t="shared" si="40"/>
        <v/>
      </c>
      <c r="AO36" s="203" t="str">
        <f t="shared" si="40"/>
        <v/>
      </c>
      <c r="AP36" s="203" t="str">
        <f t="shared" si="40"/>
        <v/>
      </c>
      <c r="AQ36" s="204" t="str">
        <f t="shared" si="40"/>
        <v/>
      </c>
      <c r="AR36" s="205" t="str">
        <f t="shared" si="40"/>
        <v/>
      </c>
      <c r="AS36" s="203" t="str">
        <f t="shared" si="40"/>
        <v/>
      </c>
      <c r="AT36" s="203" t="str">
        <f t="shared" si="40"/>
        <v/>
      </c>
      <c r="AU36" s="204" t="str">
        <f t="shared" si="40"/>
        <v/>
      </c>
      <c r="AV36" s="205" t="str">
        <f t="shared" si="40"/>
        <v/>
      </c>
      <c r="AW36" s="203" t="str">
        <f t="shared" si="40"/>
        <v/>
      </c>
      <c r="AX36" s="203" t="str">
        <f t="shared" si="40"/>
        <v/>
      </c>
      <c r="AY36" s="204" t="str">
        <f t="shared" si="40"/>
        <v/>
      </c>
      <c r="AZ36" s="205" t="str">
        <f t="shared" si="40"/>
        <v/>
      </c>
      <c r="BA36" s="203" t="str">
        <f t="shared" si="40"/>
        <v/>
      </c>
      <c r="BB36" s="203" t="str">
        <f t="shared" si="40"/>
        <v/>
      </c>
      <c r="BC36" s="204" t="str">
        <f t="shared" si="40"/>
        <v/>
      </c>
      <c r="BD36" s="205" t="str">
        <f t="shared" si="40"/>
        <v/>
      </c>
      <c r="BE36" s="203" t="str">
        <f t="shared" si="40"/>
        <v/>
      </c>
      <c r="BF36" s="203" t="str">
        <f t="shared" si="40"/>
        <v/>
      </c>
      <c r="BG36" s="204" t="str">
        <f t="shared" si="40"/>
        <v/>
      </c>
      <c r="BH36" s="205" t="str">
        <f t="shared" si="40"/>
        <v/>
      </c>
      <c r="BI36" s="203" t="str">
        <f t="shared" si="40"/>
        <v/>
      </c>
      <c r="BJ36" s="203" t="str">
        <f t="shared" si="40"/>
        <v/>
      </c>
      <c r="BK36" s="204" t="str">
        <f t="shared" si="40"/>
        <v/>
      </c>
      <c r="BL36" s="205" t="str">
        <f t="shared" si="40"/>
        <v/>
      </c>
      <c r="BM36" s="203" t="str">
        <f t="shared" si="40"/>
        <v/>
      </c>
      <c r="BN36" s="203" t="str">
        <f t="shared" si="40"/>
        <v/>
      </c>
      <c r="BO36" s="204" t="str">
        <f t="shared" si="40"/>
        <v/>
      </c>
      <c r="BP36" s="205" t="str">
        <f t="shared" si="25"/>
        <v/>
      </c>
      <c r="BQ36" s="203" t="str">
        <f t="shared" si="25"/>
        <v/>
      </c>
      <c r="BR36" s="203" t="str">
        <f t="shared" si="25"/>
        <v/>
      </c>
      <c r="BS36" s="204" t="str">
        <f t="shared" si="25"/>
        <v/>
      </c>
      <c r="BT36" s="205" t="str">
        <f t="shared" si="25"/>
        <v/>
      </c>
      <c r="BU36" s="203" t="str">
        <f t="shared" si="25"/>
        <v/>
      </c>
      <c r="BV36" s="203" t="str">
        <f t="shared" si="25"/>
        <v/>
      </c>
      <c r="BW36" s="204" t="str">
        <f t="shared" si="25"/>
        <v/>
      </c>
      <c r="BX36" s="205" t="str">
        <f t="shared" si="25"/>
        <v/>
      </c>
      <c r="BY36" s="203" t="str">
        <f t="shared" si="25"/>
        <v/>
      </c>
      <c r="BZ36" s="203" t="str">
        <f t="shared" si="25"/>
        <v/>
      </c>
      <c r="CA36" s="204" t="str">
        <f t="shared" si="25"/>
        <v/>
      </c>
      <c r="CB36" s="205" t="str">
        <f t="shared" si="25"/>
        <v/>
      </c>
      <c r="CC36" s="203" t="str">
        <f t="shared" si="25"/>
        <v/>
      </c>
      <c r="CD36" s="203" t="str">
        <f t="shared" si="25"/>
        <v/>
      </c>
      <c r="CE36" s="204" t="str">
        <f t="shared" si="25"/>
        <v/>
      </c>
    </row>
    <row r="37" spans="1:87" ht="18" customHeight="1">
      <c r="A37" s="22">
        <f>+TABELLA!I41</f>
        <v>0</v>
      </c>
      <c r="B37" s="22">
        <f>+TABELLA!J41</f>
        <v>0</v>
      </c>
      <c r="C37" s="22">
        <f>+TABELLA!K41</f>
        <v>0</v>
      </c>
      <c r="D37" s="22">
        <f>+TABELLA!L41</f>
        <v>0</v>
      </c>
      <c r="E37" s="22"/>
      <c r="F37" s="41">
        <f>IF(TABELLA!B41="","",TABELLA!B41)</f>
        <v>4</v>
      </c>
      <c r="G37" s="42" t="str">
        <f>IF(TABELLA!C41="","",TABELLA!C41)</f>
        <v/>
      </c>
      <c r="H37" s="206" t="str">
        <f t="shared" ref="H37:V37" si="44">IF(AND(G$3&gt;=$A37,G$3&lt;$B37),1,IF(AND(G$3&gt;=$C37,G$3&lt;$D37),1,""))</f>
        <v/>
      </c>
      <c r="I37" s="206" t="str">
        <f t="shared" si="44"/>
        <v/>
      </c>
      <c r="J37" s="206" t="str">
        <f t="shared" si="44"/>
        <v/>
      </c>
      <c r="K37" s="207" t="str">
        <f t="shared" si="44"/>
        <v/>
      </c>
      <c r="L37" s="208" t="str">
        <f t="shared" si="44"/>
        <v/>
      </c>
      <c r="M37" s="206" t="str">
        <f t="shared" si="44"/>
        <v/>
      </c>
      <c r="N37" s="206" t="str">
        <f t="shared" si="44"/>
        <v/>
      </c>
      <c r="O37" s="207" t="str">
        <f t="shared" si="44"/>
        <v/>
      </c>
      <c r="P37" s="208" t="str">
        <f t="shared" si="44"/>
        <v/>
      </c>
      <c r="Q37" s="206" t="str">
        <f t="shared" si="44"/>
        <v/>
      </c>
      <c r="R37" s="206" t="str">
        <f t="shared" si="44"/>
        <v/>
      </c>
      <c r="S37" s="207" t="str">
        <f t="shared" si="44"/>
        <v/>
      </c>
      <c r="T37" s="208" t="str">
        <f t="shared" si="44"/>
        <v/>
      </c>
      <c r="U37" s="206" t="str">
        <f t="shared" si="44"/>
        <v/>
      </c>
      <c r="V37" s="206" t="str">
        <f t="shared" si="44"/>
        <v/>
      </c>
      <c r="W37" s="207" t="str">
        <f t="shared" ref="W37:BO42" si="45">IF(AND(V$3&gt;=$A37,V$3&lt;$B37),1,IF(AND(V$3&gt;=$C37,V$3&lt;$D37),1,""))</f>
        <v/>
      </c>
      <c r="X37" s="208" t="str">
        <f t="shared" si="45"/>
        <v/>
      </c>
      <c r="Y37" s="206" t="str">
        <f t="shared" si="45"/>
        <v/>
      </c>
      <c r="Z37" s="206" t="str">
        <f t="shared" si="45"/>
        <v/>
      </c>
      <c r="AA37" s="207" t="str">
        <f t="shared" si="45"/>
        <v/>
      </c>
      <c r="AB37" s="208" t="str">
        <f t="shared" si="45"/>
        <v/>
      </c>
      <c r="AC37" s="206" t="str">
        <f t="shared" si="45"/>
        <v/>
      </c>
      <c r="AD37" s="206" t="str">
        <f t="shared" si="45"/>
        <v/>
      </c>
      <c r="AE37" s="207" t="str">
        <f t="shared" si="45"/>
        <v/>
      </c>
      <c r="AF37" s="208" t="str">
        <f t="shared" si="45"/>
        <v/>
      </c>
      <c r="AG37" s="206" t="str">
        <f t="shared" si="45"/>
        <v/>
      </c>
      <c r="AH37" s="206" t="str">
        <f t="shared" si="45"/>
        <v/>
      </c>
      <c r="AI37" s="207" t="str">
        <f t="shared" si="45"/>
        <v/>
      </c>
      <c r="AJ37" s="208" t="str">
        <f t="shared" si="45"/>
        <v/>
      </c>
      <c r="AK37" s="206" t="str">
        <f t="shared" si="45"/>
        <v/>
      </c>
      <c r="AL37" s="206" t="str">
        <f t="shared" si="45"/>
        <v/>
      </c>
      <c r="AM37" s="207" t="str">
        <f t="shared" si="45"/>
        <v/>
      </c>
      <c r="AN37" s="208" t="str">
        <f t="shared" si="45"/>
        <v/>
      </c>
      <c r="AO37" s="206" t="str">
        <f t="shared" si="45"/>
        <v/>
      </c>
      <c r="AP37" s="206" t="str">
        <f t="shared" si="45"/>
        <v/>
      </c>
      <c r="AQ37" s="207" t="str">
        <f t="shared" si="45"/>
        <v/>
      </c>
      <c r="AR37" s="208" t="str">
        <f t="shared" si="45"/>
        <v/>
      </c>
      <c r="AS37" s="206" t="str">
        <f t="shared" si="45"/>
        <v/>
      </c>
      <c r="AT37" s="206" t="str">
        <f t="shared" si="45"/>
        <v/>
      </c>
      <c r="AU37" s="207" t="str">
        <f t="shared" si="45"/>
        <v/>
      </c>
      <c r="AV37" s="208" t="str">
        <f t="shared" si="45"/>
        <v/>
      </c>
      <c r="AW37" s="206" t="str">
        <f t="shared" si="45"/>
        <v/>
      </c>
      <c r="AX37" s="206" t="str">
        <f t="shared" si="45"/>
        <v/>
      </c>
      <c r="AY37" s="207" t="str">
        <f t="shared" si="45"/>
        <v/>
      </c>
      <c r="AZ37" s="208" t="str">
        <f t="shared" si="45"/>
        <v/>
      </c>
      <c r="BA37" s="206" t="str">
        <f t="shared" si="45"/>
        <v/>
      </c>
      <c r="BB37" s="206" t="str">
        <f t="shared" si="45"/>
        <v/>
      </c>
      <c r="BC37" s="207" t="str">
        <f t="shared" si="45"/>
        <v/>
      </c>
      <c r="BD37" s="208" t="str">
        <f t="shared" si="45"/>
        <v/>
      </c>
      <c r="BE37" s="206" t="str">
        <f t="shared" si="45"/>
        <v/>
      </c>
      <c r="BF37" s="206" t="str">
        <f t="shared" si="45"/>
        <v/>
      </c>
      <c r="BG37" s="207" t="str">
        <f t="shared" si="45"/>
        <v/>
      </c>
      <c r="BH37" s="208" t="str">
        <f t="shared" si="45"/>
        <v/>
      </c>
      <c r="BI37" s="206" t="str">
        <f t="shared" si="45"/>
        <v/>
      </c>
      <c r="BJ37" s="206" t="str">
        <f t="shared" si="45"/>
        <v/>
      </c>
      <c r="BK37" s="207" t="str">
        <f t="shared" si="45"/>
        <v/>
      </c>
      <c r="BL37" s="208" t="str">
        <f t="shared" si="45"/>
        <v/>
      </c>
      <c r="BM37" s="206" t="str">
        <f t="shared" si="45"/>
        <v/>
      </c>
      <c r="BN37" s="206" t="str">
        <f t="shared" si="45"/>
        <v/>
      </c>
      <c r="BO37" s="207" t="str">
        <f t="shared" si="45"/>
        <v/>
      </c>
      <c r="BP37" s="208" t="str">
        <f t="shared" si="25"/>
        <v/>
      </c>
      <c r="BQ37" s="206" t="str">
        <f t="shared" si="25"/>
        <v/>
      </c>
      <c r="BR37" s="206" t="str">
        <f t="shared" si="25"/>
        <v/>
      </c>
      <c r="BS37" s="207" t="str">
        <f t="shared" si="25"/>
        <v/>
      </c>
      <c r="BT37" s="208" t="str">
        <f t="shared" si="25"/>
        <v/>
      </c>
      <c r="BU37" s="206" t="str">
        <f t="shared" si="25"/>
        <v/>
      </c>
      <c r="BV37" s="206" t="str">
        <f t="shared" si="25"/>
        <v/>
      </c>
      <c r="BW37" s="207" t="str">
        <f t="shared" si="25"/>
        <v/>
      </c>
      <c r="BX37" s="208" t="str">
        <f t="shared" si="25"/>
        <v/>
      </c>
      <c r="BY37" s="206" t="str">
        <f t="shared" si="25"/>
        <v/>
      </c>
      <c r="BZ37" s="206" t="str">
        <f t="shared" si="25"/>
        <v/>
      </c>
      <c r="CA37" s="207" t="str">
        <f t="shared" si="25"/>
        <v/>
      </c>
      <c r="CB37" s="208" t="str">
        <f t="shared" si="25"/>
        <v/>
      </c>
      <c r="CC37" s="206" t="str">
        <f t="shared" si="25"/>
        <v/>
      </c>
      <c r="CD37" s="206" t="str">
        <f t="shared" si="25"/>
        <v/>
      </c>
      <c r="CE37" s="207" t="str">
        <f>IF(AND(CD$3&gt;=$A37,CD$3&lt;$B37),1,IF(AND(CD$3&gt;=$C37,CD$3&lt;$D37),1,""))</f>
        <v/>
      </c>
    </row>
    <row r="38" spans="1:87" ht="18" customHeight="1">
      <c r="A38" s="22">
        <f>+TABELLA!I42</f>
        <v>0</v>
      </c>
      <c r="B38" s="22">
        <f>+TABELLA!J42</f>
        <v>0</v>
      </c>
      <c r="C38" s="22">
        <f>+TABELLA!K42</f>
        <v>0</v>
      </c>
      <c r="D38" s="22">
        <f>+TABELLA!L42</f>
        <v>0</v>
      </c>
      <c r="E38" s="22"/>
      <c r="F38" s="26">
        <f>IF(TABELLA!B42="","",TABELLA!B42)</f>
        <v>4</v>
      </c>
      <c r="G38" s="27" t="str">
        <f>IF(TABELLA!C42="","",TABELLA!C42)</f>
        <v>BOLZONELLO MARCO</v>
      </c>
      <c r="H38" s="203" t="str">
        <f t="shared" ref="H38:V38" si="46">IF(AND(G$3&gt;=$A38,G$3&lt;$B38),1,IF(AND(G$3&gt;=$C38,G$3&lt;$D38),1,""))</f>
        <v/>
      </c>
      <c r="I38" s="203" t="str">
        <f t="shared" si="46"/>
        <v/>
      </c>
      <c r="J38" s="203" t="str">
        <f t="shared" si="46"/>
        <v/>
      </c>
      <c r="K38" s="204" t="str">
        <f t="shared" si="46"/>
        <v/>
      </c>
      <c r="L38" s="205" t="str">
        <f t="shared" si="46"/>
        <v/>
      </c>
      <c r="M38" s="203" t="str">
        <f t="shared" si="46"/>
        <v/>
      </c>
      <c r="N38" s="203" t="str">
        <f t="shared" si="46"/>
        <v/>
      </c>
      <c r="O38" s="204" t="str">
        <f t="shared" si="46"/>
        <v/>
      </c>
      <c r="P38" s="205" t="str">
        <f t="shared" si="46"/>
        <v/>
      </c>
      <c r="Q38" s="203" t="str">
        <f t="shared" si="46"/>
        <v/>
      </c>
      <c r="R38" s="203" t="str">
        <f t="shared" si="46"/>
        <v/>
      </c>
      <c r="S38" s="204" t="str">
        <f t="shared" si="46"/>
        <v/>
      </c>
      <c r="T38" s="205" t="str">
        <f t="shared" si="46"/>
        <v/>
      </c>
      <c r="U38" s="203" t="str">
        <f t="shared" si="46"/>
        <v/>
      </c>
      <c r="V38" s="203" t="str">
        <f t="shared" si="46"/>
        <v/>
      </c>
      <c r="W38" s="204" t="str">
        <f t="shared" ref="W38:W45" si="47">IF(AND(V$3&gt;=$A38,V$3&lt;$B38),1,IF(AND(V$3&gt;=$C38,V$3&lt;$D38),1,""))</f>
        <v/>
      </c>
      <c r="X38" s="205" t="str">
        <f t="shared" si="45"/>
        <v/>
      </c>
      <c r="Y38" s="203" t="str">
        <f t="shared" si="45"/>
        <v/>
      </c>
      <c r="Z38" s="203" t="str">
        <f t="shared" si="45"/>
        <v/>
      </c>
      <c r="AA38" s="204" t="str">
        <f t="shared" si="45"/>
        <v/>
      </c>
      <c r="AB38" s="205" t="str">
        <f t="shared" si="45"/>
        <v/>
      </c>
      <c r="AC38" s="203" t="str">
        <f t="shared" si="45"/>
        <v/>
      </c>
      <c r="AD38" s="203" t="str">
        <f t="shared" si="45"/>
        <v/>
      </c>
      <c r="AE38" s="204" t="str">
        <f t="shared" si="45"/>
        <v/>
      </c>
      <c r="AF38" s="205" t="str">
        <f t="shared" si="45"/>
        <v/>
      </c>
      <c r="AG38" s="203" t="str">
        <f t="shared" si="45"/>
        <v/>
      </c>
      <c r="AH38" s="203" t="str">
        <f t="shared" si="45"/>
        <v/>
      </c>
      <c r="AI38" s="204" t="str">
        <f t="shared" si="45"/>
        <v/>
      </c>
      <c r="AJ38" s="205" t="str">
        <f t="shared" si="45"/>
        <v/>
      </c>
      <c r="AK38" s="203" t="str">
        <f t="shared" si="45"/>
        <v/>
      </c>
      <c r="AL38" s="203" t="str">
        <f t="shared" si="45"/>
        <v/>
      </c>
      <c r="AM38" s="204" t="str">
        <f t="shared" si="45"/>
        <v/>
      </c>
      <c r="AN38" s="205" t="str">
        <f t="shared" si="45"/>
        <v/>
      </c>
      <c r="AO38" s="203" t="str">
        <f t="shared" si="45"/>
        <v/>
      </c>
      <c r="AP38" s="203" t="str">
        <f t="shared" si="45"/>
        <v/>
      </c>
      <c r="AQ38" s="204" t="str">
        <f t="shared" si="45"/>
        <v/>
      </c>
      <c r="AR38" s="205" t="str">
        <f t="shared" si="45"/>
        <v/>
      </c>
      <c r="AS38" s="203" t="str">
        <f t="shared" si="45"/>
        <v/>
      </c>
      <c r="AT38" s="203" t="str">
        <f t="shared" si="45"/>
        <v/>
      </c>
      <c r="AU38" s="204" t="str">
        <f t="shared" si="45"/>
        <v/>
      </c>
      <c r="AV38" s="205" t="str">
        <f t="shared" si="45"/>
        <v/>
      </c>
      <c r="AW38" s="203" t="str">
        <f t="shared" si="45"/>
        <v/>
      </c>
      <c r="AX38" s="203" t="str">
        <f t="shared" si="45"/>
        <v/>
      </c>
      <c r="AY38" s="204" t="str">
        <f t="shared" si="45"/>
        <v/>
      </c>
      <c r="AZ38" s="205" t="str">
        <f t="shared" si="45"/>
        <v/>
      </c>
      <c r="BA38" s="203" t="str">
        <f t="shared" si="45"/>
        <v/>
      </c>
      <c r="BB38" s="203" t="str">
        <f t="shared" si="45"/>
        <v/>
      </c>
      <c r="BC38" s="204" t="str">
        <f t="shared" si="45"/>
        <v/>
      </c>
      <c r="BD38" s="205" t="str">
        <f t="shared" si="45"/>
        <v/>
      </c>
      <c r="BE38" s="203" t="str">
        <f t="shared" si="45"/>
        <v/>
      </c>
      <c r="BF38" s="203" t="str">
        <f t="shared" si="45"/>
        <v/>
      </c>
      <c r="BG38" s="204" t="str">
        <f t="shared" si="45"/>
        <v/>
      </c>
      <c r="BH38" s="205" t="str">
        <f t="shared" si="45"/>
        <v/>
      </c>
      <c r="BI38" s="203" t="str">
        <f t="shared" si="45"/>
        <v/>
      </c>
      <c r="BJ38" s="203" t="str">
        <f t="shared" si="45"/>
        <v/>
      </c>
      <c r="BK38" s="204" t="str">
        <f t="shared" si="45"/>
        <v/>
      </c>
      <c r="BL38" s="205" t="str">
        <f t="shared" si="45"/>
        <v/>
      </c>
      <c r="BM38" s="203" t="str">
        <f t="shared" si="45"/>
        <v/>
      </c>
      <c r="BN38" s="203" t="str">
        <f t="shared" si="45"/>
        <v/>
      </c>
      <c r="BO38" s="204" t="str">
        <f t="shared" si="45"/>
        <v/>
      </c>
      <c r="BP38" s="205" t="str">
        <f t="shared" ref="BP38:CE45" si="48">IF(AND(BO$3&gt;=$A38,BO$3&lt;$B38),1,IF(AND(BO$3&gt;=$C38,BO$3&lt;$D38),1,""))</f>
        <v/>
      </c>
      <c r="BQ38" s="203" t="str">
        <f t="shared" si="48"/>
        <v/>
      </c>
      <c r="BR38" s="203" t="str">
        <f t="shared" si="48"/>
        <v/>
      </c>
      <c r="BS38" s="204" t="str">
        <f t="shared" si="48"/>
        <v/>
      </c>
      <c r="BT38" s="205" t="str">
        <f t="shared" si="48"/>
        <v/>
      </c>
      <c r="BU38" s="203" t="str">
        <f t="shared" si="48"/>
        <v/>
      </c>
      <c r="BV38" s="203" t="str">
        <f t="shared" si="48"/>
        <v/>
      </c>
      <c r="BW38" s="204" t="str">
        <f t="shared" si="48"/>
        <v/>
      </c>
      <c r="BX38" s="205" t="str">
        <f t="shared" si="48"/>
        <v/>
      </c>
      <c r="BY38" s="203" t="str">
        <f t="shared" si="48"/>
        <v/>
      </c>
      <c r="BZ38" s="203" t="str">
        <f t="shared" si="48"/>
        <v/>
      </c>
      <c r="CA38" s="204" t="str">
        <f t="shared" si="48"/>
        <v/>
      </c>
      <c r="CB38" s="205" t="str">
        <f t="shared" si="48"/>
        <v/>
      </c>
      <c r="CC38" s="203" t="str">
        <f t="shared" si="48"/>
        <v/>
      </c>
      <c r="CD38" s="203" t="str">
        <f t="shared" si="48"/>
        <v/>
      </c>
      <c r="CE38" s="204" t="str">
        <f t="shared" si="48"/>
        <v/>
      </c>
    </row>
    <row r="39" spans="1:87" ht="18" customHeight="1">
      <c r="A39" s="22">
        <f>+TABELLA!I43</f>
        <v>0</v>
      </c>
      <c r="B39" s="22">
        <f>+TABELLA!J43</f>
        <v>0</v>
      </c>
      <c r="C39" s="22">
        <f>+TABELLA!K43</f>
        <v>0</v>
      </c>
      <c r="D39" s="22">
        <f>+TABELLA!L43</f>
        <v>0</v>
      </c>
      <c r="E39" s="22"/>
      <c r="F39" s="41">
        <f>IF(TABELLA!B43="","",TABELLA!B43)</f>
        <v>4</v>
      </c>
      <c r="G39" s="42" t="str">
        <f>IF(TABELLA!C43="","",TABELLA!C43)</f>
        <v>MOCELLIN MAURIZIO</v>
      </c>
      <c r="H39" s="206" t="str">
        <f t="shared" ref="H39:V39" si="49">IF(AND(G$3&gt;=$A39,G$3&lt;$B39),1,IF(AND(G$3&gt;=$C39,G$3&lt;$D39),1,""))</f>
        <v/>
      </c>
      <c r="I39" s="206" t="str">
        <f t="shared" si="49"/>
        <v/>
      </c>
      <c r="J39" s="206" t="str">
        <f t="shared" si="49"/>
        <v/>
      </c>
      <c r="K39" s="207" t="str">
        <f t="shared" si="49"/>
        <v/>
      </c>
      <c r="L39" s="208" t="str">
        <f t="shared" si="49"/>
        <v/>
      </c>
      <c r="M39" s="206" t="str">
        <f t="shared" si="49"/>
        <v/>
      </c>
      <c r="N39" s="206" t="str">
        <f t="shared" si="49"/>
        <v/>
      </c>
      <c r="O39" s="207" t="str">
        <f t="shared" si="49"/>
        <v/>
      </c>
      <c r="P39" s="208" t="str">
        <f t="shared" si="49"/>
        <v/>
      </c>
      <c r="Q39" s="206" t="str">
        <f t="shared" si="49"/>
        <v/>
      </c>
      <c r="R39" s="206" t="str">
        <f t="shared" si="49"/>
        <v/>
      </c>
      <c r="S39" s="207" t="str">
        <f t="shared" si="49"/>
        <v/>
      </c>
      <c r="T39" s="208" t="str">
        <f t="shared" si="49"/>
        <v/>
      </c>
      <c r="U39" s="206" t="str">
        <f t="shared" si="49"/>
        <v/>
      </c>
      <c r="V39" s="206" t="str">
        <f t="shared" si="49"/>
        <v/>
      </c>
      <c r="W39" s="207" t="str">
        <f t="shared" si="47"/>
        <v/>
      </c>
      <c r="X39" s="208" t="str">
        <f t="shared" si="45"/>
        <v/>
      </c>
      <c r="Y39" s="206" t="str">
        <f t="shared" si="45"/>
        <v/>
      </c>
      <c r="Z39" s="206" t="str">
        <f t="shared" si="45"/>
        <v/>
      </c>
      <c r="AA39" s="207" t="str">
        <f t="shared" si="45"/>
        <v/>
      </c>
      <c r="AB39" s="208" t="str">
        <f t="shared" si="45"/>
        <v/>
      </c>
      <c r="AC39" s="206" t="str">
        <f t="shared" si="45"/>
        <v/>
      </c>
      <c r="AD39" s="206" t="str">
        <f t="shared" si="45"/>
        <v/>
      </c>
      <c r="AE39" s="207" t="str">
        <f t="shared" si="45"/>
        <v/>
      </c>
      <c r="AF39" s="208" t="str">
        <f t="shared" si="45"/>
        <v/>
      </c>
      <c r="AG39" s="206" t="str">
        <f t="shared" si="45"/>
        <v/>
      </c>
      <c r="AH39" s="206" t="str">
        <f t="shared" si="45"/>
        <v/>
      </c>
      <c r="AI39" s="207" t="str">
        <f t="shared" si="45"/>
        <v/>
      </c>
      <c r="AJ39" s="208" t="str">
        <f t="shared" si="45"/>
        <v/>
      </c>
      <c r="AK39" s="206" t="str">
        <f t="shared" si="45"/>
        <v/>
      </c>
      <c r="AL39" s="206" t="str">
        <f t="shared" si="45"/>
        <v/>
      </c>
      <c r="AM39" s="207" t="str">
        <f t="shared" si="45"/>
        <v/>
      </c>
      <c r="AN39" s="208" t="str">
        <f t="shared" si="45"/>
        <v/>
      </c>
      <c r="AO39" s="206" t="str">
        <f t="shared" si="45"/>
        <v/>
      </c>
      <c r="AP39" s="206" t="str">
        <f t="shared" si="45"/>
        <v/>
      </c>
      <c r="AQ39" s="207" t="str">
        <f t="shared" si="45"/>
        <v/>
      </c>
      <c r="AR39" s="208" t="str">
        <f t="shared" si="45"/>
        <v/>
      </c>
      <c r="AS39" s="206" t="str">
        <f t="shared" si="45"/>
        <v/>
      </c>
      <c r="AT39" s="206" t="str">
        <f t="shared" si="45"/>
        <v/>
      </c>
      <c r="AU39" s="207" t="str">
        <f t="shared" si="45"/>
        <v/>
      </c>
      <c r="AV39" s="208" t="str">
        <f t="shared" si="45"/>
        <v/>
      </c>
      <c r="AW39" s="206" t="str">
        <f t="shared" si="45"/>
        <v/>
      </c>
      <c r="AX39" s="206" t="str">
        <f t="shared" si="45"/>
        <v/>
      </c>
      <c r="AY39" s="207" t="str">
        <f t="shared" si="45"/>
        <v/>
      </c>
      <c r="AZ39" s="208" t="str">
        <f t="shared" si="45"/>
        <v/>
      </c>
      <c r="BA39" s="206" t="str">
        <f t="shared" si="45"/>
        <v/>
      </c>
      <c r="BB39" s="206" t="str">
        <f t="shared" si="45"/>
        <v/>
      </c>
      <c r="BC39" s="207" t="str">
        <f t="shared" si="45"/>
        <v/>
      </c>
      <c r="BD39" s="208" t="str">
        <f t="shared" si="45"/>
        <v/>
      </c>
      <c r="BE39" s="206" t="str">
        <f t="shared" si="45"/>
        <v/>
      </c>
      <c r="BF39" s="206" t="str">
        <f t="shared" si="45"/>
        <v/>
      </c>
      <c r="BG39" s="207" t="str">
        <f t="shared" si="45"/>
        <v/>
      </c>
      <c r="BH39" s="208" t="str">
        <f t="shared" si="45"/>
        <v/>
      </c>
      <c r="BI39" s="206" t="str">
        <f t="shared" si="45"/>
        <v/>
      </c>
      <c r="BJ39" s="206" t="str">
        <f t="shared" si="45"/>
        <v/>
      </c>
      <c r="BK39" s="207" t="str">
        <f t="shared" si="45"/>
        <v/>
      </c>
      <c r="BL39" s="208" t="str">
        <f t="shared" si="45"/>
        <v/>
      </c>
      <c r="BM39" s="206" t="str">
        <f t="shared" si="45"/>
        <v/>
      </c>
      <c r="BN39" s="206" t="str">
        <f t="shared" si="45"/>
        <v/>
      </c>
      <c r="BO39" s="207" t="str">
        <f t="shared" si="45"/>
        <v/>
      </c>
      <c r="BP39" s="208" t="str">
        <f t="shared" si="48"/>
        <v/>
      </c>
      <c r="BQ39" s="206" t="str">
        <f t="shared" si="48"/>
        <v/>
      </c>
      <c r="BR39" s="206" t="str">
        <f t="shared" si="48"/>
        <v/>
      </c>
      <c r="BS39" s="207" t="str">
        <f t="shared" si="48"/>
        <v/>
      </c>
      <c r="BT39" s="208" t="str">
        <f t="shared" si="48"/>
        <v/>
      </c>
      <c r="BU39" s="206" t="str">
        <f t="shared" si="48"/>
        <v/>
      </c>
      <c r="BV39" s="206" t="str">
        <f t="shared" si="48"/>
        <v/>
      </c>
      <c r="BW39" s="207" t="str">
        <f t="shared" si="48"/>
        <v/>
      </c>
      <c r="BX39" s="208" t="str">
        <f t="shared" si="48"/>
        <v/>
      </c>
      <c r="BY39" s="206" t="str">
        <f t="shared" si="48"/>
        <v/>
      </c>
      <c r="BZ39" s="206" t="str">
        <f t="shared" si="48"/>
        <v/>
      </c>
      <c r="CA39" s="207" t="str">
        <f t="shared" si="48"/>
        <v/>
      </c>
      <c r="CB39" s="208" t="str">
        <f t="shared" si="48"/>
        <v/>
      </c>
      <c r="CC39" s="206" t="str">
        <f t="shared" si="48"/>
        <v/>
      </c>
      <c r="CD39" s="206" t="str">
        <f t="shared" si="48"/>
        <v/>
      </c>
      <c r="CE39" s="207" t="str">
        <f t="shared" si="48"/>
        <v/>
      </c>
    </row>
    <row r="40" spans="1:87" ht="18" customHeight="1">
      <c r="A40" s="22">
        <f>+TABELLA!I44</f>
        <v>0</v>
      </c>
      <c r="B40" s="22">
        <f>+TABELLA!J44</f>
        <v>0</v>
      </c>
      <c r="C40" s="22">
        <f>+TABELLA!K44</f>
        <v>0</v>
      </c>
      <c r="D40" s="22">
        <f>+TABELLA!L44</f>
        <v>0</v>
      </c>
      <c r="E40" s="22"/>
      <c r="F40" s="26" t="str">
        <f>IF(TABELLA!B44="","",TABELLA!B44)</f>
        <v/>
      </c>
      <c r="G40" s="27" t="str">
        <f>IF(TABELLA!C44="","",TABELLA!C44)</f>
        <v/>
      </c>
      <c r="H40" s="203" t="str">
        <f t="shared" ref="H40:V40" si="50">IF(AND(G$3&gt;=$A40,G$3&lt;$B40),1,IF(AND(G$3&gt;=$C40,G$3&lt;$D40),1,""))</f>
        <v/>
      </c>
      <c r="I40" s="203" t="str">
        <f t="shared" si="50"/>
        <v/>
      </c>
      <c r="J40" s="203" t="str">
        <f t="shared" si="50"/>
        <v/>
      </c>
      <c r="K40" s="204" t="str">
        <f t="shared" si="50"/>
        <v/>
      </c>
      <c r="L40" s="205" t="str">
        <f t="shared" si="50"/>
        <v/>
      </c>
      <c r="M40" s="203" t="str">
        <f t="shared" si="50"/>
        <v/>
      </c>
      <c r="N40" s="203" t="str">
        <f t="shared" si="50"/>
        <v/>
      </c>
      <c r="O40" s="204" t="str">
        <f t="shared" si="50"/>
        <v/>
      </c>
      <c r="P40" s="205" t="str">
        <f t="shared" si="50"/>
        <v/>
      </c>
      <c r="Q40" s="203" t="str">
        <f t="shared" si="50"/>
        <v/>
      </c>
      <c r="R40" s="203" t="str">
        <f t="shared" si="50"/>
        <v/>
      </c>
      <c r="S40" s="204" t="str">
        <f t="shared" si="50"/>
        <v/>
      </c>
      <c r="T40" s="205" t="str">
        <f t="shared" si="50"/>
        <v/>
      </c>
      <c r="U40" s="203" t="str">
        <f t="shared" si="50"/>
        <v/>
      </c>
      <c r="V40" s="203" t="str">
        <f t="shared" si="50"/>
        <v/>
      </c>
      <c r="W40" s="204" t="str">
        <f t="shared" si="47"/>
        <v/>
      </c>
      <c r="X40" s="205" t="str">
        <f t="shared" si="45"/>
        <v/>
      </c>
      <c r="Y40" s="203" t="str">
        <f t="shared" si="45"/>
        <v/>
      </c>
      <c r="Z40" s="203" t="str">
        <f t="shared" si="45"/>
        <v/>
      </c>
      <c r="AA40" s="204" t="str">
        <f t="shared" si="45"/>
        <v/>
      </c>
      <c r="AB40" s="205" t="str">
        <f t="shared" si="45"/>
        <v/>
      </c>
      <c r="AC40" s="203" t="str">
        <f t="shared" si="45"/>
        <v/>
      </c>
      <c r="AD40" s="203" t="str">
        <f t="shared" si="45"/>
        <v/>
      </c>
      <c r="AE40" s="204" t="str">
        <f t="shared" si="45"/>
        <v/>
      </c>
      <c r="AF40" s="205" t="str">
        <f t="shared" si="45"/>
        <v/>
      </c>
      <c r="AG40" s="203" t="str">
        <f t="shared" si="45"/>
        <v/>
      </c>
      <c r="AH40" s="203" t="str">
        <f t="shared" si="45"/>
        <v/>
      </c>
      <c r="AI40" s="204" t="str">
        <f t="shared" si="45"/>
        <v/>
      </c>
      <c r="AJ40" s="205" t="str">
        <f t="shared" si="45"/>
        <v/>
      </c>
      <c r="AK40" s="203" t="str">
        <f t="shared" si="45"/>
        <v/>
      </c>
      <c r="AL40" s="203" t="str">
        <f t="shared" si="45"/>
        <v/>
      </c>
      <c r="AM40" s="204" t="str">
        <f t="shared" si="45"/>
        <v/>
      </c>
      <c r="AN40" s="205" t="str">
        <f t="shared" si="45"/>
        <v/>
      </c>
      <c r="AO40" s="203" t="str">
        <f t="shared" si="45"/>
        <v/>
      </c>
      <c r="AP40" s="203" t="str">
        <f t="shared" si="45"/>
        <v/>
      </c>
      <c r="AQ40" s="204" t="str">
        <f t="shared" si="45"/>
        <v/>
      </c>
      <c r="AR40" s="205" t="str">
        <f t="shared" si="45"/>
        <v/>
      </c>
      <c r="AS40" s="203" t="str">
        <f t="shared" si="45"/>
        <v/>
      </c>
      <c r="AT40" s="203" t="str">
        <f t="shared" si="45"/>
        <v/>
      </c>
      <c r="AU40" s="204" t="str">
        <f t="shared" si="45"/>
        <v/>
      </c>
      <c r="AV40" s="205" t="str">
        <f t="shared" si="45"/>
        <v/>
      </c>
      <c r="AW40" s="203" t="str">
        <f t="shared" si="45"/>
        <v/>
      </c>
      <c r="AX40" s="203" t="str">
        <f t="shared" si="45"/>
        <v/>
      </c>
      <c r="AY40" s="204" t="str">
        <f t="shared" si="45"/>
        <v/>
      </c>
      <c r="AZ40" s="205" t="str">
        <f t="shared" si="45"/>
        <v/>
      </c>
      <c r="BA40" s="203" t="str">
        <f t="shared" si="45"/>
        <v/>
      </c>
      <c r="BB40" s="203" t="str">
        <f t="shared" si="45"/>
        <v/>
      </c>
      <c r="BC40" s="204" t="str">
        <f t="shared" si="45"/>
        <v/>
      </c>
      <c r="BD40" s="205" t="str">
        <f t="shared" si="45"/>
        <v/>
      </c>
      <c r="BE40" s="203" t="str">
        <f t="shared" si="45"/>
        <v/>
      </c>
      <c r="BF40" s="203" t="str">
        <f t="shared" si="45"/>
        <v/>
      </c>
      <c r="BG40" s="204" t="str">
        <f t="shared" si="45"/>
        <v/>
      </c>
      <c r="BH40" s="205" t="str">
        <f t="shared" si="45"/>
        <v/>
      </c>
      <c r="BI40" s="203" t="str">
        <f t="shared" si="45"/>
        <v/>
      </c>
      <c r="BJ40" s="203" t="str">
        <f t="shared" si="45"/>
        <v/>
      </c>
      <c r="BK40" s="204" t="str">
        <f t="shared" si="45"/>
        <v/>
      </c>
      <c r="BL40" s="205" t="str">
        <f t="shared" si="45"/>
        <v/>
      </c>
      <c r="BM40" s="203" t="str">
        <f t="shared" si="45"/>
        <v/>
      </c>
      <c r="BN40" s="203" t="str">
        <f t="shared" si="45"/>
        <v/>
      </c>
      <c r="BO40" s="204" t="str">
        <f t="shared" si="45"/>
        <v/>
      </c>
      <c r="BP40" s="205" t="str">
        <f t="shared" si="48"/>
        <v/>
      </c>
      <c r="BQ40" s="203" t="str">
        <f t="shared" si="48"/>
        <v/>
      </c>
      <c r="BR40" s="203" t="str">
        <f t="shared" si="48"/>
        <v/>
      </c>
      <c r="BS40" s="204" t="str">
        <f t="shared" si="48"/>
        <v/>
      </c>
      <c r="BT40" s="205" t="str">
        <f t="shared" si="48"/>
        <v/>
      </c>
      <c r="BU40" s="203" t="str">
        <f t="shared" si="48"/>
        <v/>
      </c>
      <c r="BV40" s="203" t="str">
        <f t="shared" si="48"/>
        <v/>
      </c>
      <c r="BW40" s="204" t="str">
        <f t="shared" si="48"/>
        <v/>
      </c>
      <c r="BX40" s="205" t="str">
        <f t="shared" si="48"/>
        <v/>
      </c>
      <c r="BY40" s="203" t="str">
        <f t="shared" si="48"/>
        <v/>
      </c>
      <c r="BZ40" s="203" t="str">
        <f t="shared" si="48"/>
        <v/>
      </c>
      <c r="CA40" s="204" t="str">
        <f t="shared" si="48"/>
        <v/>
      </c>
      <c r="CB40" s="205" t="str">
        <f t="shared" si="48"/>
        <v/>
      </c>
      <c r="CC40" s="203" t="str">
        <f t="shared" si="48"/>
        <v/>
      </c>
      <c r="CD40" s="203" t="str">
        <f t="shared" si="48"/>
        <v/>
      </c>
      <c r="CE40" s="204" t="str">
        <f t="shared" si="48"/>
        <v/>
      </c>
    </row>
    <row r="41" spans="1:87" ht="18" customHeight="1">
      <c r="A41" s="22">
        <f>+TABELLA!I45</f>
        <v>0</v>
      </c>
      <c r="B41" s="22">
        <f>+TABELLA!J45</f>
        <v>0</v>
      </c>
      <c r="C41" s="22">
        <f>+TABELLA!K45</f>
        <v>0</v>
      </c>
      <c r="D41" s="22">
        <f>+TABELLA!L45</f>
        <v>0</v>
      </c>
      <c r="E41" s="22"/>
      <c r="F41" s="41">
        <f>IF(TABELLA!B45="","",TABELLA!B45)</f>
        <v>9</v>
      </c>
      <c r="G41" s="42" t="str">
        <f>IF(TABELLA!C45="","",TABELLA!C45)</f>
        <v>CANELLA PAOLO</v>
      </c>
      <c r="H41" s="206" t="str">
        <f t="shared" ref="H41:V41" si="51">IF(AND(G$3&gt;=$A41,G$3&lt;$B41),1,IF(AND(G$3&gt;=$C41,G$3&lt;$D41),1,""))</f>
        <v/>
      </c>
      <c r="I41" s="206" t="str">
        <f t="shared" si="51"/>
        <v/>
      </c>
      <c r="J41" s="206" t="str">
        <f t="shared" si="51"/>
        <v/>
      </c>
      <c r="K41" s="207" t="str">
        <f t="shared" si="51"/>
        <v/>
      </c>
      <c r="L41" s="208" t="str">
        <f t="shared" si="51"/>
        <v/>
      </c>
      <c r="M41" s="206" t="str">
        <f t="shared" si="51"/>
        <v/>
      </c>
      <c r="N41" s="206" t="str">
        <f t="shared" si="51"/>
        <v/>
      </c>
      <c r="O41" s="207" t="str">
        <f t="shared" si="51"/>
        <v/>
      </c>
      <c r="P41" s="208" t="str">
        <f t="shared" si="51"/>
        <v/>
      </c>
      <c r="Q41" s="206" t="str">
        <f t="shared" si="51"/>
        <v/>
      </c>
      <c r="R41" s="206" t="str">
        <f t="shared" si="51"/>
        <v/>
      </c>
      <c r="S41" s="207" t="str">
        <f t="shared" si="51"/>
        <v/>
      </c>
      <c r="T41" s="208" t="str">
        <f t="shared" si="51"/>
        <v/>
      </c>
      <c r="U41" s="206" t="str">
        <f t="shared" si="51"/>
        <v/>
      </c>
      <c r="V41" s="206" t="str">
        <f t="shared" si="51"/>
        <v/>
      </c>
      <c r="W41" s="207" t="str">
        <f t="shared" si="47"/>
        <v/>
      </c>
      <c r="X41" s="208" t="str">
        <f t="shared" si="45"/>
        <v/>
      </c>
      <c r="Y41" s="206" t="str">
        <f t="shared" si="45"/>
        <v/>
      </c>
      <c r="Z41" s="206" t="str">
        <f t="shared" si="45"/>
        <v/>
      </c>
      <c r="AA41" s="207" t="str">
        <f t="shared" si="45"/>
        <v/>
      </c>
      <c r="AB41" s="208" t="str">
        <f t="shared" si="45"/>
        <v/>
      </c>
      <c r="AC41" s="206" t="str">
        <f t="shared" si="45"/>
        <v/>
      </c>
      <c r="AD41" s="206" t="str">
        <f t="shared" si="45"/>
        <v/>
      </c>
      <c r="AE41" s="207" t="str">
        <f t="shared" si="45"/>
        <v/>
      </c>
      <c r="AF41" s="208" t="str">
        <f t="shared" si="45"/>
        <v/>
      </c>
      <c r="AG41" s="206" t="str">
        <f t="shared" si="45"/>
        <v/>
      </c>
      <c r="AH41" s="206" t="str">
        <f t="shared" si="45"/>
        <v/>
      </c>
      <c r="AI41" s="207" t="str">
        <f t="shared" si="45"/>
        <v/>
      </c>
      <c r="AJ41" s="208" t="str">
        <f t="shared" si="45"/>
        <v/>
      </c>
      <c r="AK41" s="206" t="str">
        <f t="shared" si="45"/>
        <v/>
      </c>
      <c r="AL41" s="206" t="str">
        <f t="shared" si="45"/>
        <v/>
      </c>
      <c r="AM41" s="207" t="str">
        <f t="shared" si="45"/>
        <v/>
      </c>
      <c r="AN41" s="208" t="str">
        <f t="shared" si="45"/>
        <v/>
      </c>
      <c r="AO41" s="206" t="str">
        <f t="shared" si="45"/>
        <v/>
      </c>
      <c r="AP41" s="206" t="str">
        <f t="shared" si="45"/>
        <v/>
      </c>
      <c r="AQ41" s="207" t="str">
        <f t="shared" si="45"/>
        <v/>
      </c>
      <c r="AR41" s="208" t="str">
        <f t="shared" si="45"/>
        <v/>
      </c>
      <c r="AS41" s="206" t="str">
        <f t="shared" si="45"/>
        <v/>
      </c>
      <c r="AT41" s="206" t="str">
        <f t="shared" si="45"/>
        <v/>
      </c>
      <c r="AU41" s="207" t="str">
        <f t="shared" si="45"/>
        <v/>
      </c>
      <c r="AV41" s="208" t="str">
        <f t="shared" si="45"/>
        <v/>
      </c>
      <c r="AW41" s="206" t="str">
        <f t="shared" si="45"/>
        <v/>
      </c>
      <c r="AX41" s="206" t="str">
        <f t="shared" si="45"/>
        <v/>
      </c>
      <c r="AY41" s="207" t="str">
        <f t="shared" si="45"/>
        <v/>
      </c>
      <c r="AZ41" s="208" t="str">
        <f t="shared" si="45"/>
        <v/>
      </c>
      <c r="BA41" s="206" t="str">
        <f t="shared" si="45"/>
        <v/>
      </c>
      <c r="BB41" s="206" t="str">
        <f t="shared" si="45"/>
        <v/>
      </c>
      <c r="BC41" s="207" t="str">
        <f t="shared" si="45"/>
        <v/>
      </c>
      <c r="BD41" s="208" t="str">
        <f t="shared" si="45"/>
        <v/>
      </c>
      <c r="BE41" s="206" t="str">
        <f t="shared" si="45"/>
        <v/>
      </c>
      <c r="BF41" s="206" t="str">
        <f t="shared" si="45"/>
        <v/>
      </c>
      <c r="BG41" s="207" t="str">
        <f t="shared" si="45"/>
        <v/>
      </c>
      <c r="BH41" s="208" t="str">
        <f t="shared" si="45"/>
        <v/>
      </c>
      <c r="BI41" s="206" t="str">
        <f t="shared" si="45"/>
        <v/>
      </c>
      <c r="BJ41" s="206" t="str">
        <f t="shared" si="45"/>
        <v/>
      </c>
      <c r="BK41" s="207" t="str">
        <f t="shared" si="45"/>
        <v/>
      </c>
      <c r="BL41" s="208" t="str">
        <f t="shared" si="45"/>
        <v/>
      </c>
      <c r="BM41" s="206" t="str">
        <f t="shared" si="45"/>
        <v/>
      </c>
      <c r="BN41" s="206" t="str">
        <f t="shared" si="45"/>
        <v/>
      </c>
      <c r="BO41" s="207" t="str">
        <f t="shared" si="45"/>
        <v/>
      </c>
      <c r="BP41" s="208" t="str">
        <f t="shared" si="48"/>
        <v/>
      </c>
      <c r="BQ41" s="206" t="str">
        <f t="shared" si="48"/>
        <v/>
      </c>
      <c r="BR41" s="206" t="str">
        <f t="shared" si="48"/>
        <v/>
      </c>
      <c r="BS41" s="207" t="str">
        <f t="shared" si="48"/>
        <v/>
      </c>
      <c r="BT41" s="208" t="str">
        <f t="shared" si="48"/>
        <v/>
      </c>
      <c r="BU41" s="206" t="str">
        <f t="shared" si="48"/>
        <v/>
      </c>
      <c r="BV41" s="206" t="str">
        <f t="shared" si="48"/>
        <v/>
      </c>
      <c r="BW41" s="207" t="str">
        <f t="shared" si="48"/>
        <v/>
      </c>
      <c r="BX41" s="208" t="str">
        <f t="shared" si="48"/>
        <v/>
      </c>
      <c r="BY41" s="206" t="str">
        <f t="shared" si="48"/>
        <v/>
      </c>
      <c r="BZ41" s="206" t="str">
        <f t="shared" si="48"/>
        <v/>
      </c>
      <c r="CA41" s="207" t="str">
        <f t="shared" si="48"/>
        <v/>
      </c>
      <c r="CB41" s="208" t="str">
        <f t="shared" si="48"/>
        <v/>
      </c>
      <c r="CC41" s="206" t="str">
        <f t="shared" si="48"/>
        <v/>
      </c>
      <c r="CD41" s="206" t="str">
        <f t="shared" si="48"/>
        <v/>
      </c>
      <c r="CE41" s="207" t="str">
        <f t="shared" si="48"/>
        <v/>
      </c>
    </row>
    <row r="42" spans="1:87" ht="18" customHeight="1">
      <c r="A42" s="22">
        <f>+TABELLA!I46</f>
        <v>0</v>
      </c>
      <c r="B42" s="22">
        <f>+TABELLA!J46</f>
        <v>0</v>
      </c>
      <c r="C42" s="22">
        <f>+TABELLA!K46</f>
        <v>0</v>
      </c>
      <c r="D42" s="22">
        <f>+TABELLA!L46</f>
        <v>0</v>
      </c>
      <c r="E42" s="22"/>
      <c r="F42" s="26" t="str">
        <f>IF(TABELLA!B46="","",TABELLA!B46)</f>
        <v/>
      </c>
      <c r="G42" s="27" t="str">
        <f>IF(TABELLA!C46="","",TABELLA!C46)</f>
        <v/>
      </c>
      <c r="H42" s="203" t="str">
        <f t="shared" ref="H42:V42" si="52">IF(AND(G$3&gt;=$A42,G$3&lt;$B42),1,IF(AND(G$3&gt;=$C42,G$3&lt;$D42),1,""))</f>
        <v/>
      </c>
      <c r="I42" s="203" t="str">
        <f t="shared" si="52"/>
        <v/>
      </c>
      <c r="J42" s="203" t="str">
        <f t="shared" si="52"/>
        <v/>
      </c>
      <c r="K42" s="204" t="str">
        <f t="shared" si="52"/>
        <v/>
      </c>
      <c r="L42" s="205" t="str">
        <f t="shared" si="52"/>
        <v/>
      </c>
      <c r="M42" s="203" t="str">
        <f t="shared" si="52"/>
        <v/>
      </c>
      <c r="N42" s="203" t="str">
        <f t="shared" si="52"/>
        <v/>
      </c>
      <c r="O42" s="204" t="str">
        <f t="shared" si="52"/>
        <v/>
      </c>
      <c r="P42" s="205" t="str">
        <f t="shared" si="52"/>
        <v/>
      </c>
      <c r="Q42" s="203" t="str">
        <f t="shared" si="52"/>
        <v/>
      </c>
      <c r="R42" s="203" t="str">
        <f t="shared" si="52"/>
        <v/>
      </c>
      <c r="S42" s="204" t="str">
        <f t="shared" si="52"/>
        <v/>
      </c>
      <c r="T42" s="205" t="str">
        <f t="shared" si="52"/>
        <v/>
      </c>
      <c r="U42" s="203" t="str">
        <f t="shared" si="52"/>
        <v/>
      </c>
      <c r="V42" s="203" t="str">
        <f t="shared" si="52"/>
        <v/>
      </c>
      <c r="W42" s="204" t="str">
        <f t="shared" si="47"/>
        <v/>
      </c>
      <c r="X42" s="205" t="str">
        <f t="shared" si="45"/>
        <v/>
      </c>
      <c r="Y42" s="203" t="str">
        <f t="shared" si="45"/>
        <v/>
      </c>
      <c r="Z42" s="203" t="str">
        <f t="shared" si="45"/>
        <v/>
      </c>
      <c r="AA42" s="204" t="str">
        <f t="shared" si="45"/>
        <v/>
      </c>
      <c r="AB42" s="205" t="str">
        <f t="shared" si="45"/>
        <v/>
      </c>
      <c r="AC42" s="203" t="str">
        <f t="shared" si="45"/>
        <v/>
      </c>
      <c r="AD42" s="203" t="str">
        <f t="shared" si="45"/>
        <v/>
      </c>
      <c r="AE42" s="204" t="str">
        <f t="shared" si="45"/>
        <v/>
      </c>
      <c r="AF42" s="205" t="str">
        <f t="shared" si="45"/>
        <v/>
      </c>
      <c r="AG42" s="203" t="str">
        <f t="shared" si="45"/>
        <v/>
      </c>
      <c r="AH42" s="203" t="str">
        <f t="shared" si="45"/>
        <v/>
      </c>
      <c r="AI42" s="204" t="str">
        <f t="shared" si="45"/>
        <v/>
      </c>
      <c r="AJ42" s="205" t="str">
        <f t="shared" si="45"/>
        <v/>
      </c>
      <c r="AK42" s="203" t="str">
        <f t="shared" si="45"/>
        <v/>
      </c>
      <c r="AL42" s="203" t="str">
        <f t="shared" si="45"/>
        <v/>
      </c>
      <c r="AM42" s="204" t="str">
        <f t="shared" si="45"/>
        <v/>
      </c>
      <c r="AN42" s="205" t="str">
        <f t="shared" si="45"/>
        <v/>
      </c>
      <c r="AO42" s="203" t="str">
        <f t="shared" si="45"/>
        <v/>
      </c>
      <c r="AP42" s="203" t="str">
        <f t="shared" si="45"/>
        <v/>
      </c>
      <c r="AQ42" s="204" t="str">
        <f t="shared" si="45"/>
        <v/>
      </c>
      <c r="AR42" s="205" t="str">
        <f t="shared" si="45"/>
        <v/>
      </c>
      <c r="AS42" s="203" t="str">
        <f t="shared" si="45"/>
        <v/>
      </c>
      <c r="AT42" s="203" t="str">
        <f t="shared" si="45"/>
        <v/>
      </c>
      <c r="AU42" s="204" t="str">
        <f t="shared" si="45"/>
        <v/>
      </c>
      <c r="AV42" s="205" t="str">
        <f t="shared" si="45"/>
        <v/>
      </c>
      <c r="AW42" s="203" t="str">
        <f t="shared" si="45"/>
        <v/>
      </c>
      <c r="AX42" s="203" t="str">
        <f t="shared" si="45"/>
        <v/>
      </c>
      <c r="AY42" s="204" t="str">
        <f t="shared" si="45"/>
        <v/>
      </c>
      <c r="AZ42" s="205" t="str">
        <f t="shared" si="45"/>
        <v/>
      </c>
      <c r="BA42" s="203" t="str">
        <f t="shared" si="45"/>
        <v/>
      </c>
      <c r="BB42" s="203" t="str">
        <f t="shared" si="45"/>
        <v/>
      </c>
      <c r="BC42" s="204" t="str">
        <f t="shared" si="45"/>
        <v/>
      </c>
      <c r="BD42" s="205" t="str">
        <f t="shared" si="45"/>
        <v/>
      </c>
      <c r="BE42" s="203" t="str">
        <f t="shared" si="45"/>
        <v/>
      </c>
      <c r="BF42" s="203" t="str">
        <f t="shared" ref="BF42:BO42" si="53">IF(AND(BE$3&gt;=$A42,BE$3&lt;$B42),1,IF(AND(BE$3&gt;=$C42,BE$3&lt;$D42),1,""))</f>
        <v/>
      </c>
      <c r="BG42" s="204" t="str">
        <f t="shared" si="53"/>
        <v/>
      </c>
      <c r="BH42" s="205" t="str">
        <f t="shared" si="53"/>
        <v/>
      </c>
      <c r="BI42" s="203" t="str">
        <f t="shared" si="53"/>
        <v/>
      </c>
      <c r="BJ42" s="203" t="str">
        <f t="shared" si="53"/>
        <v/>
      </c>
      <c r="BK42" s="204" t="str">
        <f t="shared" si="53"/>
        <v/>
      </c>
      <c r="BL42" s="205" t="str">
        <f t="shared" si="53"/>
        <v/>
      </c>
      <c r="BM42" s="203" t="str">
        <f t="shared" si="53"/>
        <v/>
      </c>
      <c r="BN42" s="203" t="str">
        <f t="shared" si="53"/>
        <v/>
      </c>
      <c r="BO42" s="204" t="str">
        <f t="shared" si="53"/>
        <v/>
      </c>
      <c r="BP42" s="205" t="str">
        <f t="shared" si="48"/>
        <v/>
      </c>
      <c r="BQ42" s="203" t="str">
        <f t="shared" si="48"/>
        <v/>
      </c>
      <c r="BR42" s="203" t="str">
        <f t="shared" si="48"/>
        <v/>
      </c>
      <c r="BS42" s="204" t="str">
        <f t="shared" si="48"/>
        <v/>
      </c>
      <c r="BT42" s="205" t="str">
        <f t="shared" si="48"/>
        <v/>
      </c>
      <c r="BU42" s="203" t="str">
        <f t="shared" si="48"/>
        <v/>
      </c>
      <c r="BV42" s="203" t="str">
        <f t="shared" si="48"/>
        <v/>
      </c>
      <c r="BW42" s="204" t="str">
        <f t="shared" si="48"/>
        <v/>
      </c>
      <c r="BX42" s="205" t="str">
        <f t="shared" si="48"/>
        <v/>
      </c>
      <c r="BY42" s="203" t="str">
        <f t="shared" si="48"/>
        <v/>
      </c>
      <c r="BZ42" s="203" t="str">
        <f t="shared" si="48"/>
        <v/>
      </c>
      <c r="CA42" s="204" t="str">
        <f t="shared" si="48"/>
        <v/>
      </c>
      <c r="CB42" s="205" t="str">
        <f t="shared" si="48"/>
        <v/>
      </c>
      <c r="CC42" s="203" t="str">
        <f t="shared" si="48"/>
        <v/>
      </c>
      <c r="CD42" s="203" t="str">
        <f t="shared" si="48"/>
        <v/>
      </c>
      <c r="CE42" s="204" t="str">
        <f t="shared" si="48"/>
        <v/>
      </c>
    </row>
    <row r="43" spans="1:87" ht="18" customHeight="1">
      <c r="A43" s="22">
        <f>+TABELLA!I47</f>
        <v>0</v>
      </c>
      <c r="B43" s="22">
        <f>+TABELLA!J47</f>
        <v>0</v>
      </c>
      <c r="C43" s="22">
        <f>+TABELLA!K47</f>
        <v>0</v>
      </c>
      <c r="D43" s="22">
        <f>+TABELLA!L47</f>
        <v>0</v>
      </c>
      <c r="E43" s="22"/>
      <c r="F43" s="41" t="str">
        <f>IF(TABELLA!B47="","",TABELLA!B47)</f>
        <v/>
      </c>
      <c r="G43" s="42" t="str">
        <f>IF(TABELLA!C47="","",TABELLA!C47)</f>
        <v/>
      </c>
      <c r="H43" s="206" t="str">
        <f t="shared" ref="H43:V43" si="54">IF(AND(G$3&gt;=$A43,G$3&lt;$B43),1,IF(AND(G$3&gt;=$C43,G$3&lt;$D43),1,""))</f>
        <v/>
      </c>
      <c r="I43" s="206" t="str">
        <f t="shared" si="54"/>
        <v/>
      </c>
      <c r="J43" s="206" t="str">
        <f t="shared" si="54"/>
        <v/>
      </c>
      <c r="K43" s="207" t="str">
        <f t="shared" si="54"/>
        <v/>
      </c>
      <c r="L43" s="208" t="str">
        <f t="shared" si="54"/>
        <v/>
      </c>
      <c r="M43" s="206" t="str">
        <f t="shared" si="54"/>
        <v/>
      </c>
      <c r="N43" s="206" t="str">
        <f t="shared" si="54"/>
        <v/>
      </c>
      <c r="O43" s="207" t="str">
        <f t="shared" si="54"/>
        <v/>
      </c>
      <c r="P43" s="208" t="str">
        <f t="shared" si="54"/>
        <v/>
      </c>
      <c r="Q43" s="206" t="str">
        <f t="shared" si="54"/>
        <v/>
      </c>
      <c r="R43" s="206" t="str">
        <f t="shared" si="54"/>
        <v/>
      </c>
      <c r="S43" s="207" t="str">
        <f t="shared" si="54"/>
        <v/>
      </c>
      <c r="T43" s="208" t="str">
        <f t="shared" si="54"/>
        <v/>
      </c>
      <c r="U43" s="206" t="str">
        <f t="shared" si="54"/>
        <v/>
      </c>
      <c r="V43" s="206" t="str">
        <f t="shared" si="54"/>
        <v/>
      </c>
      <c r="W43" s="207" t="str">
        <f t="shared" si="47"/>
        <v/>
      </c>
      <c r="X43" s="208" t="str">
        <f t="shared" ref="X43:BO45" si="55">IF(AND(W$3&gt;=$A43,W$3&lt;$B43),1,IF(AND(W$3&gt;=$C43,W$3&lt;$D43),1,""))</f>
        <v/>
      </c>
      <c r="Y43" s="206" t="str">
        <f t="shared" si="55"/>
        <v/>
      </c>
      <c r="Z43" s="206" t="str">
        <f t="shared" si="55"/>
        <v/>
      </c>
      <c r="AA43" s="207" t="str">
        <f t="shared" si="55"/>
        <v/>
      </c>
      <c r="AB43" s="208" t="str">
        <f t="shared" si="55"/>
        <v/>
      </c>
      <c r="AC43" s="206" t="str">
        <f t="shared" si="55"/>
        <v/>
      </c>
      <c r="AD43" s="206" t="str">
        <f t="shared" si="55"/>
        <v/>
      </c>
      <c r="AE43" s="207" t="str">
        <f t="shared" si="55"/>
        <v/>
      </c>
      <c r="AF43" s="208" t="str">
        <f t="shared" si="55"/>
        <v/>
      </c>
      <c r="AG43" s="206" t="str">
        <f t="shared" si="55"/>
        <v/>
      </c>
      <c r="AH43" s="206" t="str">
        <f t="shared" si="55"/>
        <v/>
      </c>
      <c r="AI43" s="207" t="str">
        <f t="shared" si="55"/>
        <v/>
      </c>
      <c r="AJ43" s="208" t="str">
        <f t="shared" si="55"/>
        <v/>
      </c>
      <c r="AK43" s="206" t="str">
        <f t="shared" si="55"/>
        <v/>
      </c>
      <c r="AL43" s="206" t="str">
        <f t="shared" si="55"/>
        <v/>
      </c>
      <c r="AM43" s="207" t="str">
        <f t="shared" si="55"/>
        <v/>
      </c>
      <c r="AN43" s="208" t="str">
        <f t="shared" si="55"/>
        <v/>
      </c>
      <c r="AO43" s="206" t="str">
        <f t="shared" si="55"/>
        <v/>
      </c>
      <c r="AP43" s="206" t="str">
        <f t="shared" si="55"/>
        <v/>
      </c>
      <c r="AQ43" s="207" t="str">
        <f t="shared" si="55"/>
        <v/>
      </c>
      <c r="AR43" s="208" t="str">
        <f t="shared" si="55"/>
        <v/>
      </c>
      <c r="AS43" s="206" t="str">
        <f t="shared" si="55"/>
        <v/>
      </c>
      <c r="AT43" s="206" t="str">
        <f t="shared" si="55"/>
        <v/>
      </c>
      <c r="AU43" s="207" t="str">
        <f t="shared" si="55"/>
        <v/>
      </c>
      <c r="AV43" s="208" t="str">
        <f t="shared" si="55"/>
        <v/>
      </c>
      <c r="AW43" s="206" t="str">
        <f t="shared" si="55"/>
        <v/>
      </c>
      <c r="AX43" s="206" t="str">
        <f t="shared" si="55"/>
        <v/>
      </c>
      <c r="AY43" s="207" t="str">
        <f t="shared" si="55"/>
        <v/>
      </c>
      <c r="AZ43" s="208" t="str">
        <f t="shared" si="55"/>
        <v/>
      </c>
      <c r="BA43" s="206" t="str">
        <f t="shared" si="55"/>
        <v/>
      </c>
      <c r="BB43" s="206" t="str">
        <f t="shared" si="55"/>
        <v/>
      </c>
      <c r="BC43" s="207" t="str">
        <f t="shared" si="55"/>
        <v/>
      </c>
      <c r="BD43" s="208" t="str">
        <f t="shared" si="55"/>
        <v/>
      </c>
      <c r="BE43" s="206" t="str">
        <f t="shared" si="55"/>
        <v/>
      </c>
      <c r="BF43" s="206" t="str">
        <f t="shared" si="55"/>
        <v/>
      </c>
      <c r="BG43" s="207" t="str">
        <f t="shared" si="55"/>
        <v/>
      </c>
      <c r="BH43" s="208" t="str">
        <f t="shared" si="55"/>
        <v/>
      </c>
      <c r="BI43" s="206" t="str">
        <f t="shared" si="55"/>
        <v/>
      </c>
      <c r="BJ43" s="206" t="str">
        <f t="shared" si="55"/>
        <v/>
      </c>
      <c r="BK43" s="207" t="str">
        <f t="shared" si="55"/>
        <v/>
      </c>
      <c r="BL43" s="208" t="str">
        <f t="shared" si="55"/>
        <v/>
      </c>
      <c r="BM43" s="206" t="str">
        <f t="shared" si="55"/>
        <v/>
      </c>
      <c r="BN43" s="206" t="str">
        <f t="shared" si="55"/>
        <v/>
      </c>
      <c r="BO43" s="207" t="str">
        <f t="shared" si="55"/>
        <v/>
      </c>
      <c r="BP43" s="208" t="str">
        <f t="shared" si="48"/>
        <v/>
      </c>
      <c r="BQ43" s="206" t="str">
        <f t="shared" si="48"/>
        <v/>
      </c>
      <c r="BR43" s="206" t="str">
        <f t="shared" si="48"/>
        <v/>
      </c>
      <c r="BS43" s="207" t="str">
        <f t="shared" si="48"/>
        <v/>
      </c>
      <c r="BT43" s="208" t="str">
        <f t="shared" si="48"/>
        <v/>
      </c>
      <c r="BU43" s="206" t="str">
        <f t="shared" si="48"/>
        <v/>
      </c>
      <c r="BV43" s="206" t="str">
        <f t="shared" si="48"/>
        <v/>
      </c>
      <c r="BW43" s="207" t="str">
        <f t="shared" si="48"/>
        <v/>
      </c>
      <c r="BX43" s="208" t="str">
        <f t="shared" si="48"/>
        <v/>
      </c>
      <c r="BY43" s="206" t="str">
        <f t="shared" si="48"/>
        <v/>
      </c>
      <c r="BZ43" s="206" t="str">
        <f t="shared" si="48"/>
        <v/>
      </c>
      <c r="CA43" s="207" t="str">
        <f t="shared" si="48"/>
        <v/>
      </c>
      <c r="CB43" s="208" t="str">
        <f t="shared" si="48"/>
        <v/>
      </c>
      <c r="CC43" s="206" t="str">
        <f t="shared" si="48"/>
        <v/>
      </c>
      <c r="CD43" s="206" t="str">
        <f t="shared" si="48"/>
        <v/>
      </c>
      <c r="CE43" s="207" t="str">
        <f t="shared" si="48"/>
        <v/>
      </c>
    </row>
    <row r="44" spans="1:87" ht="18" customHeight="1">
      <c r="A44" s="22">
        <f>+TABELLA!I48</f>
        <v>0</v>
      </c>
      <c r="B44" s="22">
        <f>+TABELLA!J48</f>
        <v>0</v>
      </c>
      <c r="C44" s="22">
        <f>+TABELLA!K48</f>
        <v>0</v>
      </c>
      <c r="D44" s="22">
        <f>+TABELLA!L48</f>
        <v>0</v>
      </c>
      <c r="E44" s="22"/>
      <c r="F44" s="26" t="str">
        <f>IF(TABELLA!B48="","",TABELLA!B48)</f>
        <v/>
      </c>
      <c r="G44" s="27" t="str">
        <f>IF(TABELLA!C48="","",TABELLA!C48)</f>
        <v/>
      </c>
      <c r="H44" s="203" t="str">
        <f t="shared" ref="H44:V44" si="56">IF(AND(G$3&gt;=$A44,G$3&lt;$B44),1,IF(AND(G$3&gt;=$C44,G$3&lt;$D44),1,""))</f>
        <v/>
      </c>
      <c r="I44" s="203" t="str">
        <f t="shared" si="56"/>
        <v/>
      </c>
      <c r="J44" s="203" t="str">
        <f t="shared" si="56"/>
        <v/>
      </c>
      <c r="K44" s="204" t="str">
        <f t="shared" si="56"/>
        <v/>
      </c>
      <c r="L44" s="205" t="str">
        <f t="shared" si="56"/>
        <v/>
      </c>
      <c r="M44" s="203" t="str">
        <f t="shared" si="56"/>
        <v/>
      </c>
      <c r="N44" s="203" t="str">
        <f t="shared" si="56"/>
        <v/>
      </c>
      <c r="O44" s="204" t="str">
        <f t="shared" si="56"/>
        <v/>
      </c>
      <c r="P44" s="205" t="str">
        <f t="shared" si="56"/>
        <v/>
      </c>
      <c r="Q44" s="203" t="str">
        <f t="shared" si="56"/>
        <v/>
      </c>
      <c r="R44" s="203" t="str">
        <f t="shared" si="56"/>
        <v/>
      </c>
      <c r="S44" s="204" t="str">
        <f t="shared" si="56"/>
        <v/>
      </c>
      <c r="T44" s="205" t="str">
        <f t="shared" si="56"/>
        <v/>
      </c>
      <c r="U44" s="203" t="str">
        <f t="shared" si="56"/>
        <v/>
      </c>
      <c r="V44" s="203" t="str">
        <f t="shared" si="56"/>
        <v/>
      </c>
      <c r="W44" s="204" t="str">
        <f t="shared" si="47"/>
        <v/>
      </c>
      <c r="X44" s="205" t="str">
        <f t="shared" si="55"/>
        <v/>
      </c>
      <c r="Y44" s="203" t="str">
        <f t="shared" si="55"/>
        <v/>
      </c>
      <c r="Z44" s="203" t="str">
        <f t="shared" si="55"/>
        <v/>
      </c>
      <c r="AA44" s="204" t="str">
        <f t="shared" si="55"/>
        <v/>
      </c>
      <c r="AB44" s="205" t="str">
        <f t="shared" si="55"/>
        <v/>
      </c>
      <c r="AC44" s="203" t="str">
        <f t="shared" si="55"/>
        <v/>
      </c>
      <c r="AD44" s="203" t="str">
        <f t="shared" si="55"/>
        <v/>
      </c>
      <c r="AE44" s="204" t="str">
        <f t="shared" si="55"/>
        <v/>
      </c>
      <c r="AF44" s="205" t="str">
        <f t="shared" si="55"/>
        <v/>
      </c>
      <c r="AG44" s="203" t="str">
        <f t="shared" si="55"/>
        <v/>
      </c>
      <c r="AH44" s="203" t="str">
        <f t="shared" si="55"/>
        <v/>
      </c>
      <c r="AI44" s="204" t="str">
        <f t="shared" si="55"/>
        <v/>
      </c>
      <c r="AJ44" s="205" t="str">
        <f t="shared" si="55"/>
        <v/>
      </c>
      <c r="AK44" s="203" t="str">
        <f t="shared" si="55"/>
        <v/>
      </c>
      <c r="AL44" s="203" t="str">
        <f t="shared" si="55"/>
        <v/>
      </c>
      <c r="AM44" s="204" t="str">
        <f t="shared" si="55"/>
        <v/>
      </c>
      <c r="AN44" s="205" t="str">
        <f t="shared" si="55"/>
        <v/>
      </c>
      <c r="AO44" s="203" t="str">
        <f t="shared" si="55"/>
        <v/>
      </c>
      <c r="AP44" s="203" t="str">
        <f t="shared" si="55"/>
        <v/>
      </c>
      <c r="AQ44" s="204" t="str">
        <f t="shared" si="55"/>
        <v/>
      </c>
      <c r="AR44" s="205" t="str">
        <f t="shared" si="55"/>
        <v/>
      </c>
      <c r="AS44" s="203" t="str">
        <f t="shared" si="55"/>
        <v/>
      </c>
      <c r="AT44" s="203" t="str">
        <f t="shared" si="55"/>
        <v/>
      </c>
      <c r="AU44" s="204" t="str">
        <f t="shared" si="55"/>
        <v/>
      </c>
      <c r="AV44" s="205" t="str">
        <f t="shared" si="55"/>
        <v/>
      </c>
      <c r="AW44" s="203" t="str">
        <f t="shared" si="55"/>
        <v/>
      </c>
      <c r="AX44" s="203" t="str">
        <f t="shared" si="55"/>
        <v/>
      </c>
      <c r="AY44" s="204" t="str">
        <f t="shared" si="55"/>
        <v/>
      </c>
      <c r="AZ44" s="205" t="str">
        <f t="shared" si="55"/>
        <v/>
      </c>
      <c r="BA44" s="203" t="str">
        <f t="shared" si="55"/>
        <v/>
      </c>
      <c r="BB44" s="203" t="str">
        <f t="shared" si="55"/>
        <v/>
      </c>
      <c r="BC44" s="204" t="str">
        <f t="shared" si="55"/>
        <v/>
      </c>
      <c r="BD44" s="205" t="str">
        <f t="shared" si="55"/>
        <v/>
      </c>
      <c r="BE44" s="203" t="str">
        <f t="shared" si="55"/>
        <v/>
      </c>
      <c r="BF44" s="203" t="str">
        <f t="shared" si="55"/>
        <v/>
      </c>
      <c r="BG44" s="204" t="str">
        <f t="shared" si="55"/>
        <v/>
      </c>
      <c r="BH44" s="205" t="str">
        <f t="shared" si="55"/>
        <v/>
      </c>
      <c r="BI44" s="203" t="str">
        <f t="shared" si="55"/>
        <v/>
      </c>
      <c r="BJ44" s="203" t="str">
        <f t="shared" si="55"/>
        <v/>
      </c>
      <c r="BK44" s="204" t="str">
        <f t="shared" si="55"/>
        <v/>
      </c>
      <c r="BL44" s="205" t="str">
        <f t="shared" si="55"/>
        <v/>
      </c>
      <c r="BM44" s="203" t="str">
        <f t="shared" si="55"/>
        <v/>
      </c>
      <c r="BN44" s="203" t="str">
        <f t="shared" si="55"/>
        <v/>
      </c>
      <c r="BO44" s="204" t="str">
        <f t="shared" si="55"/>
        <v/>
      </c>
      <c r="BP44" s="205" t="str">
        <f t="shared" si="48"/>
        <v/>
      </c>
      <c r="BQ44" s="203" t="str">
        <f t="shared" si="48"/>
        <v/>
      </c>
      <c r="BR44" s="203" t="str">
        <f t="shared" si="48"/>
        <v/>
      </c>
      <c r="BS44" s="204" t="str">
        <f t="shared" si="48"/>
        <v/>
      </c>
      <c r="BT44" s="205" t="str">
        <f t="shared" si="48"/>
        <v/>
      </c>
      <c r="BU44" s="203" t="str">
        <f t="shared" si="48"/>
        <v/>
      </c>
      <c r="BV44" s="203" t="str">
        <f t="shared" si="48"/>
        <v/>
      </c>
      <c r="BW44" s="204" t="str">
        <f t="shared" si="48"/>
        <v/>
      </c>
      <c r="BX44" s="205" t="str">
        <f t="shared" si="48"/>
        <v/>
      </c>
      <c r="BY44" s="203" t="str">
        <f t="shared" si="48"/>
        <v/>
      </c>
      <c r="BZ44" s="203" t="str">
        <f t="shared" si="48"/>
        <v/>
      </c>
      <c r="CA44" s="204" t="str">
        <f t="shared" si="48"/>
        <v/>
      </c>
      <c r="CB44" s="205" t="str">
        <f t="shared" si="48"/>
        <v/>
      </c>
      <c r="CC44" s="203" t="str">
        <f t="shared" si="48"/>
        <v/>
      </c>
      <c r="CD44" s="203" t="str">
        <f t="shared" si="48"/>
        <v/>
      </c>
      <c r="CE44" s="204" t="str">
        <f t="shared" si="48"/>
        <v/>
      </c>
    </row>
    <row r="45" spans="1:87" ht="18" customHeight="1">
      <c r="A45" s="22">
        <f>+TABELLA!I49</f>
        <v>0</v>
      </c>
      <c r="B45" s="22">
        <f>+TABELLA!J49</f>
        <v>0</v>
      </c>
      <c r="C45" s="22">
        <f>+TABELLA!K49</f>
        <v>0</v>
      </c>
      <c r="D45" s="22">
        <f>+TABELLA!L49</f>
        <v>0</v>
      </c>
      <c r="E45" s="22"/>
      <c r="F45" s="41" t="str">
        <f>IF(TABELLA!B49="","",TABELLA!B49)</f>
        <v/>
      </c>
      <c r="G45" s="42" t="str">
        <f>IF(TABELLA!C49="","",TABELLA!C49)</f>
        <v/>
      </c>
      <c r="H45" s="206" t="str">
        <f t="shared" ref="H45:V45" si="57">IF(AND(G$3&gt;=$A45,G$3&lt;$B45),1,IF(AND(G$3&gt;=$C45,G$3&lt;$D45),1,""))</f>
        <v/>
      </c>
      <c r="I45" s="206" t="str">
        <f t="shared" si="57"/>
        <v/>
      </c>
      <c r="J45" s="206" t="str">
        <f t="shared" si="57"/>
        <v/>
      </c>
      <c r="K45" s="207" t="str">
        <f t="shared" si="57"/>
        <v/>
      </c>
      <c r="L45" s="208" t="str">
        <f t="shared" si="57"/>
        <v/>
      </c>
      <c r="M45" s="206" t="str">
        <f t="shared" si="57"/>
        <v/>
      </c>
      <c r="N45" s="206" t="str">
        <f t="shared" si="57"/>
        <v/>
      </c>
      <c r="O45" s="207" t="str">
        <f t="shared" si="57"/>
        <v/>
      </c>
      <c r="P45" s="208" t="str">
        <f t="shared" si="57"/>
        <v/>
      </c>
      <c r="Q45" s="206" t="str">
        <f t="shared" si="57"/>
        <v/>
      </c>
      <c r="R45" s="206" t="str">
        <f t="shared" si="57"/>
        <v/>
      </c>
      <c r="S45" s="207" t="str">
        <f t="shared" si="57"/>
        <v/>
      </c>
      <c r="T45" s="208" t="str">
        <f t="shared" si="57"/>
        <v/>
      </c>
      <c r="U45" s="206" t="str">
        <f t="shared" si="57"/>
        <v/>
      </c>
      <c r="V45" s="206" t="str">
        <f t="shared" si="57"/>
        <v/>
      </c>
      <c r="W45" s="207" t="str">
        <f t="shared" si="47"/>
        <v/>
      </c>
      <c r="X45" s="208" t="str">
        <f t="shared" si="55"/>
        <v/>
      </c>
      <c r="Y45" s="206" t="str">
        <f t="shared" si="55"/>
        <v/>
      </c>
      <c r="Z45" s="206" t="str">
        <f t="shared" si="55"/>
        <v/>
      </c>
      <c r="AA45" s="207" t="str">
        <f t="shared" si="55"/>
        <v/>
      </c>
      <c r="AB45" s="208" t="str">
        <f t="shared" si="55"/>
        <v/>
      </c>
      <c r="AC45" s="206" t="str">
        <f t="shared" si="55"/>
        <v/>
      </c>
      <c r="AD45" s="206" t="str">
        <f t="shared" si="55"/>
        <v/>
      </c>
      <c r="AE45" s="207" t="str">
        <f t="shared" si="55"/>
        <v/>
      </c>
      <c r="AF45" s="208" t="str">
        <f t="shared" si="55"/>
        <v/>
      </c>
      <c r="AG45" s="206" t="str">
        <f t="shared" si="55"/>
        <v/>
      </c>
      <c r="AH45" s="206" t="str">
        <f t="shared" si="55"/>
        <v/>
      </c>
      <c r="AI45" s="207" t="str">
        <f t="shared" si="55"/>
        <v/>
      </c>
      <c r="AJ45" s="208" t="str">
        <f t="shared" si="55"/>
        <v/>
      </c>
      <c r="AK45" s="206" t="str">
        <f t="shared" si="55"/>
        <v/>
      </c>
      <c r="AL45" s="206" t="str">
        <f t="shared" si="55"/>
        <v/>
      </c>
      <c r="AM45" s="207" t="str">
        <f t="shared" si="55"/>
        <v/>
      </c>
      <c r="AN45" s="208" t="str">
        <f t="shared" si="55"/>
        <v/>
      </c>
      <c r="AO45" s="206" t="str">
        <f t="shared" si="55"/>
        <v/>
      </c>
      <c r="AP45" s="206" t="str">
        <f t="shared" si="55"/>
        <v/>
      </c>
      <c r="AQ45" s="207" t="str">
        <f t="shared" si="55"/>
        <v/>
      </c>
      <c r="AR45" s="208" t="str">
        <f t="shared" si="55"/>
        <v/>
      </c>
      <c r="AS45" s="206" t="str">
        <f t="shared" si="55"/>
        <v/>
      </c>
      <c r="AT45" s="206" t="str">
        <f t="shared" si="55"/>
        <v/>
      </c>
      <c r="AU45" s="207" t="str">
        <f t="shared" si="55"/>
        <v/>
      </c>
      <c r="AV45" s="208" t="str">
        <f t="shared" si="55"/>
        <v/>
      </c>
      <c r="AW45" s="206" t="str">
        <f t="shared" si="55"/>
        <v/>
      </c>
      <c r="AX45" s="206" t="str">
        <f t="shared" si="55"/>
        <v/>
      </c>
      <c r="AY45" s="207" t="str">
        <f t="shared" si="55"/>
        <v/>
      </c>
      <c r="AZ45" s="208" t="str">
        <f t="shared" si="55"/>
        <v/>
      </c>
      <c r="BA45" s="206" t="str">
        <f t="shared" si="55"/>
        <v/>
      </c>
      <c r="BB45" s="206" t="str">
        <f t="shared" si="55"/>
        <v/>
      </c>
      <c r="BC45" s="207" t="str">
        <f t="shared" si="55"/>
        <v/>
      </c>
      <c r="BD45" s="208" t="str">
        <f t="shared" si="55"/>
        <v/>
      </c>
      <c r="BE45" s="206" t="str">
        <f t="shared" si="55"/>
        <v/>
      </c>
      <c r="BF45" s="206" t="str">
        <f t="shared" si="55"/>
        <v/>
      </c>
      <c r="BG45" s="207" t="str">
        <f t="shared" si="55"/>
        <v/>
      </c>
      <c r="BH45" s="208" t="str">
        <f t="shared" si="55"/>
        <v/>
      </c>
      <c r="BI45" s="206" t="str">
        <f t="shared" si="55"/>
        <v/>
      </c>
      <c r="BJ45" s="206" t="str">
        <f t="shared" si="55"/>
        <v/>
      </c>
      <c r="BK45" s="207" t="str">
        <f t="shared" si="55"/>
        <v/>
      </c>
      <c r="BL45" s="208" t="str">
        <f t="shared" si="55"/>
        <v/>
      </c>
      <c r="BM45" s="206" t="str">
        <f t="shared" si="55"/>
        <v/>
      </c>
      <c r="BN45" s="206" t="str">
        <f t="shared" si="55"/>
        <v/>
      </c>
      <c r="BO45" s="207" t="str">
        <f t="shared" si="55"/>
        <v/>
      </c>
      <c r="BP45" s="208" t="str">
        <f t="shared" si="48"/>
        <v/>
      </c>
      <c r="BQ45" s="206" t="str">
        <f t="shared" si="48"/>
        <v/>
      </c>
      <c r="BR45" s="206" t="str">
        <f t="shared" si="48"/>
        <v/>
      </c>
      <c r="BS45" s="207" t="str">
        <f t="shared" si="48"/>
        <v/>
      </c>
      <c r="BT45" s="208" t="str">
        <f t="shared" si="48"/>
        <v/>
      </c>
      <c r="BU45" s="206" t="str">
        <f t="shared" si="48"/>
        <v/>
      </c>
      <c r="BV45" s="206" t="str">
        <f t="shared" si="48"/>
        <v/>
      </c>
      <c r="BW45" s="207" t="str">
        <f t="shared" si="48"/>
        <v/>
      </c>
      <c r="BX45" s="208" t="str">
        <f t="shared" si="48"/>
        <v/>
      </c>
      <c r="BY45" s="206" t="str">
        <f t="shared" si="48"/>
        <v/>
      </c>
      <c r="BZ45" s="206" t="str">
        <f t="shared" si="48"/>
        <v/>
      </c>
      <c r="CA45" s="207" t="str">
        <f t="shared" si="48"/>
        <v/>
      </c>
      <c r="CB45" s="208" t="str">
        <f t="shared" si="48"/>
        <v/>
      </c>
      <c r="CC45" s="206" t="str">
        <f t="shared" si="48"/>
        <v/>
      </c>
      <c r="CD45" s="206" t="str">
        <f t="shared" si="48"/>
        <v/>
      </c>
      <c r="CE45" s="207" t="str">
        <f t="shared" si="48"/>
        <v/>
      </c>
    </row>
    <row r="46" spans="1:87" ht="20.100000000000001" customHeight="1">
      <c r="F46" s="9">
        <v>1</v>
      </c>
      <c r="G46" s="10" t="s">
        <v>80</v>
      </c>
      <c r="H46" s="177">
        <f t="shared" ref="H46:W54" si="58">SUMIF($F$6:$F$45,$F46,H$6:H$45)</f>
        <v>0</v>
      </c>
      <c r="I46" s="178">
        <f t="shared" si="58"/>
        <v>0</v>
      </c>
      <c r="J46" s="178">
        <f t="shared" si="58"/>
        <v>0</v>
      </c>
      <c r="K46" s="179">
        <f t="shared" si="58"/>
        <v>0</v>
      </c>
      <c r="L46" s="177">
        <f t="shared" si="58"/>
        <v>0</v>
      </c>
      <c r="M46" s="178">
        <f t="shared" si="58"/>
        <v>0</v>
      </c>
      <c r="N46" s="178">
        <f t="shared" si="58"/>
        <v>0</v>
      </c>
      <c r="O46" s="179">
        <f t="shared" si="58"/>
        <v>0</v>
      </c>
      <c r="P46" s="177">
        <f t="shared" si="58"/>
        <v>0</v>
      </c>
      <c r="Q46" s="178">
        <f t="shared" si="58"/>
        <v>0</v>
      </c>
      <c r="R46" s="178">
        <f t="shared" si="58"/>
        <v>0</v>
      </c>
      <c r="S46" s="179">
        <f t="shared" si="58"/>
        <v>0</v>
      </c>
      <c r="T46" s="177">
        <f t="shared" si="58"/>
        <v>0</v>
      </c>
      <c r="U46" s="178">
        <f t="shared" si="58"/>
        <v>0</v>
      </c>
      <c r="V46" s="178">
        <f t="shared" si="58"/>
        <v>0</v>
      </c>
      <c r="W46" s="179">
        <f t="shared" si="58"/>
        <v>0</v>
      </c>
      <c r="X46" s="177">
        <f t="shared" ref="X46:AM54" si="59">SUMIF($F$6:$F$45,$F46,X$6:X$45)</f>
        <v>0</v>
      </c>
      <c r="Y46" s="178">
        <f t="shared" si="59"/>
        <v>0</v>
      </c>
      <c r="Z46" s="178">
        <f t="shared" si="59"/>
        <v>0</v>
      </c>
      <c r="AA46" s="179">
        <f t="shared" si="59"/>
        <v>0</v>
      </c>
      <c r="AB46" s="177">
        <f t="shared" si="59"/>
        <v>0</v>
      </c>
      <c r="AC46" s="178">
        <f t="shared" si="59"/>
        <v>0</v>
      </c>
      <c r="AD46" s="178">
        <f t="shared" si="59"/>
        <v>0</v>
      </c>
      <c r="AE46" s="179">
        <f t="shared" si="59"/>
        <v>0</v>
      </c>
      <c r="AF46" s="177">
        <f t="shared" si="59"/>
        <v>0</v>
      </c>
      <c r="AG46" s="178">
        <f t="shared" si="59"/>
        <v>0</v>
      </c>
      <c r="AH46" s="178">
        <f t="shared" si="59"/>
        <v>0</v>
      </c>
      <c r="AI46" s="179">
        <f t="shared" si="59"/>
        <v>0</v>
      </c>
      <c r="AJ46" s="177">
        <f t="shared" si="59"/>
        <v>0</v>
      </c>
      <c r="AK46" s="178">
        <f t="shared" si="59"/>
        <v>0</v>
      </c>
      <c r="AL46" s="178">
        <f t="shared" si="59"/>
        <v>0</v>
      </c>
      <c r="AM46" s="179">
        <f t="shared" si="59"/>
        <v>0</v>
      </c>
      <c r="AN46" s="177">
        <f t="shared" ref="AN46:BC54" si="60">SUMIF($F$6:$F$45,$F46,AN$6:AN$45)</f>
        <v>0</v>
      </c>
      <c r="AO46" s="178">
        <f t="shared" si="60"/>
        <v>0</v>
      </c>
      <c r="AP46" s="178">
        <f t="shared" si="60"/>
        <v>0</v>
      </c>
      <c r="AQ46" s="179">
        <f t="shared" si="60"/>
        <v>0</v>
      </c>
      <c r="AR46" s="177">
        <f t="shared" si="60"/>
        <v>0</v>
      </c>
      <c r="AS46" s="178">
        <f t="shared" si="60"/>
        <v>0</v>
      </c>
      <c r="AT46" s="178">
        <f t="shared" si="60"/>
        <v>0</v>
      </c>
      <c r="AU46" s="179">
        <f t="shared" si="60"/>
        <v>0</v>
      </c>
      <c r="AV46" s="177">
        <f t="shared" si="60"/>
        <v>0</v>
      </c>
      <c r="AW46" s="178">
        <f t="shared" si="60"/>
        <v>0</v>
      </c>
      <c r="AX46" s="178">
        <f t="shared" si="60"/>
        <v>0</v>
      </c>
      <c r="AY46" s="179">
        <f t="shared" si="60"/>
        <v>0</v>
      </c>
      <c r="AZ46" s="177">
        <f t="shared" si="60"/>
        <v>0</v>
      </c>
      <c r="BA46" s="178">
        <f t="shared" si="60"/>
        <v>0</v>
      </c>
      <c r="BB46" s="178">
        <f t="shared" si="60"/>
        <v>0</v>
      </c>
      <c r="BC46" s="179">
        <f t="shared" si="60"/>
        <v>0</v>
      </c>
      <c r="BD46" s="177">
        <f t="shared" ref="BD46:BS54" si="61">SUMIF($F$6:$F$45,$F46,BD$6:BD$45)</f>
        <v>0</v>
      </c>
      <c r="BE46" s="178">
        <f t="shared" si="61"/>
        <v>0</v>
      </c>
      <c r="BF46" s="178">
        <f t="shared" si="61"/>
        <v>0</v>
      </c>
      <c r="BG46" s="179">
        <f t="shared" si="61"/>
        <v>0</v>
      </c>
      <c r="BH46" s="177">
        <f t="shared" si="61"/>
        <v>0</v>
      </c>
      <c r="BI46" s="178">
        <f t="shared" si="61"/>
        <v>0</v>
      </c>
      <c r="BJ46" s="178">
        <f t="shared" si="61"/>
        <v>0</v>
      </c>
      <c r="BK46" s="179">
        <f t="shared" si="61"/>
        <v>0</v>
      </c>
      <c r="BL46" s="177">
        <f t="shared" si="61"/>
        <v>0</v>
      </c>
      <c r="BM46" s="178">
        <f t="shared" si="61"/>
        <v>0</v>
      </c>
      <c r="BN46" s="178">
        <f t="shared" si="61"/>
        <v>0</v>
      </c>
      <c r="BO46" s="179">
        <f t="shared" si="61"/>
        <v>0</v>
      </c>
      <c r="BP46" s="177">
        <f t="shared" si="61"/>
        <v>0</v>
      </c>
      <c r="BQ46" s="178">
        <f t="shared" si="61"/>
        <v>0</v>
      </c>
      <c r="BR46" s="178">
        <f t="shared" si="61"/>
        <v>0</v>
      </c>
      <c r="BS46" s="179">
        <f t="shared" si="61"/>
        <v>0</v>
      </c>
      <c r="BT46" s="177">
        <f t="shared" ref="BP46:CE54" si="62">SUMIF($F$6:$F$45,$F46,BT$6:BT$45)</f>
        <v>0</v>
      </c>
      <c r="BU46" s="178">
        <f t="shared" si="62"/>
        <v>0</v>
      </c>
      <c r="BV46" s="178">
        <f t="shared" si="62"/>
        <v>0</v>
      </c>
      <c r="BW46" s="179">
        <f t="shared" si="62"/>
        <v>0</v>
      </c>
      <c r="BX46" s="177">
        <f t="shared" si="62"/>
        <v>0</v>
      </c>
      <c r="BY46" s="178">
        <f t="shared" si="62"/>
        <v>0</v>
      </c>
      <c r="BZ46" s="178">
        <f t="shared" si="62"/>
        <v>0</v>
      </c>
      <c r="CA46" s="179">
        <f t="shared" si="62"/>
        <v>0</v>
      </c>
      <c r="CB46" s="177">
        <f t="shared" si="62"/>
        <v>0</v>
      </c>
      <c r="CC46" s="178">
        <f t="shared" si="62"/>
        <v>0</v>
      </c>
      <c r="CD46" s="178">
        <f t="shared" si="62"/>
        <v>0</v>
      </c>
      <c r="CE46" s="179">
        <f t="shared" si="62"/>
        <v>0</v>
      </c>
      <c r="CF46" s="13"/>
      <c r="CG46" s="13"/>
      <c r="CH46" s="13"/>
      <c r="CI46" s="13"/>
    </row>
    <row r="47" spans="1:87" ht="20.100000000000001" customHeight="1">
      <c r="F47" s="3">
        <v>2</v>
      </c>
      <c r="G47" s="4" t="s">
        <v>11</v>
      </c>
      <c r="H47" s="180">
        <f t="shared" si="58"/>
        <v>0</v>
      </c>
      <c r="I47" s="181">
        <f t="shared" si="58"/>
        <v>0</v>
      </c>
      <c r="J47" s="181">
        <f t="shared" si="58"/>
        <v>0</v>
      </c>
      <c r="K47" s="182">
        <f t="shared" si="58"/>
        <v>0</v>
      </c>
      <c r="L47" s="180">
        <f t="shared" si="58"/>
        <v>0</v>
      </c>
      <c r="M47" s="181">
        <f t="shared" si="58"/>
        <v>0</v>
      </c>
      <c r="N47" s="181">
        <f t="shared" si="58"/>
        <v>0</v>
      </c>
      <c r="O47" s="182">
        <f t="shared" si="58"/>
        <v>0</v>
      </c>
      <c r="P47" s="180">
        <f t="shared" si="58"/>
        <v>0</v>
      </c>
      <c r="Q47" s="181">
        <f t="shared" si="58"/>
        <v>0</v>
      </c>
      <c r="R47" s="181">
        <f t="shared" si="58"/>
        <v>0</v>
      </c>
      <c r="S47" s="182">
        <f t="shared" si="58"/>
        <v>0</v>
      </c>
      <c r="T47" s="180">
        <f t="shared" si="58"/>
        <v>0</v>
      </c>
      <c r="U47" s="181">
        <f t="shared" si="58"/>
        <v>0</v>
      </c>
      <c r="V47" s="181">
        <f t="shared" si="58"/>
        <v>0</v>
      </c>
      <c r="W47" s="182">
        <f t="shared" si="58"/>
        <v>0</v>
      </c>
      <c r="X47" s="180">
        <f t="shared" si="59"/>
        <v>0</v>
      </c>
      <c r="Y47" s="181">
        <f t="shared" si="59"/>
        <v>0</v>
      </c>
      <c r="Z47" s="181">
        <f t="shared" si="59"/>
        <v>0</v>
      </c>
      <c r="AA47" s="182">
        <f t="shared" si="59"/>
        <v>0</v>
      </c>
      <c r="AB47" s="180">
        <f t="shared" si="59"/>
        <v>0</v>
      </c>
      <c r="AC47" s="181">
        <f t="shared" si="59"/>
        <v>0</v>
      </c>
      <c r="AD47" s="181">
        <f t="shared" si="59"/>
        <v>0</v>
      </c>
      <c r="AE47" s="182">
        <f t="shared" si="59"/>
        <v>0</v>
      </c>
      <c r="AF47" s="180">
        <f t="shared" si="59"/>
        <v>0</v>
      </c>
      <c r="AG47" s="181">
        <f t="shared" si="59"/>
        <v>0</v>
      </c>
      <c r="AH47" s="181">
        <f t="shared" si="59"/>
        <v>0</v>
      </c>
      <c r="AI47" s="182">
        <f t="shared" si="59"/>
        <v>0</v>
      </c>
      <c r="AJ47" s="180">
        <f t="shared" si="59"/>
        <v>0</v>
      </c>
      <c r="AK47" s="181">
        <f t="shared" si="59"/>
        <v>0</v>
      </c>
      <c r="AL47" s="181">
        <f t="shared" si="59"/>
        <v>0</v>
      </c>
      <c r="AM47" s="182">
        <f t="shared" si="59"/>
        <v>0</v>
      </c>
      <c r="AN47" s="180">
        <f t="shared" si="60"/>
        <v>0</v>
      </c>
      <c r="AO47" s="181">
        <f t="shared" si="60"/>
        <v>0</v>
      </c>
      <c r="AP47" s="181">
        <f t="shared" si="60"/>
        <v>0</v>
      </c>
      <c r="AQ47" s="182">
        <f t="shared" si="60"/>
        <v>0</v>
      </c>
      <c r="AR47" s="180">
        <f t="shared" si="60"/>
        <v>0</v>
      </c>
      <c r="AS47" s="181">
        <f t="shared" si="60"/>
        <v>0</v>
      </c>
      <c r="AT47" s="181">
        <f t="shared" si="60"/>
        <v>0</v>
      </c>
      <c r="AU47" s="182">
        <f t="shared" si="60"/>
        <v>0</v>
      </c>
      <c r="AV47" s="180">
        <f t="shared" si="60"/>
        <v>0</v>
      </c>
      <c r="AW47" s="181">
        <f t="shared" si="60"/>
        <v>0</v>
      </c>
      <c r="AX47" s="181">
        <f t="shared" si="60"/>
        <v>0</v>
      </c>
      <c r="AY47" s="182">
        <f t="shared" si="60"/>
        <v>0</v>
      </c>
      <c r="AZ47" s="180">
        <f t="shared" si="60"/>
        <v>0</v>
      </c>
      <c r="BA47" s="181">
        <f t="shared" si="60"/>
        <v>0</v>
      </c>
      <c r="BB47" s="181">
        <f t="shared" si="60"/>
        <v>0</v>
      </c>
      <c r="BC47" s="182">
        <f t="shared" si="60"/>
        <v>0</v>
      </c>
      <c r="BD47" s="180">
        <f t="shared" si="61"/>
        <v>0</v>
      </c>
      <c r="BE47" s="181">
        <f t="shared" si="61"/>
        <v>0</v>
      </c>
      <c r="BF47" s="181">
        <f t="shared" si="61"/>
        <v>0</v>
      </c>
      <c r="BG47" s="182">
        <f t="shared" si="61"/>
        <v>0</v>
      </c>
      <c r="BH47" s="180">
        <f t="shared" si="61"/>
        <v>0</v>
      </c>
      <c r="BI47" s="181">
        <f t="shared" si="61"/>
        <v>0</v>
      </c>
      <c r="BJ47" s="181">
        <f t="shared" si="61"/>
        <v>0</v>
      </c>
      <c r="BK47" s="182">
        <f t="shared" si="61"/>
        <v>0</v>
      </c>
      <c r="BL47" s="180">
        <f t="shared" si="61"/>
        <v>0</v>
      </c>
      <c r="BM47" s="181">
        <f t="shared" si="61"/>
        <v>0</v>
      </c>
      <c r="BN47" s="181">
        <f t="shared" si="61"/>
        <v>0</v>
      </c>
      <c r="BO47" s="182">
        <f t="shared" si="61"/>
        <v>0</v>
      </c>
      <c r="BP47" s="180">
        <f t="shared" si="62"/>
        <v>0</v>
      </c>
      <c r="BQ47" s="181">
        <f t="shared" si="62"/>
        <v>0</v>
      </c>
      <c r="BR47" s="181">
        <f t="shared" si="62"/>
        <v>0</v>
      </c>
      <c r="BS47" s="182">
        <f t="shared" si="62"/>
        <v>0</v>
      </c>
      <c r="BT47" s="180">
        <f t="shared" si="62"/>
        <v>0</v>
      </c>
      <c r="BU47" s="181">
        <f t="shared" si="62"/>
        <v>0</v>
      </c>
      <c r="BV47" s="181">
        <f t="shared" si="62"/>
        <v>0</v>
      </c>
      <c r="BW47" s="182">
        <f t="shared" si="62"/>
        <v>0</v>
      </c>
      <c r="BX47" s="180">
        <f t="shared" si="62"/>
        <v>0</v>
      </c>
      <c r="BY47" s="181">
        <f t="shared" si="62"/>
        <v>0</v>
      </c>
      <c r="BZ47" s="181">
        <f t="shared" si="62"/>
        <v>0</v>
      </c>
      <c r="CA47" s="182">
        <f t="shared" si="62"/>
        <v>0</v>
      </c>
      <c r="CB47" s="180">
        <f t="shared" si="62"/>
        <v>0</v>
      </c>
      <c r="CC47" s="181">
        <f t="shared" si="62"/>
        <v>0</v>
      </c>
      <c r="CD47" s="181">
        <f t="shared" si="62"/>
        <v>0</v>
      </c>
      <c r="CE47" s="182">
        <f t="shared" si="62"/>
        <v>0</v>
      </c>
      <c r="CF47" s="13"/>
      <c r="CG47" s="13"/>
      <c r="CH47" s="13"/>
      <c r="CI47" s="13"/>
    </row>
    <row r="48" spans="1:87" ht="20.100000000000001" customHeight="1">
      <c r="F48" s="198">
        <v>3</v>
      </c>
      <c r="G48" s="199" t="s">
        <v>12</v>
      </c>
      <c r="H48" s="219">
        <f t="shared" si="58"/>
        <v>0</v>
      </c>
      <c r="I48" s="220">
        <f t="shared" si="58"/>
        <v>0</v>
      </c>
      <c r="J48" s="220">
        <f t="shared" si="58"/>
        <v>0</v>
      </c>
      <c r="K48" s="221">
        <f t="shared" si="58"/>
        <v>0</v>
      </c>
      <c r="L48" s="219">
        <f t="shared" si="58"/>
        <v>0</v>
      </c>
      <c r="M48" s="220">
        <f t="shared" si="58"/>
        <v>0</v>
      </c>
      <c r="N48" s="220">
        <f t="shared" si="58"/>
        <v>0</v>
      </c>
      <c r="O48" s="221">
        <f t="shared" si="58"/>
        <v>0</v>
      </c>
      <c r="P48" s="219">
        <f t="shared" si="58"/>
        <v>0</v>
      </c>
      <c r="Q48" s="220">
        <f t="shared" si="58"/>
        <v>0</v>
      </c>
      <c r="R48" s="220">
        <f t="shared" si="58"/>
        <v>0</v>
      </c>
      <c r="S48" s="221">
        <f t="shared" si="58"/>
        <v>0</v>
      </c>
      <c r="T48" s="219">
        <f t="shared" si="58"/>
        <v>0</v>
      </c>
      <c r="U48" s="220">
        <f t="shared" si="58"/>
        <v>0</v>
      </c>
      <c r="V48" s="220">
        <f t="shared" si="58"/>
        <v>0</v>
      </c>
      <c r="W48" s="221">
        <f t="shared" si="58"/>
        <v>0</v>
      </c>
      <c r="X48" s="219">
        <f t="shared" si="59"/>
        <v>0</v>
      </c>
      <c r="Y48" s="220">
        <f t="shared" si="59"/>
        <v>0</v>
      </c>
      <c r="Z48" s="220">
        <f t="shared" si="59"/>
        <v>0</v>
      </c>
      <c r="AA48" s="221">
        <f t="shared" si="59"/>
        <v>0</v>
      </c>
      <c r="AB48" s="219">
        <f t="shared" si="59"/>
        <v>0</v>
      </c>
      <c r="AC48" s="220">
        <f t="shared" si="59"/>
        <v>0</v>
      </c>
      <c r="AD48" s="220">
        <f t="shared" si="59"/>
        <v>0</v>
      </c>
      <c r="AE48" s="221">
        <f t="shared" si="59"/>
        <v>0</v>
      </c>
      <c r="AF48" s="219">
        <f t="shared" si="59"/>
        <v>0</v>
      </c>
      <c r="AG48" s="220">
        <f t="shared" si="59"/>
        <v>0</v>
      </c>
      <c r="AH48" s="220">
        <f t="shared" si="59"/>
        <v>0</v>
      </c>
      <c r="AI48" s="221">
        <f t="shared" si="59"/>
        <v>0</v>
      </c>
      <c r="AJ48" s="219">
        <f t="shared" si="59"/>
        <v>0</v>
      </c>
      <c r="AK48" s="220">
        <f t="shared" si="59"/>
        <v>0</v>
      </c>
      <c r="AL48" s="220">
        <f t="shared" si="59"/>
        <v>0</v>
      </c>
      <c r="AM48" s="221">
        <f t="shared" si="59"/>
        <v>0</v>
      </c>
      <c r="AN48" s="219">
        <f t="shared" si="60"/>
        <v>0</v>
      </c>
      <c r="AO48" s="220">
        <f t="shared" si="60"/>
        <v>0</v>
      </c>
      <c r="AP48" s="220">
        <f t="shared" si="60"/>
        <v>0</v>
      </c>
      <c r="AQ48" s="221">
        <f t="shared" si="60"/>
        <v>0</v>
      </c>
      <c r="AR48" s="219">
        <f t="shared" si="60"/>
        <v>0</v>
      </c>
      <c r="AS48" s="220">
        <f t="shared" si="60"/>
        <v>0</v>
      </c>
      <c r="AT48" s="220">
        <f t="shared" si="60"/>
        <v>0</v>
      </c>
      <c r="AU48" s="221">
        <f t="shared" si="60"/>
        <v>0</v>
      </c>
      <c r="AV48" s="219">
        <f t="shared" si="60"/>
        <v>0</v>
      </c>
      <c r="AW48" s="220">
        <f t="shared" si="60"/>
        <v>0</v>
      </c>
      <c r="AX48" s="220">
        <f t="shared" si="60"/>
        <v>0</v>
      </c>
      <c r="AY48" s="221">
        <f t="shared" si="60"/>
        <v>0</v>
      </c>
      <c r="AZ48" s="219">
        <f t="shared" si="60"/>
        <v>0</v>
      </c>
      <c r="BA48" s="220">
        <f t="shared" si="60"/>
        <v>0</v>
      </c>
      <c r="BB48" s="220">
        <f t="shared" si="60"/>
        <v>0</v>
      </c>
      <c r="BC48" s="221">
        <f t="shared" si="60"/>
        <v>0</v>
      </c>
      <c r="BD48" s="219">
        <f t="shared" si="61"/>
        <v>0</v>
      </c>
      <c r="BE48" s="220">
        <f t="shared" si="61"/>
        <v>0</v>
      </c>
      <c r="BF48" s="220">
        <f t="shared" si="61"/>
        <v>0</v>
      </c>
      <c r="BG48" s="221">
        <f t="shared" si="61"/>
        <v>0</v>
      </c>
      <c r="BH48" s="219">
        <f t="shared" si="61"/>
        <v>0</v>
      </c>
      <c r="BI48" s="220">
        <f t="shared" si="61"/>
        <v>0</v>
      </c>
      <c r="BJ48" s="220">
        <f t="shared" si="61"/>
        <v>0</v>
      </c>
      <c r="BK48" s="221">
        <f t="shared" si="61"/>
        <v>0</v>
      </c>
      <c r="BL48" s="219">
        <f t="shared" si="61"/>
        <v>0</v>
      </c>
      <c r="BM48" s="220">
        <f t="shared" si="61"/>
        <v>0</v>
      </c>
      <c r="BN48" s="220">
        <f t="shared" si="61"/>
        <v>0</v>
      </c>
      <c r="BO48" s="221">
        <f t="shared" si="61"/>
        <v>0</v>
      </c>
      <c r="BP48" s="219">
        <f t="shared" si="62"/>
        <v>0</v>
      </c>
      <c r="BQ48" s="220">
        <f t="shared" si="62"/>
        <v>0</v>
      </c>
      <c r="BR48" s="220">
        <f t="shared" si="62"/>
        <v>0</v>
      </c>
      <c r="BS48" s="221">
        <f t="shared" si="62"/>
        <v>0</v>
      </c>
      <c r="BT48" s="219">
        <f t="shared" si="62"/>
        <v>0</v>
      </c>
      <c r="BU48" s="220">
        <f t="shared" si="62"/>
        <v>0</v>
      </c>
      <c r="BV48" s="220">
        <f t="shared" si="62"/>
        <v>0</v>
      </c>
      <c r="BW48" s="221">
        <f t="shared" si="62"/>
        <v>0</v>
      </c>
      <c r="BX48" s="219">
        <f t="shared" si="62"/>
        <v>0</v>
      </c>
      <c r="BY48" s="220">
        <f t="shared" si="62"/>
        <v>0</v>
      </c>
      <c r="BZ48" s="220">
        <f t="shared" si="62"/>
        <v>0</v>
      </c>
      <c r="CA48" s="221">
        <f t="shared" si="62"/>
        <v>0</v>
      </c>
      <c r="CB48" s="219">
        <f t="shared" si="62"/>
        <v>0</v>
      </c>
      <c r="CC48" s="220">
        <f t="shared" si="62"/>
        <v>0</v>
      </c>
      <c r="CD48" s="220">
        <f t="shared" si="62"/>
        <v>0</v>
      </c>
      <c r="CE48" s="221">
        <f t="shared" si="62"/>
        <v>0</v>
      </c>
      <c r="CF48" s="13"/>
      <c r="CG48" s="13"/>
      <c r="CH48" s="13"/>
      <c r="CI48" s="13"/>
    </row>
    <row r="49" spans="1:87" ht="20.100000000000001" customHeight="1">
      <c r="B49" s="28"/>
      <c r="F49" s="1">
        <v>4</v>
      </c>
      <c r="G49" s="2" t="s">
        <v>81</v>
      </c>
      <c r="H49" s="214">
        <f t="shared" si="58"/>
        <v>0</v>
      </c>
      <c r="I49" s="215">
        <f t="shared" si="58"/>
        <v>0</v>
      </c>
      <c r="J49" s="215">
        <f t="shared" si="58"/>
        <v>0</v>
      </c>
      <c r="K49" s="216">
        <f t="shared" si="58"/>
        <v>0</v>
      </c>
      <c r="L49" s="214">
        <f t="shared" si="58"/>
        <v>0</v>
      </c>
      <c r="M49" s="215">
        <f t="shared" si="58"/>
        <v>0</v>
      </c>
      <c r="N49" s="215">
        <f t="shared" si="58"/>
        <v>0</v>
      </c>
      <c r="O49" s="216">
        <f t="shared" si="58"/>
        <v>0</v>
      </c>
      <c r="P49" s="214">
        <f t="shared" si="58"/>
        <v>0</v>
      </c>
      <c r="Q49" s="215">
        <f t="shared" si="58"/>
        <v>0</v>
      </c>
      <c r="R49" s="215">
        <f t="shared" si="58"/>
        <v>0</v>
      </c>
      <c r="S49" s="216">
        <f t="shared" si="58"/>
        <v>0</v>
      </c>
      <c r="T49" s="214">
        <f t="shared" si="58"/>
        <v>0</v>
      </c>
      <c r="U49" s="215">
        <f t="shared" si="58"/>
        <v>0</v>
      </c>
      <c r="V49" s="215">
        <f t="shared" si="58"/>
        <v>0</v>
      </c>
      <c r="W49" s="216">
        <f t="shared" si="58"/>
        <v>0</v>
      </c>
      <c r="X49" s="214">
        <f t="shared" si="59"/>
        <v>0</v>
      </c>
      <c r="Y49" s="215">
        <f t="shared" si="59"/>
        <v>0</v>
      </c>
      <c r="Z49" s="215">
        <f t="shared" si="59"/>
        <v>0</v>
      </c>
      <c r="AA49" s="216">
        <f t="shared" si="59"/>
        <v>0</v>
      </c>
      <c r="AB49" s="214">
        <f t="shared" si="59"/>
        <v>0</v>
      </c>
      <c r="AC49" s="215">
        <f t="shared" si="59"/>
        <v>0</v>
      </c>
      <c r="AD49" s="215">
        <f t="shared" si="59"/>
        <v>0</v>
      </c>
      <c r="AE49" s="216">
        <f t="shared" si="59"/>
        <v>0</v>
      </c>
      <c r="AF49" s="214">
        <f t="shared" si="59"/>
        <v>0</v>
      </c>
      <c r="AG49" s="215">
        <f t="shared" si="59"/>
        <v>0</v>
      </c>
      <c r="AH49" s="215">
        <f t="shared" si="59"/>
        <v>0</v>
      </c>
      <c r="AI49" s="216">
        <f t="shared" si="59"/>
        <v>0</v>
      </c>
      <c r="AJ49" s="214">
        <f t="shared" si="59"/>
        <v>0</v>
      </c>
      <c r="AK49" s="215">
        <f t="shared" si="59"/>
        <v>0</v>
      </c>
      <c r="AL49" s="215">
        <f t="shared" si="59"/>
        <v>0</v>
      </c>
      <c r="AM49" s="216">
        <f t="shared" si="59"/>
        <v>0</v>
      </c>
      <c r="AN49" s="214">
        <f t="shared" si="60"/>
        <v>0</v>
      </c>
      <c r="AO49" s="215">
        <f t="shared" si="60"/>
        <v>0</v>
      </c>
      <c r="AP49" s="215">
        <f t="shared" si="60"/>
        <v>0</v>
      </c>
      <c r="AQ49" s="216">
        <f t="shared" si="60"/>
        <v>0</v>
      </c>
      <c r="AR49" s="214">
        <f t="shared" si="60"/>
        <v>0</v>
      </c>
      <c r="AS49" s="215">
        <f t="shared" si="60"/>
        <v>0</v>
      </c>
      <c r="AT49" s="215">
        <f t="shared" si="60"/>
        <v>0</v>
      </c>
      <c r="AU49" s="216">
        <f t="shared" si="60"/>
        <v>0</v>
      </c>
      <c r="AV49" s="214">
        <f t="shared" si="60"/>
        <v>0</v>
      </c>
      <c r="AW49" s="215">
        <f t="shared" si="60"/>
        <v>0</v>
      </c>
      <c r="AX49" s="215">
        <f t="shared" si="60"/>
        <v>0</v>
      </c>
      <c r="AY49" s="216">
        <f t="shared" si="60"/>
        <v>0</v>
      </c>
      <c r="AZ49" s="214">
        <f t="shared" si="60"/>
        <v>0</v>
      </c>
      <c r="BA49" s="215">
        <f t="shared" si="60"/>
        <v>0</v>
      </c>
      <c r="BB49" s="215">
        <f t="shared" si="60"/>
        <v>0</v>
      </c>
      <c r="BC49" s="216">
        <f t="shared" si="60"/>
        <v>0</v>
      </c>
      <c r="BD49" s="214">
        <f t="shared" si="61"/>
        <v>0</v>
      </c>
      <c r="BE49" s="215">
        <f t="shared" si="61"/>
        <v>0</v>
      </c>
      <c r="BF49" s="215">
        <f t="shared" si="61"/>
        <v>0</v>
      </c>
      <c r="BG49" s="216">
        <f t="shared" si="61"/>
        <v>0</v>
      </c>
      <c r="BH49" s="214">
        <f t="shared" si="61"/>
        <v>0</v>
      </c>
      <c r="BI49" s="215">
        <f t="shared" si="61"/>
        <v>0</v>
      </c>
      <c r="BJ49" s="215">
        <f t="shared" si="61"/>
        <v>0</v>
      </c>
      <c r="BK49" s="216">
        <f t="shared" si="61"/>
        <v>0</v>
      </c>
      <c r="BL49" s="214">
        <f t="shared" si="61"/>
        <v>0</v>
      </c>
      <c r="BM49" s="215">
        <f t="shared" si="61"/>
        <v>0</v>
      </c>
      <c r="BN49" s="215">
        <f t="shared" si="61"/>
        <v>0</v>
      </c>
      <c r="BO49" s="216">
        <f t="shared" si="61"/>
        <v>0</v>
      </c>
      <c r="BP49" s="214">
        <f t="shared" si="62"/>
        <v>0</v>
      </c>
      <c r="BQ49" s="215">
        <f t="shared" si="62"/>
        <v>0</v>
      </c>
      <c r="BR49" s="215">
        <f t="shared" si="62"/>
        <v>0</v>
      </c>
      <c r="BS49" s="216">
        <f t="shared" si="62"/>
        <v>0</v>
      </c>
      <c r="BT49" s="214">
        <f t="shared" si="62"/>
        <v>0</v>
      </c>
      <c r="BU49" s="215">
        <f t="shared" si="62"/>
        <v>0</v>
      </c>
      <c r="BV49" s="215">
        <f t="shared" si="62"/>
        <v>0</v>
      </c>
      <c r="BW49" s="216">
        <f t="shared" si="62"/>
        <v>0</v>
      </c>
      <c r="BX49" s="214">
        <f t="shared" si="62"/>
        <v>0</v>
      </c>
      <c r="BY49" s="215">
        <f t="shared" si="62"/>
        <v>0</v>
      </c>
      <c r="BZ49" s="215">
        <f t="shared" si="62"/>
        <v>0</v>
      </c>
      <c r="CA49" s="216">
        <f t="shared" si="62"/>
        <v>0</v>
      </c>
      <c r="CB49" s="214">
        <f t="shared" si="62"/>
        <v>0</v>
      </c>
      <c r="CC49" s="215">
        <f t="shared" si="62"/>
        <v>0</v>
      </c>
      <c r="CD49" s="215">
        <f t="shared" si="62"/>
        <v>0</v>
      </c>
      <c r="CE49" s="216">
        <f t="shared" si="62"/>
        <v>0</v>
      </c>
      <c r="CF49" s="13"/>
      <c r="CG49" s="13"/>
      <c r="CH49" s="13"/>
      <c r="CI49" s="13"/>
    </row>
    <row r="50" spans="1:87" ht="20.100000000000001" customHeight="1">
      <c r="F50" s="217">
        <v>8</v>
      </c>
      <c r="G50" s="218" t="s">
        <v>14</v>
      </c>
      <c r="H50" s="183">
        <f t="shared" si="58"/>
        <v>0</v>
      </c>
      <c r="I50" s="184">
        <f t="shared" si="58"/>
        <v>0</v>
      </c>
      <c r="J50" s="184">
        <f t="shared" si="58"/>
        <v>0</v>
      </c>
      <c r="K50" s="185">
        <f t="shared" si="58"/>
        <v>0</v>
      </c>
      <c r="L50" s="183">
        <f t="shared" si="58"/>
        <v>0</v>
      </c>
      <c r="M50" s="184">
        <f t="shared" si="58"/>
        <v>0</v>
      </c>
      <c r="N50" s="184">
        <f t="shared" si="58"/>
        <v>0</v>
      </c>
      <c r="O50" s="185">
        <f t="shared" si="58"/>
        <v>0</v>
      </c>
      <c r="P50" s="183">
        <f t="shared" si="58"/>
        <v>0</v>
      </c>
      <c r="Q50" s="184">
        <f t="shared" si="58"/>
        <v>0</v>
      </c>
      <c r="R50" s="184">
        <f t="shared" si="58"/>
        <v>0</v>
      </c>
      <c r="S50" s="185">
        <f t="shared" si="58"/>
        <v>0</v>
      </c>
      <c r="T50" s="183">
        <f t="shared" si="58"/>
        <v>0</v>
      </c>
      <c r="U50" s="184">
        <f t="shared" si="58"/>
        <v>0</v>
      </c>
      <c r="V50" s="184">
        <f t="shared" si="58"/>
        <v>0</v>
      </c>
      <c r="W50" s="185">
        <f t="shared" si="58"/>
        <v>0</v>
      </c>
      <c r="X50" s="183">
        <f t="shared" si="59"/>
        <v>0</v>
      </c>
      <c r="Y50" s="184">
        <f t="shared" si="59"/>
        <v>0</v>
      </c>
      <c r="Z50" s="184">
        <f t="shared" si="59"/>
        <v>0</v>
      </c>
      <c r="AA50" s="185">
        <f t="shared" si="59"/>
        <v>0</v>
      </c>
      <c r="AB50" s="183">
        <f t="shared" si="59"/>
        <v>0</v>
      </c>
      <c r="AC50" s="184">
        <f t="shared" si="59"/>
        <v>0</v>
      </c>
      <c r="AD50" s="184">
        <f t="shared" si="59"/>
        <v>0</v>
      </c>
      <c r="AE50" s="185">
        <f t="shared" si="59"/>
        <v>0</v>
      </c>
      <c r="AF50" s="183">
        <f t="shared" si="59"/>
        <v>0</v>
      </c>
      <c r="AG50" s="184">
        <f t="shared" si="59"/>
        <v>0</v>
      </c>
      <c r="AH50" s="184">
        <f t="shared" si="59"/>
        <v>0</v>
      </c>
      <c r="AI50" s="185">
        <f t="shared" si="59"/>
        <v>0</v>
      </c>
      <c r="AJ50" s="183">
        <f t="shared" si="59"/>
        <v>0</v>
      </c>
      <c r="AK50" s="184">
        <f t="shared" si="59"/>
        <v>0</v>
      </c>
      <c r="AL50" s="184">
        <f t="shared" si="59"/>
        <v>0</v>
      </c>
      <c r="AM50" s="185">
        <f t="shared" si="59"/>
        <v>0</v>
      </c>
      <c r="AN50" s="183">
        <f t="shared" si="60"/>
        <v>0</v>
      </c>
      <c r="AO50" s="184">
        <f t="shared" si="60"/>
        <v>0</v>
      </c>
      <c r="AP50" s="184">
        <f t="shared" si="60"/>
        <v>0</v>
      </c>
      <c r="AQ50" s="185">
        <f t="shared" si="60"/>
        <v>0</v>
      </c>
      <c r="AR50" s="183">
        <f t="shared" si="60"/>
        <v>0</v>
      </c>
      <c r="AS50" s="184">
        <f t="shared" si="60"/>
        <v>0</v>
      </c>
      <c r="AT50" s="184">
        <f t="shared" si="60"/>
        <v>0</v>
      </c>
      <c r="AU50" s="185">
        <f t="shared" si="60"/>
        <v>0</v>
      </c>
      <c r="AV50" s="183">
        <f t="shared" si="60"/>
        <v>0</v>
      </c>
      <c r="AW50" s="184">
        <f t="shared" si="60"/>
        <v>0</v>
      </c>
      <c r="AX50" s="184">
        <f t="shared" si="60"/>
        <v>0</v>
      </c>
      <c r="AY50" s="185">
        <f t="shared" si="60"/>
        <v>0</v>
      </c>
      <c r="AZ50" s="183">
        <f t="shared" si="60"/>
        <v>0</v>
      </c>
      <c r="BA50" s="184">
        <f t="shared" si="60"/>
        <v>0</v>
      </c>
      <c r="BB50" s="184">
        <f t="shared" si="60"/>
        <v>0</v>
      </c>
      <c r="BC50" s="185">
        <f t="shared" si="60"/>
        <v>0</v>
      </c>
      <c r="BD50" s="183">
        <f t="shared" si="61"/>
        <v>0</v>
      </c>
      <c r="BE50" s="184">
        <f t="shared" si="61"/>
        <v>0</v>
      </c>
      <c r="BF50" s="184">
        <f t="shared" si="61"/>
        <v>0</v>
      </c>
      <c r="BG50" s="185">
        <f t="shared" si="61"/>
        <v>0</v>
      </c>
      <c r="BH50" s="183">
        <f t="shared" si="61"/>
        <v>0</v>
      </c>
      <c r="BI50" s="184">
        <f t="shared" si="61"/>
        <v>0</v>
      </c>
      <c r="BJ50" s="184">
        <f t="shared" si="61"/>
        <v>0</v>
      </c>
      <c r="BK50" s="185">
        <f t="shared" si="61"/>
        <v>0</v>
      </c>
      <c r="BL50" s="183">
        <f t="shared" si="61"/>
        <v>0</v>
      </c>
      <c r="BM50" s="184">
        <f t="shared" si="61"/>
        <v>0</v>
      </c>
      <c r="BN50" s="184">
        <f t="shared" si="61"/>
        <v>0</v>
      </c>
      <c r="BO50" s="185">
        <f t="shared" si="61"/>
        <v>0</v>
      </c>
      <c r="BP50" s="183">
        <f t="shared" si="62"/>
        <v>0</v>
      </c>
      <c r="BQ50" s="184">
        <f t="shared" si="62"/>
        <v>0</v>
      </c>
      <c r="BR50" s="184">
        <f t="shared" si="62"/>
        <v>0</v>
      </c>
      <c r="BS50" s="185">
        <f t="shared" si="62"/>
        <v>0</v>
      </c>
      <c r="BT50" s="183">
        <f t="shared" si="62"/>
        <v>0</v>
      </c>
      <c r="BU50" s="184">
        <f t="shared" si="62"/>
        <v>0</v>
      </c>
      <c r="BV50" s="184">
        <f t="shared" si="62"/>
        <v>0</v>
      </c>
      <c r="BW50" s="185">
        <f t="shared" si="62"/>
        <v>0</v>
      </c>
      <c r="BX50" s="183">
        <f t="shared" si="62"/>
        <v>0</v>
      </c>
      <c r="BY50" s="184">
        <f t="shared" si="62"/>
        <v>0</v>
      </c>
      <c r="BZ50" s="184">
        <f t="shared" si="62"/>
        <v>0</v>
      </c>
      <c r="CA50" s="185">
        <f t="shared" si="62"/>
        <v>0</v>
      </c>
      <c r="CB50" s="183">
        <f t="shared" si="62"/>
        <v>0</v>
      </c>
      <c r="CC50" s="184">
        <f t="shared" si="62"/>
        <v>0</v>
      </c>
      <c r="CD50" s="184">
        <f t="shared" si="62"/>
        <v>0</v>
      </c>
      <c r="CE50" s="185">
        <f t="shared" si="62"/>
        <v>0</v>
      </c>
      <c r="CF50" s="13"/>
      <c r="CG50" s="13"/>
      <c r="CH50" s="13"/>
      <c r="CI50" s="13"/>
    </row>
    <row r="51" spans="1:87" ht="20.100000000000001" customHeight="1">
      <c r="F51" s="5">
        <v>9</v>
      </c>
      <c r="G51" s="6" t="s">
        <v>82</v>
      </c>
      <c r="H51" s="186">
        <f t="shared" si="58"/>
        <v>0</v>
      </c>
      <c r="I51" s="187">
        <f t="shared" si="58"/>
        <v>0</v>
      </c>
      <c r="J51" s="187">
        <f t="shared" si="58"/>
        <v>0</v>
      </c>
      <c r="K51" s="188">
        <f t="shared" si="58"/>
        <v>0</v>
      </c>
      <c r="L51" s="186">
        <f t="shared" si="58"/>
        <v>0</v>
      </c>
      <c r="M51" s="187">
        <f t="shared" si="58"/>
        <v>0</v>
      </c>
      <c r="N51" s="187">
        <f t="shared" si="58"/>
        <v>0</v>
      </c>
      <c r="O51" s="188">
        <f t="shared" si="58"/>
        <v>0</v>
      </c>
      <c r="P51" s="186">
        <f t="shared" si="58"/>
        <v>0</v>
      </c>
      <c r="Q51" s="187">
        <f t="shared" si="58"/>
        <v>0</v>
      </c>
      <c r="R51" s="187">
        <f t="shared" si="58"/>
        <v>0</v>
      </c>
      <c r="S51" s="188">
        <f t="shared" si="58"/>
        <v>0</v>
      </c>
      <c r="T51" s="186">
        <f t="shared" si="58"/>
        <v>0</v>
      </c>
      <c r="U51" s="187">
        <f t="shared" si="58"/>
        <v>0</v>
      </c>
      <c r="V51" s="187">
        <f t="shared" si="58"/>
        <v>0</v>
      </c>
      <c r="W51" s="188">
        <f t="shared" si="58"/>
        <v>0</v>
      </c>
      <c r="X51" s="186">
        <f t="shared" si="59"/>
        <v>0</v>
      </c>
      <c r="Y51" s="187">
        <f t="shared" si="59"/>
        <v>0</v>
      </c>
      <c r="Z51" s="187">
        <f t="shared" si="59"/>
        <v>0</v>
      </c>
      <c r="AA51" s="188">
        <f t="shared" si="59"/>
        <v>0</v>
      </c>
      <c r="AB51" s="186">
        <f t="shared" si="59"/>
        <v>0</v>
      </c>
      <c r="AC51" s="187">
        <f t="shared" si="59"/>
        <v>0</v>
      </c>
      <c r="AD51" s="187">
        <f t="shared" si="59"/>
        <v>0</v>
      </c>
      <c r="AE51" s="188">
        <f t="shared" si="59"/>
        <v>0</v>
      </c>
      <c r="AF51" s="186">
        <f t="shared" si="59"/>
        <v>0</v>
      </c>
      <c r="AG51" s="187">
        <f t="shared" si="59"/>
        <v>0</v>
      </c>
      <c r="AH51" s="187">
        <f t="shared" si="59"/>
        <v>0</v>
      </c>
      <c r="AI51" s="188">
        <f t="shared" si="59"/>
        <v>0</v>
      </c>
      <c r="AJ51" s="186">
        <f t="shared" si="59"/>
        <v>0</v>
      </c>
      <c r="AK51" s="187">
        <f t="shared" si="59"/>
        <v>0</v>
      </c>
      <c r="AL51" s="187">
        <f t="shared" si="59"/>
        <v>0</v>
      </c>
      <c r="AM51" s="188">
        <f t="shared" si="59"/>
        <v>0</v>
      </c>
      <c r="AN51" s="186">
        <f t="shared" si="60"/>
        <v>0</v>
      </c>
      <c r="AO51" s="187">
        <f t="shared" si="60"/>
        <v>0</v>
      </c>
      <c r="AP51" s="187">
        <f t="shared" si="60"/>
        <v>0</v>
      </c>
      <c r="AQ51" s="188">
        <f t="shared" si="60"/>
        <v>0</v>
      </c>
      <c r="AR51" s="186">
        <f t="shared" si="60"/>
        <v>0</v>
      </c>
      <c r="AS51" s="187">
        <f t="shared" si="60"/>
        <v>0</v>
      </c>
      <c r="AT51" s="187">
        <f t="shared" si="60"/>
        <v>0</v>
      </c>
      <c r="AU51" s="188">
        <f t="shared" si="60"/>
        <v>0</v>
      </c>
      <c r="AV51" s="186">
        <f t="shared" si="60"/>
        <v>0</v>
      </c>
      <c r="AW51" s="187">
        <f t="shared" si="60"/>
        <v>0</v>
      </c>
      <c r="AX51" s="187">
        <f t="shared" si="60"/>
        <v>0</v>
      </c>
      <c r="AY51" s="188">
        <f t="shared" si="60"/>
        <v>0</v>
      </c>
      <c r="AZ51" s="186">
        <f t="shared" si="60"/>
        <v>0</v>
      </c>
      <c r="BA51" s="187">
        <f t="shared" si="60"/>
        <v>0</v>
      </c>
      <c r="BB51" s="187">
        <f t="shared" si="60"/>
        <v>0</v>
      </c>
      <c r="BC51" s="188">
        <f t="shared" si="60"/>
        <v>0</v>
      </c>
      <c r="BD51" s="186">
        <f t="shared" si="61"/>
        <v>0</v>
      </c>
      <c r="BE51" s="187">
        <f t="shared" si="61"/>
        <v>0</v>
      </c>
      <c r="BF51" s="187">
        <f t="shared" si="61"/>
        <v>0</v>
      </c>
      <c r="BG51" s="188">
        <f t="shared" si="61"/>
        <v>0</v>
      </c>
      <c r="BH51" s="186">
        <f t="shared" si="61"/>
        <v>0</v>
      </c>
      <c r="BI51" s="187">
        <f t="shared" si="61"/>
        <v>0</v>
      </c>
      <c r="BJ51" s="187">
        <f t="shared" si="61"/>
        <v>0</v>
      </c>
      <c r="BK51" s="188">
        <f t="shared" si="61"/>
        <v>0</v>
      </c>
      <c r="BL51" s="186">
        <f t="shared" si="61"/>
        <v>0</v>
      </c>
      <c r="BM51" s="187">
        <f t="shared" si="61"/>
        <v>0</v>
      </c>
      <c r="BN51" s="187">
        <f t="shared" si="61"/>
        <v>0</v>
      </c>
      <c r="BO51" s="188">
        <f t="shared" si="61"/>
        <v>0</v>
      </c>
      <c r="BP51" s="186">
        <f t="shared" si="62"/>
        <v>0</v>
      </c>
      <c r="BQ51" s="187">
        <f t="shared" si="62"/>
        <v>0</v>
      </c>
      <c r="BR51" s="187">
        <f t="shared" si="62"/>
        <v>0</v>
      </c>
      <c r="BS51" s="188">
        <f t="shared" si="62"/>
        <v>0</v>
      </c>
      <c r="BT51" s="186">
        <f t="shared" si="62"/>
        <v>0</v>
      </c>
      <c r="BU51" s="187">
        <f t="shared" si="62"/>
        <v>0</v>
      </c>
      <c r="BV51" s="187">
        <f t="shared" si="62"/>
        <v>0</v>
      </c>
      <c r="BW51" s="188">
        <f t="shared" si="62"/>
        <v>0</v>
      </c>
      <c r="BX51" s="186">
        <f t="shared" si="62"/>
        <v>0</v>
      </c>
      <c r="BY51" s="187">
        <f t="shared" si="62"/>
        <v>0</v>
      </c>
      <c r="BZ51" s="187">
        <f t="shared" si="62"/>
        <v>0</v>
      </c>
      <c r="CA51" s="188">
        <f t="shared" si="62"/>
        <v>0</v>
      </c>
      <c r="CB51" s="186">
        <f t="shared" si="62"/>
        <v>0</v>
      </c>
      <c r="CC51" s="187">
        <f t="shared" si="62"/>
        <v>0</v>
      </c>
      <c r="CD51" s="187">
        <f t="shared" si="62"/>
        <v>0</v>
      </c>
      <c r="CE51" s="188">
        <f t="shared" si="62"/>
        <v>0</v>
      </c>
      <c r="CF51" s="13"/>
      <c r="CG51" s="13"/>
      <c r="CH51" s="13"/>
      <c r="CI51" s="13"/>
    </row>
    <row r="52" spans="1:87" ht="20.100000000000001" customHeight="1">
      <c r="F52" s="212">
        <v>10</v>
      </c>
      <c r="G52" s="213" t="s">
        <v>16</v>
      </c>
      <c r="H52" s="209">
        <f t="shared" si="58"/>
        <v>0</v>
      </c>
      <c r="I52" s="210">
        <f t="shared" si="58"/>
        <v>0</v>
      </c>
      <c r="J52" s="210">
        <f t="shared" si="58"/>
        <v>0</v>
      </c>
      <c r="K52" s="211">
        <f t="shared" si="58"/>
        <v>0</v>
      </c>
      <c r="L52" s="209">
        <f t="shared" si="58"/>
        <v>0</v>
      </c>
      <c r="M52" s="210">
        <f t="shared" si="58"/>
        <v>0</v>
      </c>
      <c r="N52" s="210">
        <f t="shared" si="58"/>
        <v>0</v>
      </c>
      <c r="O52" s="211">
        <f t="shared" si="58"/>
        <v>0</v>
      </c>
      <c r="P52" s="209">
        <f t="shared" si="58"/>
        <v>0</v>
      </c>
      <c r="Q52" s="210">
        <f t="shared" si="58"/>
        <v>0</v>
      </c>
      <c r="R52" s="210">
        <f t="shared" si="58"/>
        <v>0</v>
      </c>
      <c r="S52" s="211">
        <f t="shared" si="58"/>
        <v>0</v>
      </c>
      <c r="T52" s="209">
        <f t="shared" si="58"/>
        <v>1</v>
      </c>
      <c r="U52" s="210">
        <f t="shared" si="58"/>
        <v>1</v>
      </c>
      <c r="V52" s="210">
        <f t="shared" si="58"/>
        <v>1</v>
      </c>
      <c r="W52" s="211">
        <f t="shared" si="58"/>
        <v>1</v>
      </c>
      <c r="X52" s="209">
        <f t="shared" si="59"/>
        <v>2</v>
      </c>
      <c r="Y52" s="210">
        <f t="shared" si="59"/>
        <v>2</v>
      </c>
      <c r="Z52" s="210">
        <f t="shared" si="59"/>
        <v>4</v>
      </c>
      <c r="AA52" s="211">
        <f t="shared" si="59"/>
        <v>4</v>
      </c>
      <c r="AB52" s="209">
        <f t="shared" si="59"/>
        <v>3</v>
      </c>
      <c r="AC52" s="210">
        <f t="shared" si="59"/>
        <v>3</v>
      </c>
      <c r="AD52" s="210">
        <f t="shared" si="59"/>
        <v>2</v>
      </c>
      <c r="AE52" s="211">
        <f t="shared" si="59"/>
        <v>3</v>
      </c>
      <c r="AF52" s="209">
        <f t="shared" si="59"/>
        <v>3</v>
      </c>
      <c r="AG52" s="210">
        <f t="shared" si="59"/>
        <v>3</v>
      </c>
      <c r="AH52" s="210">
        <f t="shared" si="59"/>
        <v>3</v>
      </c>
      <c r="AI52" s="211">
        <f t="shared" si="59"/>
        <v>3</v>
      </c>
      <c r="AJ52" s="209">
        <f t="shared" si="59"/>
        <v>3</v>
      </c>
      <c r="AK52" s="210">
        <f t="shared" si="59"/>
        <v>3</v>
      </c>
      <c r="AL52" s="210">
        <f t="shared" si="59"/>
        <v>3</v>
      </c>
      <c r="AM52" s="211">
        <f t="shared" si="59"/>
        <v>3</v>
      </c>
      <c r="AN52" s="209">
        <f t="shared" si="60"/>
        <v>3</v>
      </c>
      <c r="AO52" s="210">
        <f t="shared" si="60"/>
        <v>3</v>
      </c>
      <c r="AP52" s="210">
        <f t="shared" si="60"/>
        <v>2</v>
      </c>
      <c r="AQ52" s="211">
        <f t="shared" si="60"/>
        <v>2</v>
      </c>
      <c r="AR52" s="209">
        <f t="shared" si="60"/>
        <v>1</v>
      </c>
      <c r="AS52" s="210">
        <f t="shared" si="60"/>
        <v>1</v>
      </c>
      <c r="AT52" s="210">
        <f t="shared" si="60"/>
        <v>2</v>
      </c>
      <c r="AU52" s="211">
        <f t="shared" si="60"/>
        <v>1</v>
      </c>
      <c r="AV52" s="209">
        <f t="shared" si="60"/>
        <v>1</v>
      </c>
      <c r="AW52" s="210">
        <f t="shared" si="60"/>
        <v>1</v>
      </c>
      <c r="AX52" s="210">
        <f t="shared" si="60"/>
        <v>1</v>
      </c>
      <c r="AY52" s="211">
        <f t="shared" si="60"/>
        <v>1</v>
      </c>
      <c r="AZ52" s="209">
        <f t="shared" si="60"/>
        <v>1</v>
      </c>
      <c r="BA52" s="210">
        <f t="shared" si="60"/>
        <v>2</v>
      </c>
      <c r="BB52" s="210">
        <f t="shared" si="60"/>
        <v>2</v>
      </c>
      <c r="BC52" s="211">
        <f t="shared" si="60"/>
        <v>2</v>
      </c>
      <c r="BD52" s="209">
        <f t="shared" si="61"/>
        <v>2</v>
      </c>
      <c r="BE52" s="210">
        <f t="shared" si="61"/>
        <v>3</v>
      </c>
      <c r="BF52" s="210">
        <f t="shared" si="61"/>
        <v>3</v>
      </c>
      <c r="BG52" s="211">
        <f t="shared" si="61"/>
        <v>3</v>
      </c>
      <c r="BH52" s="209">
        <f t="shared" si="61"/>
        <v>3</v>
      </c>
      <c r="BI52" s="210">
        <f t="shared" si="61"/>
        <v>3</v>
      </c>
      <c r="BJ52" s="210">
        <f t="shared" si="61"/>
        <v>3</v>
      </c>
      <c r="BK52" s="211">
        <f t="shared" si="61"/>
        <v>3</v>
      </c>
      <c r="BL52" s="209">
        <f t="shared" si="61"/>
        <v>3</v>
      </c>
      <c r="BM52" s="210">
        <f t="shared" si="61"/>
        <v>3</v>
      </c>
      <c r="BN52" s="210">
        <f t="shared" si="61"/>
        <v>3</v>
      </c>
      <c r="BO52" s="211">
        <f t="shared" si="61"/>
        <v>3</v>
      </c>
      <c r="BP52" s="209">
        <f t="shared" si="62"/>
        <v>2</v>
      </c>
      <c r="BQ52" s="210">
        <f t="shared" si="62"/>
        <v>2</v>
      </c>
      <c r="BR52" s="210">
        <f t="shared" si="62"/>
        <v>2</v>
      </c>
      <c r="BS52" s="211">
        <f t="shared" si="62"/>
        <v>0</v>
      </c>
      <c r="BT52" s="209">
        <f t="shared" si="62"/>
        <v>0</v>
      </c>
      <c r="BU52" s="210">
        <f t="shared" si="62"/>
        <v>0</v>
      </c>
      <c r="BV52" s="210">
        <f t="shared" si="62"/>
        <v>0</v>
      </c>
      <c r="BW52" s="211">
        <f t="shared" si="62"/>
        <v>0</v>
      </c>
      <c r="BX52" s="209">
        <f t="shared" si="62"/>
        <v>0</v>
      </c>
      <c r="BY52" s="210">
        <f t="shared" si="62"/>
        <v>0</v>
      </c>
      <c r="BZ52" s="210">
        <f t="shared" si="62"/>
        <v>0</v>
      </c>
      <c r="CA52" s="211">
        <f t="shared" si="62"/>
        <v>0</v>
      </c>
      <c r="CB52" s="209">
        <f t="shared" si="62"/>
        <v>0</v>
      </c>
      <c r="CC52" s="210">
        <f t="shared" si="62"/>
        <v>0</v>
      </c>
      <c r="CD52" s="210">
        <f t="shared" si="62"/>
        <v>0</v>
      </c>
      <c r="CE52" s="211">
        <f t="shared" si="62"/>
        <v>0</v>
      </c>
      <c r="CF52" s="13"/>
      <c r="CG52" s="13"/>
      <c r="CH52" s="13"/>
      <c r="CI52" s="13"/>
    </row>
    <row r="53" spans="1:87" ht="20.100000000000001" customHeight="1">
      <c r="F53" s="7">
        <v>12</v>
      </c>
      <c r="G53" s="8" t="s">
        <v>17</v>
      </c>
      <c r="H53" s="189">
        <f t="shared" si="58"/>
        <v>0</v>
      </c>
      <c r="I53" s="190">
        <f t="shared" si="58"/>
        <v>0</v>
      </c>
      <c r="J53" s="190">
        <f t="shared" si="58"/>
        <v>0</v>
      </c>
      <c r="K53" s="191">
        <f t="shared" si="58"/>
        <v>0</v>
      </c>
      <c r="L53" s="189">
        <f t="shared" si="58"/>
        <v>0</v>
      </c>
      <c r="M53" s="190">
        <f t="shared" si="58"/>
        <v>0</v>
      </c>
      <c r="N53" s="190">
        <f t="shared" si="58"/>
        <v>0</v>
      </c>
      <c r="O53" s="191">
        <f t="shared" si="58"/>
        <v>0</v>
      </c>
      <c r="P53" s="189">
        <f t="shared" si="58"/>
        <v>0</v>
      </c>
      <c r="Q53" s="190">
        <f t="shared" si="58"/>
        <v>0</v>
      </c>
      <c r="R53" s="190">
        <f t="shared" si="58"/>
        <v>0</v>
      </c>
      <c r="S53" s="191">
        <f t="shared" si="58"/>
        <v>0</v>
      </c>
      <c r="T53" s="189">
        <f t="shared" si="58"/>
        <v>0</v>
      </c>
      <c r="U53" s="190">
        <f t="shared" si="58"/>
        <v>0</v>
      </c>
      <c r="V53" s="190">
        <f t="shared" si="58"/>
        <v>0</v>
      </c>
      <c r="W53" s="191">
        <f t="shared" si="58"/>
        <v>0</v>
      </c>
      <c r="X53" s="189">
        <f t="shared" si="59"/>
        <v>0</v>
      </c>
      <c r="Y53" s="190">
        <f t="shared" si="59"/>
        <v>0</v>
      </c>
      <c r="Z53" s="190">
        <f t="shared" si="59"/>
        <v>0</v>
      </c>
      <c r="AA53" s="191">
        <f t="shared" si="59"/>
        <v>0</v>
      </c>
      <c r="AB53" s="189">
        <f t="shared" si="59"/>
        <v>0</v>
      </c>
      <c r="AC53" s="190">
        <f t="shared" si="59"/>
        <v>0</v>
      </c>
      <c r="AD53" s="190">
        <f t="shared" si="59"/>
        <v>0</v>
      </c>
      <c r="AE53" s="191">
        <f t="shared" si="59"/>
        <v>0</v>
      </c>
      <c r="AF53" s="189">
        <f t="shared" si="59"/>
        <v>0</v>
      </c>
      <c r="AG53" s="190">
        <f t="shared" si="59"/>
        <v>0</v>
      </c>
      <c r="AH53" s="190">
        <f t="shared" si="59"/>
        <v>0</v>
      </c>
      <c r="AI53" s="191">
        <f t="shared" si="59"/>
        <v>0</v>
      </c>
      <c r="AJ53" s="189">
        <f t="shared" si="59"/>
        <v>0</v>
      </c>
      <c r="AK53" s="190">
        <f t="shared" si="59"/>
        <v>0</v>
      </c>
      <c r="AL53" s="190">
        <f t="shared" si="59"/>
        <v>0</v>
      </c>
      <c r="AM53" s="191">
        <f t="shared" si="59"/>
        <v>0</v>
      </c>
      <c r="AN53" s="189">
        <f t="shared" si="60"/>
        <v>0</v>
      </c>
      <c r="AO53" s="190">
        <f t="shared" si="60"/>
        <v>0</v>
      </c>
      <c r="AP53" s="190">
        <f t="shared" si="60"/>
        <v>0</v>
      </c>
      <c r="AQ53" s="191">
        <f t="shared" si="60"/>
        <v>0</v>
      </c>
      <c r="AR53" s="189">
        <f t="shared" si="60"/>
        <v>0</v>
      </c>
      <c r="AS53" s="190">
        <f t="shared" si="60"/>
        <v>0</v>
      </c>
      <c r="AT53" s="190">
        <f t="shared" si="60"/>
        <v>0</v>
      </c>
      <c r="AU53" s="191">
        <f t="shared" si="60"/>
        <v>0</v>
      </c>
      <c r="AV53" s="189">
        <f t="shared" si="60"/>
        <v>0</v>
      </c>
      <c r="AW53" s="190">
        <f t="shared" si="60"/>
        <v>0</v>
      </c>
      <c r="AX53" s="190">
        <f t="shared" si="60"/>
        <v>0</v>
      </c>
      <c r="AY53" s="191">
        <f t="shared" si="60"/>
        <v>0</v>
      </c>
      <c r="AZ53" s="189">
        <f t="shared" si="60"/>
        <v>0</v>
      </c>
      <c r="BA53" s="190">
        <f t="shared" si="60"/>
        <v>0</v>
      </c>
      <c r="BB53" s="190">
        <f t="shared" si="60"/>
        <v>0</v>
      </c>
      <c r="BC53" s="191">
        <f t="shared" si="60"/>
        <v>0</v>
      </c>
      <c r="BD53" s="189">
        <f t="shared" si="61"/>
        <v>0</v>
      </c>
      <c r="BE53" s="190">
        <f t="shared" si="61"/>
        <v>0</v>
      </c>
      <c r="BF53" s="190">
        <f t="shared" si="61"/>
        <v>0</v>
      </c>
      <c r="BG53" s="191">
        <f t="shared" si="61"/>
        <v>0</v>
      </c>
      <c r="BH53" s="189">
        <f t="shared" si="61"/>
        <v>0</v>
      </c>
      <c r="BI53" s="190">
        <f t="shared" si="61"/>
        <v>0</v>
      </c>
      <c r="BJ53" s="190">
        <f t="shared" si="61"/>
        <v>0</v>
      </c>
      <c r="BK53" s="191">
        <f t="shared" si="61"/>
        <v>0</v>
      </c>
      <c r="BL53" s="189">
        <f t="shared" si="61"/>
        <v>0</v>
      </c>
      <c r="BM53" s="190">
        <f t="shared" si="61"/>
        <v>0</v>
      </c>
      <c r="BN53" s="190">
        <f t="shared" si="61"/>
        <v>0</v>
      </c>
      <c r="BO53" s="191">
        <f t="shared" si="61"/>
        <v>0</v>
      </c>
      <c r="BP53" s="189">
        <f t="shared" si="62"/>
        <v>0</v>
      </c>
      <c r="BQ53" s="190">
        <f t="shared" si="62"/>
        <v>0</v>
      </c>
      <c r="BR53" s="190">
        <f t="shared" si="62"/>
        <v>0</v>
      </c>
      <c r="BS53" s="191">
        <f t="shared" si="62"/>
        <v>0</v>
      </c>
      <c r="BT53" s="189">
        <f t="shared" si="62"/>
        <v>0</v>
      </c>
      <c r="BU53" s="190">
        <f t="shared" si="62"/>
        <v>0</v>
      </c>
      <c r="BV53" s="190">
        <f t="shared" si="62"/>
        <v>0</v>
      </c>
      <c r="BW53" s="191">
        <f t="shared" si="62"/>
        <v>0</v>
      </c>
      <c r="BX53" s="189">
        <f t="shared" si="62"/>
        <v>0</v>
      </c>
      <c r="BY53" s="190">
        <f t="shared" si="62"/>
        <v>0</v>
      </c>
      <c r="BZ53" s="190">
        <f t="shared" si="62"/>
        <v>0</v>
      </c>
      <c r="CA53" s="191">
        <f t="shared" si="62"/>
        <v>0</v>
      </c>
      <c r="CB53" s="189">
        <f t="shared" si="62"/>
        <v>0</v>
      </c>
      <c r="CC53" s="190">
        <f t="shared" si="62"/>
        <v>0</v>
      </c>
      <c r="CD53" s="190">
        <f t="shared" si="62"/>
        <v>0</v>
      </c>
      <c r="CE53" s="191">
        <f t="shared" si="62"/>
        <v>0</v>
      </c>
      <c r="CF53" s="13"/>
      <c r="CG53" s="13"/>
      <c r="CH53" s="13"/>
      <c r="CI53" s="13"/>
    </row>
    <row r="54" spans="1:87" ht="20.100000000000001" customHeight="1">
      <c r="F54" s="155">
        <v>13</v>
      </c>
      <c r="G54" s="156" t="s">
        <v>83</v>
      </c>
      <c r="H54" s="192">
        <f t="shared" si="58"/>
        <v>0</v>
      </c>
      <c r="I54" s="193">
        <f t="shared" si="58"/>
        <v>0</v>
      </c>
      <c r="J54" s="193">
        <f t="shared" si="58"/>
        <v>0</v>
      </c>
      <c r="K54" s="194">
        <f t="shared" si="58"/>
        <v>0</v>
      </c>
      <c r="L54" s="192">
        <f t="shared" si="58"/>
        <v>0</v>
      </c>
      <c r="M54" s="193">
        <f t="shared" si="58"/>
        <v>0</v>
      </c>
      <c r="N54" s="193">
        <f t="shared" si="58"/>
        <v>0</v>
      </c>
      <c r="O54" s="194">
        <f t="shared" si="58"/>
        <v>0</v>
      </c>
      <c r="P54" s="192">
        <f t="shared" si="58"/>
        <v>0</v>
      </c>
      <c r="Q54" s="193">
        <f t="shared" si="58"/>
        <v>0</v>
      </c>
      <c r="R54" s="193">
        <f t="shared" si="58"/>
        <v>0</v>
      </c>
      <c r="S54" s="194">
        <f t="shared" si="58"/>
        <v>0</v>
      </c>
      <c r="T54" s="192">
        <f t="shared" si="58"/>
        <v>0</v>
      </c>
      <c r="U54" s="193">
        <f t="shared" si="58"/>
        <v>0</v>
      </c>
      <c r="V54" s="193">
        <f t="shared" si="58"/>
        <v>0</v>
      </c>
      <c r="W54" s="194">
        <f t="shared" si="58"/>
        <v>0</v>
      </c>
      <c r="X54" s="192">
        <f t="shared" si="59"/>
        <v>0</v>
      </c>
      <c r="Y54" s="193">
        <f t="shared" si="59"/>
        <v>0</v>
      </c>
      <c r="Z54" s="193">
        <f t="shared" si="59"/>
        <v>0</v>
      </c>
      <c r="AA54" s="194">
        <f t="shared" si="59"/>
        <v>0</v>
      </c>
      <c r="AB54" s="192">
        <f t="shared" si="59"/>
        <v>0</v>
      </c>
      <c r="AC54" s="193">
        <f t="shared" si="59"/>
        <v>0</v>
      </c>
      <c r="AD54" s="193">
        <f t="shared" si="59"/>
        <v>0</v>
      </c>
      <c r="AE54" s="194">
        <f t="shared" si="59"/>
        <v>0</v>
      </c>
      <c r="AF54" s="192">
        <f t="shared" si="59"/>
        <v>0</v>
      </c>
      <c r="AG54" s="193">
        <f t="shared" si="59"/>
        <v>0</v>
      </c>
      <c r="AH54" s="193">
        <f t="shared" si="59"/>
        <v>0</v>
      </c>
      <c r="AI54" s="194">
        <f t="shared" si="59"/>
        <v>0</v>
      </c>
      <c r="AJ54" s="192">
        <f t="shared" si="59"/>
        <v>0</v>
      </c>
      <c r="AK54" s="193">
        <f t="shared" si="59"/>
        <v>0</v>
      </c>
      <c r="AL54" s="193">
        <f t="shared" si="59"/>
        <v>0</v>
      </c>
      <c r="AM54" s="194">
        <f t="shared" si="59"/>
        <v>0</v>
      </c>
      <c r="AN54" s="192">
        <f t="shared" si="60"/>
        <v>0</v>
      </c>
      <c r="AO54" s="193">
        <f t="shared" si="60"/>
        <v>0</v>
      </c>
      <c r="AP54" s="193">
        <f t="shared" si="60"/>
        <v>0</v>
      </c>
      <c r="AQ54" s="194">
        <f t="shared" si="60"/>
        <v>0</v>
      </c>
      <c r="AR54" s="192">
        <f t="shared" si="60"/>
        <v>0</v>
      </c>
      <c r="AS54" s="193">
        <f t="shared" si="60"/>
        <v>0</v>
      </c>
      <c r="AT54" s="193">
        <f t="shared" si="60"/>
        <v>0</v>
      </c>
      <c r="AU54" s="194">
        <f t="shared" si="60"/>
        <v>0</v>
      </c>
      <c r="AV54" s="192">
        <f t="shared" si="60"/>
        <v>0</v>
      </c>
      <c r="AW54" s="193">
        <f t="shared" si="60"/>
        <v>0</v>
      </c>
      <c r="AX54" s="193">
        <f t="shared" si="60"/>
        <v>0</v>
      </c>
      <c r="AY54" s="194">
        <f t="shared" si="60"/>
        <v>0</v>
      </c>
      <c r="AZ54" s="192">
        <f t="shared" si="60"/>
        <v>0</v>
      </c>
      <c r="BA54" s="193">
        <f t="shared" si="60"/>
        <v>0</v>
      </c>
      <c r="BB54" s="193">
        <f t="shared" si="60"/>
        <v>0</v>
      </c>
      <c r="BC54" s="194">
        <f t="shared" si="60"/>
        <v>0</v>
      </c>
      <c r="BD54" s="192">
        <f t="shared" si="61"/>
        <v>0</v>
      </c>
      <c r="BE54" s="193">
        <f t="shared" si="61"/>
        <v>0</v>
      </c>
      <c r="BF54" s="193">
        <f t="shared" si="61"/>
        <v>0</v>
      </c>
      <c r="BG54" s="194">
        <f t="shared" si="61"/>
        <v>0</v>
      </c>
      <c r="BH54" s="192">
        <f t="shared" si="61"/>
        <v>0</v>
      </c>
      <c r="BI54" s="193">
        <f t="shared" si="61"/>
        <v>0</v>
      </c>
      <c r="BJ54" s="193">
        <f t="shared" si="61"/>
        <v>0</v>
      </c>
      <c r="BK54" s="194">
        <f t="shared" si="61"/>
        <v>0</v>
      </c>
      <c r="BL54" s="192">
        <f t="shared" si="61"/>
        <v>0</v>
      </c>
      <c r="BM54" s="193">
        <f t="shared" si="61"/>
        <v>0</v>
      </c>
      <c r="BN54" s="193">
        <f t="shared" si="61"/>
        <v>0</v>
      </c>
      <c r="BO54" s="194">
        <f t="shared" si="61"/>
        <v>0</v>
      </c>
      <c r="BP54" s="192">
        <f t="shared" si="62"/>
        <v>0</v>
      </c>
      <c r="BQ54" s="193">
        <f t="shared" si="62"/>
        <v>0</v>
      </c>
      <c r="BR54" s="193">
        <f t="shared" si="62"/>
        <v>0</v>
      </c>
      <c r="BS54" s="194">
        <f t="shared" si="62"/>
        <v>0</v>
      </c>
      <c r="BT54" s="192">
        <f t="shared" si="62"/>
        <v>0</v>
      </c>
      <c r="BU54" s="193">
        <f t="shared" si="62"/>
        <v>0</v>
      </c>
      <c r="BV54" s="193">
        <f t="shared" si="62"/>
        <v>0</v>
      </c>
      <c r="BW54" s="194">
        <f t="shared" si="62"/>
        <v>0</v>
      </c>
      <c r="BX54" s="192">
        <f t="shared" si="62"/>
        <v>0</v>
      </c>
      <c r="BY54" s="193">
        <f t="shared" si="62"/>
        <v>0</v>
      </c>
      <c r="BZ54" s="193">
        <f t="shared" si="62"/>
        <v>0</v>
      </c>
      <c r="CA54" s="194">
        <f t="shared" si="62"/>
        <v>0</v>
      </c>
      <c r="CB54" s="192">
        <f t="shared" si="62"/>
        <v>0</v>
      </c>
      <c r="CC54" s="193">
        <f t="shared" si="62"/>
        <v>0</v>
      </c>
      <c r="CD54" s="193">
        <f t="shared" si="62"/>
        <v>0</v>
      </c>
      <c r="CE54" s="194">
        <f t="shared" si="62"/>
        <v>0</v>
      </c>
      <c r="CF54" s="13"/>
      <c r="CG54" s="13"/>
      <c r="CH54" s="13"/>
      <c r="CI54" s="13"/>
    </row>
    <row r="55" spans="1:87" ht="41.25" customHeight="1">
      <c r="A55" s="22"/>
      <c r="B55" s="22"/>
      <c r="C55" s="22"/>
      <c r="D55" s="22"/>
      <c r="E55" s="22"/>
      <c r="F55" s="152"/>
      <c r="G55" s="151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</row>
    <row r="56" spans="1:87" ht="20.100000000000001" customHeight="1">
      <c r="A56" s="22"/>
      <c r="B56" s="22"/>
      <c r="C56" s="22"/>
      <c r="D56" s="22"/>
      <c r="E56" s="22"/>
      <c r="F56" s="152"/>
      <c r="G56" s="151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</row>
    <row r="57" spans="1:87" ht="20.100000000000001" customHeight="1">
      <c r="A57" s="22"/>
      <c r="B57" s="22"/>
      <c r="C57" s="22"/>
      <c r="D57" s="22"/>
      <c r="E57" s="22"/>
      <c r="F57" s="152"/>
      <c r="G57" s="151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</row>
    <row r="58" spans="1:87" ht="20.100000000000001" customHeight="1">
      <c r="A58" s="22"/>
      <c r="B58" s="22"/>
      <c r="C58" s="22"/>
      <c r="D58" s="22"/>
      <c r="E58" s="22"/>
      <c r="F58" s="152"/>
      <c r="G58" s="151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</row>
    <row r="59" spans="1:87" ht="20.100000000000001" customHeight="1">
      <c r="F59" s="152"/>
      <c r="G59" s="151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</row>
    <row r="60" spans="1:87" ht="20.100000000000001" customHeight="1">
      <c r="F60" s="152"/>
      <c r="G60" s="151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</row>
    <row r="61" spans="1:87" ht="20.100000000000001" customHeight="1">
      <c r="F61" s="152"/>
      <c r="G61" s="151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</row>
    <row r="62" spans="1:87" ht="20.100000000000001" customHeight="1">
      <c r="F62" s="152"/>
      <c r="G62" s="151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</row>
    <row r="63" spans="1:87" ht="20.100000000000001" customHeight="1">
      <c r="F63" s="152"/>
      <c r="G63" s="151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</row>
    <row r="64" spans="1:87" ht="20.100000000000001" customHeight="1">
      <c r="F64" s="152"/>
      <c r="G64" s="151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</row>
    <row r="65" spans="1:84" ht="20.100000000000001" customHeight="1">
      <c r="F65" s="152"/>
      <c r="G65" s="151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</row>
    <row r="66" spans="1:84" ht="20.100000000000001" customHeight="1">
      <c r="F66" s="152"/>
      <c r="G66" s="151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</row>
    <row r="67" spans="1:84" s="154" customFormat="1" ht="30" hidden="1" customHeight="1">
      <c r="A67" s="153"/>
      <c r="B67" s="153"/>
      <c r="C67" s="153"/>
      <c r="D67" s="153"/>
      <c r="E67" s="153"/>
      <c r="F67" s="355" t="s">
        <v>25</v>
      </c>
      <c r="G67" s="290" t="s">
        <v>35</v>
      </c>
      <c r="H67" s="302">
        <f t="shared" ref="H67:BS67" si="63">H5/$CF$5*100</f>
        <v>0</v>
      </c>
      <c r="I67" s="302">
        <f t="shared" si="63"/>
        <v>0</v>
      </c>
      <c r="J67" s="302">
        <f t="shared" si="63"/>
        <v>0</v>
      </c>
      <c r="K67" s="303">
        <f t="shared" si="63"/>
        <v>0</v>
      </c>
      <c r="L67" s="304">
        <f t="shared" si="63"/>
        <v>0</v>
      </c>
      <c r="M67" s="302">
        <f t="shared" si="63"/>
        <v>0</v>
      </c>
      <c r="N67" s="302">
        <f t="shared" si="63"/>
        <v>0</v>
      </c>
      <c r="O67" s="303">
        <f t="shared" si="63"/>
        <v>0</v>
      </c>
      <c r="P67" s="304">
        <f t="shared" si="63"/>
        <v>0</v>
      </c>
      <c r="Q67" s="302">
        <f t="shared" si="63"/>
        <v>0</v>
      </c>
      <c r="R67" s="302">
        <f t="shared" si="63"/>
        <v>0</v>
      </c>
      <c r="S67" s="303">
        <f t="shared" si="63"/>
        <v>0</v>
      </c>
      <c r="T67" s="304">
        <f t="shared" si="63"/>
        <v>0.84745762711864403</v>
      </c>
      <c r="U67" s="302">
        <f t="shared" si="63"/>
        <v>0.84745762711864403</v>
      </c>
      <c r="V67" s="302">
        <f t="shared" si="63"/>
        <v>0.84745762711864403</v>
      </c>
      <c r="W67" s="303">
        <f t="shared" si="63"/>
        <v>0.84745762711864403</v>
      </c>
      <c r="X67" s="304">
        <f t="shared" si="63"/>
        <v>1.6949152542372881</v>
      </c>
      <c r="Y67" s="302">
        <f t="shared" si="63"/>
        <v>1.6949152542372881</v>
      </c>
      <c r="Z67" s="302">
        <f t="shared" si="63"/>
        <v>3.3898305084745761</v>
      </c>
      <c r="AA67" s="303">
        <f t="shared" si="63"/>
        <v>3.3898305084745761</v>
      </c>
      <c r="AB67" s="304">
        <f t="shared" si="63"/>
        <v>2.5423728813559325</v>
      </c>
      <c r="AC67" s="302">
        <f t="shared" si="63"/>
        <v>2.5423728813559325</v>
      </c>
      <c r="AD67" s="302">
        <f t="shared" si="63"/>
        <v>1.6949152542372881</v>
      </c>
      <c r="AE67" s="303">
        <f t="shared" si="63"/>
        <v>2.5423728813559325</v>
      </c>
      <c r="AF67" s="304">
        <f t="shared" si="63"/>
        <v>2.5423728813559325</v>
      </c>
      <c r="AG67" s="302">
        <f t="shared" si="63"/>
        <v>2.5423728813559325</v>
      </c>
      <c r="AH67" s="302">
        <f t="shared" si="63"/>
        <v>2.5423728813559325</v>
      </c>
      <c r="AI67" s="303">
        <f t="shared" si="63"/>
        <v>2.5423728813559325</v>
      </c>
      <c r="AJ67" s="304">
        <f t="shared" si="63"/>
        <v>2.5423728813559325</v>
      </c>
      <c r="AK67" s="302">
        <f t="shared" si="63"/>
        <v>2.5423728813559325</v>
      </c>
      <c r="AL67" s="302">
        <f t="shared" si="63"/>
        <v>2.5423728813559325</v>
      </c>
      <c r="AM67" s="303">
        <f t="shared" si="63"/>
        <v>2.5423728813559325</v>
      </c>
      <c r="AN67" s="304">
        <f t="shared" si="63"/>
        <v>2.5423728813559325</v>
      </c>
      <c r="AO67" s="302">
        <f t="shared" si="63"/>
        <v>2.5423728813559325</v>
      </c>
      <c r="AP67" s="302">
        <f t="shared" si="63"/>
        <v>1.6949152542372881</v>
      </c>
      <c r="AQ67" s="303">
        <f t="shared" si="63"/>
        <v>1.6949152542372881</v>
      </c>
      <c r="AR67" s="304">
        <f t="shared" si="63"/>
        <v>0.84745762711864403</v>
      </c>
      <c r="AS67" s="302">
        <f t="shared" si="63"/>
        <v>0.84745762711864403</v>
      </c>
      <c r="AT67" s="302">
        <f t="shared" si="63"/>
        <v>1.6949152542372881</v>
      </c>
      <c r="AU67" s="303">
        <f t="shared" si="63"/>
        <v>0.84745762711864403</v>
      </c>
      <c r="AV67" s="304">
        <f t="shared" si="63"/>
        <v>0.84745762711864403</v>
      </c>
      <c r="AW67" s="302">
        <f t="shared" si="63"/>
        <v>0.84745762711864403</v>
      </c>
      <c r="AX67" s="302">
        <f t="shared" si="63"/>
        <v>0.84745762711864403</v>
      </c>
      <c r="AY67" s="303">
        <f t="shared" si="63"/>
        <v>0.84745762711864403</v>
      </c>
      <c r="AZ67" s="304">
        <f t="shared" si="63"/>
        <v>0.84745762711864403</v>
      </c>
      <c r="BA67" s="302">
        <f t="shared" si="63"/>
        <v>1.6949152542372881</v>
      </c>
      <c r="BB67" s="302">
        <f t="shared" si="63"/>
        <v>1.6949152542372881</v>
      </c>
      <c r="BC67" s="303">
        <f t="shared" si="63"/>
        <v>1.6949152542372881</v>
      </c>
      <c r="BD67" s="304">
        <f t="shared" si="63"/>
        <v>1.6949152542372881</v>
      </c>
      <c r="BE67" s="302">
        <f t="shared" si="63"/>
        <v>2.5423728813559325</v>
      </c>
      <c r="BF67" s="302">
        <f t="shared" si="63"/>
        <v>2.5423728813559325</v>
      </c>
      <c r="BG67" s="303">
        <f t="shared" si="63"/>
        <v>2.5423728813559325</v>
      </c>
      <c r="BH67" s="304">
        <f t="shared" si="63"/>
        <v>2.5423728813559325</v>
      </c>
      <c r="BI67" s="302">
        <f t="shared" si="63"/>
        <v>2.5423728813559325</v>
      </c>
      <c r="BJ67" s="302">
        <f t="shared" si="63"/>
        <v>2.5423728813559325</v>
      </c>
      <c r="BK67" s="303">
        <f t="shared" si="63"/>
        <v>2.5423728813559325</v>
      </c>
      <c r="BL67" s="304">
        <f t="shared" si="63"/>
        <v>2.5423728813559325</v>
      </c>
      <c r="BM67" s="302">
        <f t="shared" si="63"/>
        <v>2.5423728813559325</v>
      </c>
      <c r="BN67" s="302">
        <f t="shared" si="63"/>
        <v>2.5423728813559325</v>
      </c>
      <c r="BO67" s="303">
        <f t="shared" si="63"/>
        <v>2.5423728813559325</v>
      </c>
      <c r="BP67" s="304">
        <f t="shared" si="63"/>
        <v>1.6949152542372881</v>
      </c>
      <c r="BQ67" s="302">
        <f t="shared" si="63"/>
        <v>1.6949152542372881</v>
      </c>
      <c r="BR67" s="302">
        <f t="shared" si="63"/>
        <v>1.6949152542372881</v>
      </c>
      <c r="BS67" s="303">
        <f t="shared" si="63"/>
        <v>0</v>
      </c>
      <c r="BT67" s="304">
        <f t="shared" ref="BT67:CE67" si="64">BT5/$CF$5*100</f>
        <v>0</v>
      </c>
      <c r="BU67" s="302">
        <f t="shared" si="64"/>
        <v>0</v>
      </c>
      <c r="BV67" s="302">
        <f t="shared" si="64"/>
        <v>0</v>
      </c>
      <c r="BW67" s="303">
        <f t="shared" si="64"/>
        <v>0</v>
      </c>
      <c r="BX67" s="304">
        <f t="shared" si="64"/>
        <v>0</v>
      </c>
      <c r="BY67" s="302">
        <f t="shared" si="64"/>
        <v>0</v>
      </c>
      <c r="BZ67" s="302">
        <f t="shared" si="64"/>
        <v>0</v>
      </c>
      <c r="CA67" s="303">
        <f t="shared" si="64"/>
        <v>0</v>
      </c>
      <c r="CB67" s="304">
        <f t="shared" si="64"/>
        <v>0</v>
      </c>
      <c r="CC67" s="302">
        <f t="shared" si="64"/>
        <v>0</v>
      </c>
      <c r="CD67" s="302">
        <f t="shared" si="64"/>
        <v>0</v>
      </c>
      <c r="CE67" s="303">
        <f t="shared" si="64"/>
        <v>0</v>
      </c>
      <c r="CF67" s="13"/>
    </row>
    <row r="68" spans="1:84" s="286" customFormat="1" ht="30" hidden="1" customHeight="1">
      <c r="A68" s="153"/>
      <c r="B68" s="153"/>
      <c r="C68" s="153"/>
      <c r="D68" s="153"/>
      <c r="E68" s="285"/>
      <c r="F68" s="356"/>
      <c r="G68" s="291" t="s">
        <v>34</v>
      </c>
      <c r="H68" s="302"/>
      <c r="I68" s="302"/>
      <c r="J68" s="302"/>
      <c r="K68" s="303"/>
      <c r="L68" s="304"/>
      <c r="M68" s="302"/>
      <c r="N68" s="302"/>
      <c r="O68" s="303"/>
      <c r="P68" s="304" t="str">
        <f>+VL!$L5</f>
        <v/>
      </c>
      <c r="Q68" s="302" t="str">
        <f>+VL!$L6</f>
        <v/>
      </c>
      <c r="R68" s="302" t="str">
        <f>+VL!$L7</f>
        <v/>
      </c>
      <c r="S68" s="303" t="str">
        <f>+VL!$L8</f>
        <v/>
      </c>
      <c r="T68" s="304" t="str">
        <f>+VL!$L9</f>
        <v/>
      </c>
      <c r="U68" s="302" t="str">
        <f>+VL!$L10</f>
        <v/>
      </c>
      <c r="V68" s="302" t="str">
        <f>+VL!$L11</f>
        <v/>
      </c>
      <c r="W68" s="303" t="str">
        <f>+VL!$L12</f>
        <v/>
      </c>
      <c r="X68" s="304" t="str">
        <f>+VL!$L13</f>
        <v/>
      </c>
      <c r="Y68" s="302" t="str">
        <f>+VL!$L14</f>
        <v/>
      </c>
      <c r="Z68" s="302" t="str">
        <f>+VL!$L15</f>
        <v/>
      </c>
      <c r="AA68" s="303" t="str">
        <f>+VL!$L16</f>
        <v/>
      </c>
      <c r="AB68" s="304" t="str">
        <f>+VL!$L17</f>
        <v/>
      </c>
      <c r="AC68" s="302" t="str">
        <f>+VL!$L18</f>
        <v/>
      </c>
      <c r="AD68" s="302" t="str">
        <f>+VL!$L19</f>
        <v/>
      </c>
      <c r="AE68" s="303" t="str">
        <f>+VL!$L20</f>
        <v/>
      </c>
      <c r="AF68" s="304" t="str">
        <f>+VL!$L21</f>
        <v/>
      </c>
      <c r="AG68" s="302" t="str">
        <f>+VL!$L22</f>
        <v/>
      </c>
      <c r="AH68" s="302" t="str">
        <f>+VL!$L23</f>
        <v/>
      </c>
      <c r="AI68" s="303" t="str">
        <f>+VL!$L24</f>
        <v/>
      </c>
      <c r="AJ68" s="304" t="str">
        <f>+VL!$L25</f>
        <v/>
      </c>
      <c r="AK68" s="302" t="str">
        <f>+VL!$L26</f>
        <v/>
      </c>
      <c r="AL68" s="302" t="str">
        <f>+VL!$L27</f>
        <v/>
      </c>
      <c r="AM68" s="303" t="str">
        <f>+VL!$L28</f>
        <v/>
      </c>
      <c r="AN68" s="304" t="str">
        <f>+VL!$L29</f>
        <v/>
      </c>
      <c r="AO68" s="302" t="str">
        <f>+VL!$L30</f>
        <v/>
      </c>
      <c r="AP68" s="302" t="str">
        <f>+VL!$L31</f>
        <v/>
      </c>
      <c r="AQ68" s="303" t="str">
        <f>+VL!$L32</f>
        <v/>
      </c>
      <c r="AR68" s="304" t="str">
        <f>+VL!$L33</f>
        <v/>
      </c>
      <c r="AS68" s="302" t="str">
        <f>+VL!$L34</f>
        <v/>
      </c>
      <c r="AT68" s="302" t="str">
        <f>+VL!$L35</f>
        <v/>
      </c>
      <c r="AU68" s="303" t="str">
        <f>+VL!$L36</f>
        <v/>
      </c>
      <c r="AV68" s="304" t="str">
        <f>+VL!$L37</f>
        <v/>
      </c>
      <c r="AW68" s="302" t="str">
        <f>+VL!$L38</f>
        <v/>
      </c>
      <c r="AX68" s="302" t="str">
        <f>+VL!$L39</f>
        <v/>
      </c>
      <c r="AY68" s="303" t="str">
        <f>+VL!$L40</f>
        <v/>
      </c>
      <c r="AZ68" s="304" t="str">
        <f>+VL!$L41</f>
        <v/>
      </c>
      <c r="BA68" s="302" t="str">
        <f>+VL!$L42</f>
        <v/>
      </c>
      <c r="BB68" s="302" t="str">
        <f>+VL!$L43</f>
        <v/>
      </c>
      <c r="BC68" s="303" t="str">
        <f>+VL!$L44</f>
        <v/>
      </c>
      <c r="BD68" s="304" t="str">
        <f>+VL!$L45</f>
        <v/>
      </c>
      <c r="BE68" s="302" t="str">
        <f>+VL!$L46</f>
        <v/>
      </c>
      <c r="BF68" s="302" t="str">
        <f>+VL!$L47</f>
        <v/>
      </c>
      <c r="BG68" s="303" t="str">
        <f>+VL!$L48</f>
        <v/>
      </c>
      <c r="BH68" s="304" t="str">
        <f>+VL!$L49</f>
        <v/>
      </c>
      <c r="BI68" s="302" t="str">
        <f>+VL!$L50</f>
        <v/>
      </c>
      <c r="BJ68" s="302" t="str">
        <f>+VL!$L51</f>
        <v/>
      </c>
      <c r="BK68" s="303" t="str">
        <f>+VL!$L52</f>
        <v/>
      </c>
      <c r="BL68" s="304" t="str">
        <f>+VL!$L53</f>
        <v/>
      </c>
      <c r="BM68" s="302" t="str">
        <f>+VL!$L54</f>
        <v/>
      </c>
      <c r="BN68" s="302" t="str">
        <f>+VL!$L55</f>
        <v/>
      </c>
      <c r="BO68" s="303" t="str">
        <f>+VL!$L56</f>
        <v/>
      </c>
      <c r="BP68" s="304" t="str">
        <f>+VL!$L57</f>
        <v/>
      </c>
      <c r="BQ68" s="302" t="str">
        <f>+VL!$L58</f>
        <v/>
      </c>
      <c r="BR68" s="302" t="str">
        <f>+VL!$L59</f>
        <v/>
      </c>
      <c r="BS68" s="302" t="str">
        <f>+VL!$L60</f>
        <v/>
      </c>
      <c r="BT68" s="304" t="str">
        <f>+VL!$L61</f>
        <v/>
      </c>
      <c r="BU68" s="302" t="str">
        <f>+VL!$L62</f>
        <v/>
      </c>
      <c r="BV68" s="302" t="str">
        <f>+VL!$L63</f>
        <v/>
      </c>
      <c r="BW68" s="302" t="str">
        <f>+VL!$L64</f>
        <v/>
      </c>
      <c r="BX68" s="304"/>
      <c r="BY68" s="302"/>
      <c r="BZ68" s="302"/>
      <c r="CA68" s="303"/>
      <c r="CB68" s="304"/>
      <c r="CC68" s="302"/>
      <c r="CD68" s="302"/>
      <c r="CE68" s="303"/>
    </row>
    <row r="69" spans="1:84" s="158" customFormat="1" ht="45" hidden="1" customHeight="1">
      <c r="A69" s="157"/>
      <c r="B69" s="157"/>
      <c r="C69" s="157"/>
      <c r="D69" s="157"/>
      <c r="E69" s="157"/>
      <c r="F69" s="353" t="s">
        <v>53</v>
      </c>
      <c r="G69" s="305" t="s">
        <v>54</v>
      </c>
      <c r="H69" s="294"/>
      <c r="I69" s="294"/>
      <c r="J69" s="294"/>
      <c r="K69" s="295"/>
      <c r="L69" s="293"/>
      <c r="M69" s="294"/>
      <c r="N69" s="294"/>
      <c r="O69" s="295"/>
      <c r="P69" s="293" t="str">
        <f>IF(ISERROR(P68*$CF$69/100),"",P68*$CF$69/100)</f>
        <v/>
      </c>
      <c r="Q69" s="294" t="str">
        <f>IF(ISERROR(Q68*$CF$69/100),"",Q68*$CF$69/100)</f>
        <v/>
      </c>
      <c r="R69" s="294" t="str">
        <f>IF(ISERROR(R68*$CF$69/100),"",R68*$CF$69/100)</f>
        <v/>
      </c>
      <c r="S69" s="295" t="str">
        <f t="shared" ref="S69:BW69" si="65">IF(ISERROR(S68*$CF$69/100),"",S68*$CF$69/100)</f>
        <v/>
      </c>
      <c r="T69" s="293" t="str">
        <f t="shared" si="65"/>
        <v/>
      </c>
      <c r="U69" s="294" t="str">
        <f t="shared" si="65"/>
        <v/>
      </c>
      <c r="V69" s="294" t="str">
        <f t="shared" si="65"/>
        <v/>
      </c>
      <c r="W69" s="295" t="str">
        <f t="shared" si="65"/>
        <v/>
      </c>
      <c r="X69" s="293" t="str">
        <f t="shared" si="65"/>
        <v/>
      </c>
      <c r="Y69" s="294" t="str">
        <f t="shared" si="65"/>
        <v/>
      </c>
      <c r="Z69" s="294" t="str">
        <f t="shared" si="65"/>
        <v/>
      </c>
      <c r="AA69" s="295" t="str">
        <f t="shared" si="65"/>
        <v/>
      </c>
      <c r="AB69" s="293" t="str">
        <f t="shared" si="65"/>
        <v/>
      </c>
      <c r="AC69" s="294" t="str">
        <f t="shared" si="65"/>
        <v/>
      </c>
      <c r="AD69" s="294" t="str">
        <f t="shared" si="65"/>
        <v/>
      </c>
      <c r="AE69" s="295" t="str">
        <f t="shared" si="65"/>
        <v/>
      </c>
      <c r="AF69" s="293" t="str">
        <f t="shared" si="65"/>
        <v/>
      </c>
      <c r="AG69" s="294" t="str">
        <f t="shared" si="65"/>
        <v/>
      </c>
      <c r="AH69" s="294" t="str">
        <f t="shared" si="65"/>
        <v/>
      </c>
      <c r="AI69" s="295" t="str">
        <f t="shared" si="65"/>
        <v/>
      </c>
      <c r="AJ69" s="293" t="str">
        <f t="shared" si="65"/>
        <v/>
      </c>
      <c r="AK69" s="294" t="str">
        <f t="shared" si="65"/>
        <v/>
      </c>
      <c r="AL69" s="294" t="str">
        <f t="shared" si="65"/>
        <v/>
      </c>
      <c r="AM69" s="295" t="str">
        <f t="shared" si="65"/>
        <v/>
      </c>
      <c r="AN69" s="293" t="str">
        <f t="shared" si="65"/>
        <v/>
      </c>
      <c r="AO69" s="294" t="str">
        <f t="shared" si="65"/>
        <v/>
      </c>
      <c r="AP69" s="294" t="str">
        <f t="shared" si="65"/>
        <v/>
      </c>
      <c r="AQ69" s="295" t="str">
        <f t="shared" si="65"/>
        <v/>
      </c>
      <c r="AR69" s="293" t="str">
        <f t="shared" si="65"/>
        <v/>
      </c>
      <c r="AS69" s="294" t="str">
        <f t="shared" si="65"/>
        <v/>
      </c>
      <c r="AT69" s="294" t="str">
        <f t="shared" si="65"/>
        <v/>
      </c>
      <c r="AU69" s="295" t="str">
        <f t="shared" si="65"/>
        <v/>
      </c>
      <c r="AV69" s="293" t="str">
        <f t="shared" si="65"/>
        <v/>
      </c>
      <c r="AW69" s="294" t="str">
        <f t="shared" si="65"/>
        <v/>
      </c>
      <c r="AX69" s="294" t="str">
        <f t="shared" si="65"/>
        <v/>
      </c>
      <c r="AY69" s="295" t="str">
        <f t="shared" si="65"/>
        <v/>
      </c>
      <c r="AZ69" s="293" t="str">
        <f t="shared" si="65"/>
        <v/>
      </c>
      <c r="BA69" s="294" t="str">
        <f t="shared" si="65"/>
        <v/>
      </c>
      <c r="BB69" s="294" t="str">
        <f t="shared" si="65"/>
        <v/>
      </c>
      <c r="BC69" s="295" t="str">
        <f t="shared" si="65"/>
        <v/>
      </c>
      <c r="BD69" s="293" t="str">
        <f t="shared" si="65"/>
        <v/>
      </c>
      <c r="BE69" s="294" t="str">
        <f t="shared" si="65"/>
        <v/>
      </c>
      <c r="BF69" s="294" t="str">
        <f t="shared" si="65"/>
        <v/>
      </c>
      <c r="BG69" s="295" t="str">
        <f t="shared" si="65"/>
        <v/>
      </c>
      <c r="BH69" s="293" t="str">
        <f t="shared" si="65"/>
        <v/>
      </c>
      <c r="BI69" s="294" t="str">
        <f t="shared" si="65"/>
        <v/>
      </c>
      <c r="BJ69" s="294" t="str">
        <f t="shared" si="65"/>
        <v/>
      </c>
      <c r="BK69" s="295" t="str">
        <f t="shared" si="65"/>
        <v/>
      </c>
      <c r="BL69" s="293" t="str">
        <f t="shared" si="65"/>
        <v/>
      </c>
      <c r="BM69" s="294" t="str">
        <f t="shared" si="65"/>
        <v/>
      </c>
      <c r="BN69" s="294" t="str">
        <f t="shared" si="65"/>
        <v/>
      </c>
      <c r="BO69" s="295" t="str">
        <f t="shared" si="65"/>
        <v/>
      </c>
      <c r="BP69" s="293" t="str">
        <f t="shared" si="65"/>
        <v/>
      </c>
      <c r="BQ69" s="294" t="str">
        <f t="shared" si="65"/>
        <v/>
      </c>
      <c r="BR69" s="294" t="str">
        <f t="shared" si="65"/>
        <v/>
      </c>
      <c r="BS69" s="295" t="str">
        <f t="shared" si="65"/>
        <v/>
      </c>
      <c r="BT69" s="293" t="str">
        <f t="shared" si="65"/>
        <v/>
      </c>
      <c r="BU69" s="294" t="str">
        <f t="shared" si="65"/>
        <v/>
      </c>
      <c r="BV69" s="294" t="str">
        <f t="shared" si="65"/>
        <v/>
      </c>
      <c r="BW69" s="295" t="str">
        <f t="shared" si="65"/>
        <v/>
      </c>
      <c r="BX69" s="293"/>
      <c r="BY69" s="294"/>
      <c r="BZ69" s="294"/>
      <c r="CA69" s="295"/>
      <c r="CB69" s="293"/>
      <c r="CC69" s="294"/>
      <c r="CD69" s="294"/>
      <c r="CE69" s="295"/>
      <c r="CF69" s="174">
        <f>+GRA!$D$7</f>
        <v>0</v>
      </c>
    </row>
    <row r="70" spans="1:84" s="288" customFormat="1" ht="45" hidden="1" customHeight="1">
      <c r="A70" s="153"/>
      <c r="B70" s="153"/>
      <c r="C70" s="153"/>
      <c r="D70" s="153"/>
      <c r="E70" s="287"/>
      <c r="F70" s="354"/>
      <c r="G70" s="292" t="s">
        <v>36</v>
      </c>
      <c r="H70" s="294"/>
      <c r="I70" s="294"/>
      <c r="J70" s="294"/>
      <c r="K70" s="295"/>
      <c r="L70" s="293"/>
      <c r="M70" s="294"/>
      <c r="N70" s="294"/>
      <c r="O70" s="295"/>
      <c r="P70" s="293" t="str">
        <f>IF(ISERROR(P69/(P5*0.25)),"",P69/(P5*0.25))</f>
        <v/>
      </c>
      <c r="Q70" s="294" t="str">
        <f>IF(ISERROR(Q69/(Q5*0.25)),"",Q69/(Q5*0.25))</f>
        <v/>
      </c>
      <c r="R70" s="296" t="str">
        <f>IF(ISERROR(R69/(R5*0.25)),"",R69/(R5*0.25))</f>
        <v/>
      </c>
      <c r="S70" s="297" t="str">
        <f t="shared" ref="S70:BW70" si="66">IF(ISERROR(S69/(S5*0.25)),"",S69/(S5*0.25))</f>
        <v/>
      </c>
      <c r="T70" s="298" t="str">
        <f t="shared" si="66"/>
        <v/>
      </c>
      <c r="U70" s="296" t="str">
        <f t="shared" si="66"/>
        <v/>
      </c>
      <c r="V70" s="296" t="str">
        <f t="shared" si="66"/>
        <v/>
      </c>
      <c r="W70" s="297" t="str">
        <f t="shared" si="66"/>
        <v/>
      </c>
      <c r="X70" s="298" t="str">
        <f t="shared" si="66"/>
        <v/>
      </c>
      <c r="Y70" s="296" t="str">
        <f t="shared" si="66"/>
        <v/>
      </c>
      <c r="Z70" s="296" t="str">
        <f t="shared" si="66"/>
        <v/>
      </c>
      <c r="AA70" s="297" t="str">
        <f t="shared" si="66"/>
        <v/>
      </c>
      <c r="AB70" s="298" t="str">
        <f t="shared" si="66"/>
        <v/>
      </c>
      <c r="AC70" s="296" t="str">
        <f t="shared" si="66"/>
        <v/>
      </c>
      <c r="AD70" s="296" t="str">
        <f t="shared" si="66"/>
        <v/>
      </c>
      <c r="AE70" s="297" t="str">
        <f t="shared" si="66"/>
        <v/>
      </c>
      <c r="AF70" s="298" t="str">
        <f t="shared" si="66"/>
        <v/>
      </c>
      <c r="AG70" s="296" t="str">
        <f t="shared" si="66"/>
        <v/>
      </c>
      <c r="AH70" s="296" t="str">
        <f t="shared" si="66"/>
        <v/>
      </c>
      <c r="AI70" s="297" t="str">
        <f t="shared" si="66"/>
        <v/>
      </c>
      <c r="AJ70" s="298" t="str">
        <f t="shared" si="66"/>
        <v/>
      </c>
      <c r="AK70" s="296" t="str">
        <f t="shared" si="66"/>
        <v/>
      </c>
      <c r="AL70" s="296" t="str">
        <f t="shared" si="66"/>
        <v/>
      </c>
      <c r="AM70" s="297" t="str">
        <f t="shared" si="66"/>
        <v/>
      </c>
      <c r="AN70" s="298" t="str">
        <f t="shared" si="66"/>
        <v/>
      </c>
      <c r="AO70" s="296" t="str">
        <f t="shared" si="66"/>
        <v/>
      </c>
      <c r="AP70" s="296" t="str">
        <f t="shared" si="66"/>
        <v/>
      </c>
      <c r="AQ70" s="297" t="str">
        <f t="shared" si="66"/>
        <v/>
      </c>
      <c r="AR70" s="298" t="str">
        <f t="shared" si="66"/>
        <v/>
      </c>
      <c r="AS70" s="296" t="str">
        <f t="shared" si="66"/>
        <v/>
      </c>
      <c r="AT70" s="296" t="str">
        <f t="shared" si="66"/>
        <v/>
      </c>
      <c r="AU70" s="297" t="str">
        <f t="shared" si="66"/>
        <v/>
      </c>
      <c r="AV70" s="298" t="str">
        <f t="shared" si="66"/>
        <v/>
      </c>
      <c r="AW70" s="296" t="str">
        <f t="shared" si="66"/>
        <v/>
      </c>
      <c r="AX70" s="296" t="str">
        <f t="shared" si="66"/>
        <v/>
      </c>
      <c r="AY70" s="297" t="str">
        <f t="shared" si="66"/>
        <v/>
      </c>
      <c r="AZ70" s="298" t="str">
        <f t="shared" si="66"/>
        <v/>
      </c>
      <c r="BA70" s="296" t="str">
        <f t="shared" si="66"/>
        <v/>
      </c>
      <c r="BB70" s="296" t="str">
        <f t="shared" si="66"/>
        <v/>
      </c>
      <c r="BC70" s="297" t="str">
        <f t="shared" si="66"/>
        <v/>
      </c>
      <c r="BD70" s="298" t="str">
        <f t="shared" si="66"/>
        <v/>
      </c>
      <c r="BE70" s="296" t="str">
        <f t="shared" si="66"/>
        <v/>
      </c>
      <c r="BF70" s="296" t="str">
        <f t="shared" si="66"/>
        <v/>
      </c>
      <c r="BG70" s="297" t="str">
        <f t="shared" si="66"/>
        <v/>
      </c>
      <c r="BH70" s="298" t="str">
        <f t="shared" si="66"/>
        <v/>
      </c>
      <c r="BI70" s="296" t="str">
        <f t="shared" si="66"/>
        <v/>
      </c>
      <c r="BJ70" s="296" t="str">
        <f t="shared" si="66"/>
        <v/>
      </c>
      <c r="BK70" s="297" t="str">
        <f t="shared" si="66"/>
        <v/>
      </c>
      <c r="BL70" s="298" t="str">
        <f t="shared" si="66"/>
        <v/>
      </c>
      <c r="BM70" s="296" t="str">
        <f t="shared" si="66"/>
        <v/>
      </c>
      <c r="BN70" s="296" t="str">
        <f t="shared" si="66"/>
        <v/>
      </c>
      <c r="BO70" s="297" t="str">
        <f t="shared" si="66"/>
        <v/>
      </c>
      <c r="BP70" s="298" t="str">
        <f t="shared" si="66"/>
        <v/>
      </c>
      <c r="BQ70" s="296" t="str">
        <f t="shared" si="66"/>
        <v/>
      </c>
      <c r="BR70" s="296" t="str">
        <f t="shared" si="66"/>
        <v/>
      </c>
      <c r="BS70" s="297" t="str">
        <f t="shared" si="66"/>
        <v/>
      </c>
      <c r="BT70" s="299" t="str">
        <f t="shared" si="66"/>
        <v/>
      </c>
      <c r="BU70" s="300" t="str">
        <f t="shared" si="66"/>
        <v/>
      </c>
      <c r="BV70" s="300" t="str">
        <f t="shared" si="66"/>
        <v/>
      </c>
      <c r="BW70" s="301" t="str">
        <f t="shared" si="66"/>
        <v/>
      </c>
      <c r="BX70" s="299"/>
      <c r="BY70" s="300"/>
      <c r="BZ70" s="300"/>
      <c r="CA70" s="301"/>
      <c r="CB70" s="299"/>
      <c r="CC70" s="300"/>
      <c r="CD70" s="300"/>
      <c r="CE70" s="301"/>
    </row>
    <row r="71" spans="1:84" ht="20.100000000000001" customHeight="1">
      <c r="F71" s="152"/>
      <c r="G71" s="151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</row>
    <row r="72" spans="1:84" ht="20.100000000000001" customHeight="1">
      <c r="F72" s="152"/>
      <c r="G72" s="151"/>
    </row>
    <row r="73" spans="1:84" ht="20.100000000000001" customHeight="1">
      <c r="F73" s="152"/>
      <c r="G73" s="151"/>
    </row>
    <row r="74" spans="1:84" ht="20.100000000000001" customHeight="1">
      <c r="F74" s="152"/>
      <c r="G74" s="151"/>
    </row>
    <row r="75" spans="1:84" ht="20.100000000000001" customHeight="1">
      <c r="F75" s="152"/>
      <c r="G75" s="151"/>
    </row>
    <row r="76" spans="1:84" ht="20.100000000000001" customHeight="1">
      <c r="F76" s="152"/>
      <c r="G76" s="151"/>
    </row>
    <row r="77" spans="1:84" ht="20.100000000000001" customHeight="1">
      <c r="F77" s="152"/>
      <c r="G77" s="151"/>
    </row>
    <row r="78" spans="1:84" ht="20.100000000000001" customHeight="1">
      <c r="F78" s="152"/>
      <c r="G78" s="151"/>
    </row>
    <row r="79" spans="1:84" ht="20.100000000000001" customHeight="1">
      <c r="F79" s="152"/>
      <c r="G79" s="151"/>
    </row>
    <row r="80" spans="1:84" ht="20.100000000000001" customHeight="1">
      <c r="F80" s="152"/>
      <c r="G80" s="151"/>
    </row>
    <row r="81" spans="6:7" ht="20.100000000000001" customHeight="1">
      <c r="F81" s="152"/>
      <c r="G81" s="151"/>
    </row>
    <row r="82" spans="6:7" ht="20.100000000000001" customHeight="1">
      <c r="F82" s="152"/>
      <c r="G82" s="151"/>
    </row>
    <row r="83" spans="6:7" ht="20.100000000000001" customHeight="1">
      <c r="F83" s="152"/>
      <c r="G83" s="151"/>
    </row>
    <row r="84" spans="6:7" ht="20.100000000000001" customHeight="1">
      <c r="F84" s="152"/>
      <c r="G84" s="151"/>
    </row>
    <row r="85" spans="6:7" ht="20.100000000000001" customHeight="1">
      <c r="F85" s="152"/>
      <c r="G85" s="151"/>
    </row>
    <row r="86" spans="6:7" ht="20.100000000000001" customHeight="1">
      <c r="F86" s="152"/>
      <c r="G86" s="151"/>
    </row>
    <row r="87" spans="6:7" ht="20.100000000000001" customHeight="1">
      <c r="F87" s="152"/>
      <c r="G87" s="151"/>
    </row>
    <row r="88" spans="6:7" ht="20.100000000000001" customHeight="1">
      <c r="F88" s="152"/>
      <c r="G88" s="151"/>
    </row>
    <row r="89" spans="6:7" ht="20.100000000000001" customHeight="1">
      <c r="F89" s="152"/>
      <c r="G89" s="151"/>
    </row>
    <row r="90" spans="6:7" ht="20.100000000000001" customHeight="1">
      <c r="F90" s="152"/>
      <c r="G90" s="151"/>
    </row>
    <row r="91" spans="6:7" ht="20.100000000000001" customHeight="1">
      <c r="F91" s="152"/>
      <c r="G91" s="151"/>
    </row>
    <row r="92" spans="6:7" ht="20.100000000000001" customHeight="1">
      <c r="F92" s="152"/>
      <c r="G92" s="151"/>
    </row>
    <row r="93" spans="6:7" ht="20.100000000000001" customHeight="1">
      <c r="F93" s="152"/>
      <c r="G93" s="151"/>
    </row>
    <row r="94" spans="6:7" ht="20.100000000000001" customHeight="1">
      <c r="F94" s="152"/>
      <c r="G94" s="151"/>
    </row>
    <row r="95" spans="6:7" ht="20.100000000000001" customHeight="1">
      <c r="F95" s="152"/>
      <c r="G95" s="151"/>
    </row>
    <row r="96" spans="6:7" ht="20.100000000000001" customHeight="1">
      <c r="F96" s="152"/>
      <c r="G96" s="151"/>
    </row>
    <row r="97" spans="6:7" ht="20.100000000000001" customHeight="1">
      <c r="F97" s="152"/>
      <c r="G97" s="151"/>
    </row>
    <row r="98" spans="6:7" ht="20.100000000000001" customHeight="1">
      <c r="F98" s="152"/>
      <c r="G98" s="151"/>
    </row>
    <row r="99" spans="6:7" ht="20.100000000000001" customHeight="1">
      <c r="F99" s="152"/>
      <c r="G99" s="151"/>
    </row>
    <row r="100" spans="6:7" ht="20.100000000000001" customHeight="1">
      <c r="F100" s="152"/>
      <c r="G100" s="151"/>
    </row>
    <row r="101" spans="6:7" ht="20.100000000000001" customHeight="1">
      <c r="F101" s="152"/>
      <c r="G101" s="151"/>
    </row>
    <row r="102" spans="6:7" ht="20.100000000000001" customHeight="1">
      <c r="F102" s="152"/>
      <c r="G102" s="151"/>
    </row>
    <row r="103" spans="6:7" ht="20.100000000000001" customHeight="1">
      <c r="F103" s="152"/>
      <c r="G103" s="151"/>
    </row>
    <row r="104" spans="6:7" ht="20.100000000000001" customHeight="1">
      <c r="F104" s="152"/>
      <c r="G104" s="151"/>
    </row>
    <row r="105" spans="6:7" ht="20.100000000000001" customHeight="1">
      <c r="F105" s="152"/>
      <c r="G105" s="151"/>
    </row>
    <row r="106" spans="6:7" ht="20.100000000000001" customHeight="1">
      <c r="F106" s="152"/>
      <c r="G106" s="151"/>
    </row>
    <row r="107" spans="6:7" ht="20.100000000000001" customHeight="1">
      <c r="F107" s="152"/>
      <c r="G107" s="151"/>
    </row>
    <row r="108" spans="6:7" ht="20.100000000000001" customHeight="1">
      <c r="F108" s="152"/>
      <c r="G108" s="151"/>
    </row>
    <row r="109" spans="6:7" ht="20.100000000000001" customHeight="1">
      <c r="F109" s="152"/>
      <c r="G109" s="151"/>
    </row>
    <row r="110" spans="6:7" ht="20.100000000000001" customHeight="1">
      <c r="F110" s="152"/>
      <c r="G110" s="151"/>
    </row>
    <row r="111" spans="6:7" ht="20.100000000000001" customHeight="1">
      <c r="F111" s="152"/>
      <c r="G111" s="151"/>
    </row>
    <row r="112" spans="6:7" ht="20.100000000000001" customHeight="1">
      <c r="F112" s="152"/>
      <c r="G112" s="151"/>
    </row>
    <row r="113" spans="6:7" ht="20.100000000000001" customHeight="1">
      <c r="F113" s="152"/>
      <c r="G113" s="151"/>
    </row>
    <row r="114" spans="6:7" ht="20.100000000000001" customHeight="1">
      <c r="F114" s="152"/>
      <c r="G114" s="151"/>
    </row>
    <row r="115" spans="6:7" ht="20.100000000000001" customHeight="1">
      <c r="F115" s="152"/>
      <c r="G115" s="151"/>
    </row>
    <row r="116" spans="6:7" ht="20.100000000000001" customHeight="1">
      <c r="F116" s="152"/>
      <c r="G116" s="151"/>
    </row>
    <row r="117" spans="6:7" ht="20.100000000000001" customHeight="1">
      <c r="F117" s="152"/>
      <c r="G117" s="151"/>
    </row>
    <row r="118" spans="6:7" ht="20.100000000000001" customHeight="1">
      <c r="F118" s="152"/>
      <c r="G118" s="151"/>
    </row>
    <row r="119" spans="6:7" ht="20.100000000000001" customHeight="1">
      <c r="F119" s="152"/>
      <c r="G119" s="151"/>
    </row>
    <row r="120" spans="6:7" ht="20.100000000000001" customHeight="1">
      <c r="F120" s="152"/>
      <c r="G120" s="151"/>
    </row>
    <row r="121" spans="6:7" ht="20.100000000000001" customHeight="1">
      <c r="F121" s="152"/>
      <c r="G121" s="151"/>
    </row>
    <row r="122" spans="6:7" ht="20.100000000000001" customHeight="1">
      <c r="F122" s="152"/>
      <c r="G122" s="151"/>
    </row>
    <row r="123" spans="6:7" ht="20.100000000000001" customHeight="1">
      <c r="F123" s="152"/>
      <c r="G123" s="151"/>
    </row>
    <row r="124" spans="6:7" ht="20.100000000000001" customHeight="1">
      <c r="F124" s="152"/>
      <c r="G124" s="151"/>
    </row>
    <row r="125" spans="6:7" ht="20.100000000000001" customHeight="1">
      <c r="F125" s="152"/>
      <c r="G125" s="151"/>
    </row>
    <row r="126" spans="6:7" ht="20.100000000000001" customHeight="1">
      <c r="F126" s="152"/>
      <c r="G126" s="151"/>
    </row>
    <row r="127" spans="6:7" ht="20.100000000000001" customHeight="1">
      <c r="F127" s="152"/>
      <c r="G127" s="151"/>
    </row>
    <row r="128" spans="6:7" ht="20.100000000000001" customHeight="1">
      <c r="F128" s="152"/>
      <c r="G128" s="151"/>
    </row>
    <row r="129" spans="6:7" ht="20.100000000000001" customHeight="1">
      <c r="F129" s="152"/>
      <c r="G129" s="151"/>
    </row>
    <row r="130" spans="6:7" ht="20.100000000000001" customHeight="1">
      <c r="F130" s="152"/>
      <c r="G130" s="151"/>
    </row>
    <row r="131" spans="6:7" ht="20.100000000000001" customHeight="1">
      <c r="F131" s="152"/>
      <c r="G131" s="151"/>
    </row>
    <row r="132" spans="6:7" ht="20.100000000000001" customHeight="1">
      <c r="F132" s="152"/>
      <c r="G132" s="151"/>
    </row>
  </sheetData>
  <sheetProtection algorithmName="SHA-512" hashValue="WEsEAkyUyNXEmQ/mnLL7/oBQ6de+xjXE3crWqgidxOBWFoKX3ZeD89oeDPQYcu4U+4yg+Ozl2wAv0W/YS1Czjw==" saltValue="AF1Lk354Dq6NE+UkUZ7wGw==" spinCount="100000" sheet="1" objects="1" scenarios="1"/>
  <autoFilter ref="F5:G54" xr:uid="{00000000-0009-0000-0000-000003000000}"/>
  <mergeCells count="2">
    <mergeCell ref="F69:F70"/>
    <mergeCell ref="F67:F68"/>
  </mergeCells>
  <phoneticPr fontId="0" type="noConversion"/>
  <conditionalFormatting sqref="H5:CE5 H46:CE54">
    <cfRule type="cellIs" dxfId="5" priority="1" stopIfTrue="1" operator="equal">
      <formula>0</formula>
    </cfRule>
  </conditionalFormatting>
  <printOptions horizontalCentered="1"/>
  <pageMargins left="0.31496062992125984" right="0.31496062992125984" top="0.55118110236220474" bottom="0.55118110236220474" header="0.31496062992125984" footer="0.31496062992125984"/>
  <pageSetup paperSize="9" scale="61" orientation="landscape" horizontalDpi="200" verticalDpi="200" r:id="rId1"/>
  <headerFooter>
    <oddFooter>&amp;L&amp;D - &amp;T&amp;R&amp;F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CI132"/>
  <sheetViews>
    <sheetView zoomScaleNormal="100" workbookViewId="0">
      <pane xSplit="7" ySplit="5" topLeftCell="H33" activePane="bottomRight" state="frozen"/>
      <selection activeCell="H15" sqref="H15"/>
      <selection pane="topRight" activeCell="H15" sqref="H15"/>
      <selection pane="bottomLeft" activeCell="H15" sqref="H15"/>
      <selection pane="bottomRight" activeCell="G49" sqref="G49"/>
    </sheetView>
  </sheetViews>
  <sheetFormatPr defaultColWidth="9.140625" defaultRowHeight="20.100000000000001" customHeight="1"/>
  <cols>
    <col min="1" max="1" width="6.42578125" style="11" hidden="1" customWidth="1"/>
    <col min="2" max="4" width="7.5703125" style="11" hidden="1" customWidth="1"/>
    <col min="5" max="5" width="1" style="11" customWidth="1"/>
    <col min="6" max="6" width="5" style="12" bestFit="1" customWidth="1"/>
    <col min="7" max="7" width="21.7109375" style="12" customWidth="1"/>
    <col min="8" max="83" width="2.7109375" style="12" customWidth="1"/>
    <col min="84" max="84" width="3" style="12" bestFit="1" customWidth="1"/>
    <col min="85" max="16384" width="9.140625" style="12"/>
  </cols>
  <sheetData>
    <row r="1" spans="1:87" ht="3.75" customHeight="1"/>
    <row r="2" spans="1:87" s="44" customFormat="1" ht="23.25" customHeight="1">
      <c r="A2" s="43"/>
      <c r="B2" s="43"/>
      <c r="C2" s="148"/>
      <c r="D2" s="43"/>
      <c r="E2" s="43"/>
      <c r="F2" s="30" t="str">
        <f>+TABELLA!E4&amp;" - "&amp;"MARTEDI''"</f>
        <v xml:space="preserve"> - MARTEDI''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2" t="str">
        <f>+TABELLA!E5&amp;" "&amp;TABELLA!G5&amp;"-"&amp;TABELLA!B7</f>
        <v>REPARTO -Settimana n° 47</v>
      </c>
    </row>
    <row r="3" spans="1:87" s="23" customFormat="1" ht="36" customHeight="1">
      <c r="G3" s="24">
        <v>5</v>
      </c>
      <c r="H3" s="33">
        <f>G3+0.15</f>
        <v>5.15</v>
      </c>
      <c r="I3" s="33">
        <f>H3+0.15</f>
        <v>5.3000000000000007</v>
      </c>
      <c r="J3" s="33">
        <f>I3+0.15</f>
        <v>5.4500000000000011</v>
      </c>
      <c r="K3" s="25">
        <f>G3+1</f>
        <v>6</v>
      </c>
      <c r="L3" s="33">
        <f>K3+0.15</f>
        <v>6.15</v>
      </c>
      <c r="M3" s="33">
        <f>L3+0.15</f>
        <v>6.3000000000000007</v>
      </c>
      <c r="N3" s="33">
        <f>M3+0.15</f>
        <v>6.4500000000000011</v>
      </c>
      <c r="O3" s="25">
        <f>K3+1</f>
        <v>7</v>
      </c>
      <c r="P3" s="33">
        <f>O3+0.15</f>
        <v>7.15</v>
      </c>
      <c r="Q3" s="33">
        <f>P3+0.15</f>
        <v>7.3000000000000007</v>
      </c>
      <c r="R3" s="33">
        <f>Q3+0.15</f>
        <v>7.4500000000000011</v>
      </c>
      <c r="S3" s="25">
        <f>O3+1</f>
        <v>8</v>
      </c>
      <c r="T3" s="33">
        <f>S3+0.15</f>
        <v>8.15</v>
      </c>
      <c r="U3" s="33">
        <f>T3+0.15</f>
        <v>8.3000000000000007</v>
      </c>
      <c r="V3" s="33">
        <f>U3+0.15</f>
        <v>8.4500000000000011</v>
      </c>
      <c r="W3" s="25">
        <f>S3+1</f>
        <v>9</v>
      </c>
      <c r="X3" s="33">
        <f>W3+0.15</f>
        <v>9.15</v>
      </c>
      <c r="Y3" s="33">
        <f>X3+0.15</f>
        <v>9.3000000000000007</v>
      </c>
      <c r="Z3" s="33">
        <f>Y3+0.15</f>
        <v>9.4500000000000011</v>
      </c>
      <c r="AA3" s="25">
        <f>W3+1</f>
        <v>10</v>
      </c>
      <c r="AB3" s="33">
        <f>AA3+0.15</f>
        <v>10.15</v>
      </c>
      <c r="AC3" s="33">
        <f>AB3+0.15</f>
        <v>10.3</v>
      </c>
      <c r="AD3" s="33">
        <f>AC3+0.15</f>
        <v>10.450000000000001</v>
      </c>
      <c r="AE3" s="25">
        <f>AA3+1</f>
        <v>11</v>
      </c>
      <c r="AF3" s="33">
        <f>AE3+0.15</f>
        <v>11.15</v>
      </c>
      <c r="AG3" s="33">
        <f>AF3+0.15</f>
        <v>11.3</v>
      </c>
      <c r="AH3" s="33">
        <f>AG3+0.15</f>
        <v>11.450000000000001</v>
      </c>
      <c r="AI3" s="25">
        <f>AE3+1</f>
        <v>12</v>
      </c>
      <c r="AJ3" s="33">
        <f>AI3+0.15</f>
        <v>12.15</v>
      </c>
      <c r="AK3" s="33">
        <f>AJ3+0.15</f>
        <v>12.3</v>
      </c>
      <c r="AL3" s="33">
        <f>AK3+0.15</f>
        <v>12.450000000000001</v>
      </c>
      <c r="AM3" s="25">
        <f>AI3+1</f>
        <v>13</v>
      </c>
      <c r="AN3" s="33">
        <f>AM3+0.15</f>
        <v>13.15</v>
      </c>
      <c r="AO3" s="33">
        <f>AN3+0.15</f>
        <v>13.3</v>
      </c>
      <c r="AP3" s="33">
        <f>AO3+0.15</f>
        <v>13.450000000000001</v>
      </c>
      <c r="AQ3" s="25">
        <f>AM3+1</f>
        <v>14</v>
      </c>
      <c r="AR3" s="33">
        <f>AQ3+0.15</f>
        <v>14.15</v>
      </c>
      <c r="AS3" s="33">
        <f>AR3+0.15</f>
        <v>14.3</v>
      </c>
      <c r="AT3" s="33">
        <f>AS3+0.15</f>
        <v>14.450000000000001</v>
      </c>
      <c r="AU3" s="25">
        <f>AQ3+1</f>
        <v>15</v>
      </c>
      <c r="AV3" s="33">
        <f>AU3+0.15</f>
        <v>15.15</v>
      </c>
      <c r="AW3" s="33">
        <f>AV3+0.15</f>
        <v>15.3</v>
      </c>
      <c r="AX3" s="33">
        <f>AW3+0.15</f>
        <v>15.450000000000001</v>
      </c>
      <c r="AY3" s="25">
        <f>AU3+1</f>
        <v>16</v>
      </c>
      <c r="AZ3" s="33">
        <f>AY3+0.15</f>
        <v>16.149999999999999</v>
      </c>
      <c r="BA3" s="33">
        <f>AZ3+0.15</f>
        <v>16.299999999999997</v>
      </c>
      <c r="BB3" s="33">
        <f>BA3+0.15</f>
        <v>16.449999999999996</v>
      </c>
      <c r="BC3" s="25">
        <f>AY3+1</f>
        <v>17</v>
      </c>
      <c r="BD3" s="33">
        <f>BC3+0.15</f>
        <v>17.149999999999999</v>
      </c>
      <c r="BE3" s="33">
        <f>BD3+0.15</f>
        <v>17.299999999999997</v>
      </c>
      <c r="BF3" s="33">
        <f>BE3+0.15</f>
        <v>17.449999999999996</v>
      </c>
      <c r="BG3" s="25">
        <f>BC3+1</f>
        <v>18</v>
      </c>
      <c r="BH3" s="33">
        <f>BG3+0.15</f>
        <v>18.149999999999999</v>
      </c>
      <c r="BI3" s="33">
        <f>BH3+0.15</f>
        <v>18.299999999999997</v>
      </c>
      <c r="BJ3" s="33">
        <f>BI3+0.15</f>
        <v>18.449999999999996</v>
      </c>
      <c r="BK3" s="25">
        <f>BG3+1</f>
        <v>19</v>
      </c>
      <c r="BL3" s="33">
        <f>BK3+0.15</f>
        <v>19.149999999999999</v>
      </c>
      <c r="BM3" s="33">
        <f>BL3+0.15</f>
        <v>19.299999999999997</v>
      </c>
      <c r="BN3" s="33">
        <f>BM3+0.15</f>
        <v>19.449999999999996</v>
      </c>
      <c r="BO3" s="25">
        <f>BK3+1</f>
        <v>20</v>
      </c>
      <c r="BP3" s="33">
        <f>BO3+0.15</f>
        <v>20.149999999999999</v>
      </c>
      <c r="BQ3" s="33">
        <f>BP3+0.15</f>
        <v>20.299999999999997</v>
      </c>
      <c r="BR3" s="33">
        <f>BQ3+0.15</f>
        <v>20.449999999999996</v>
      </c>
      <c r="BS3" s="25">
        <f>BO3+1</f>
        <v>21</v>
      </c>
      <c r="BT3" s="33">
        <f>BS3+0.15</f>
        <v>21.15</v>
      </c>
      <c r="BU3" s="33">
        <f>BT3+0.15</f>
        <v>21.299999999999997</v>
      </c>
      <c r="BV3" s="33">
        <f>BU3+0.15</f>
        <v>21.449999999999996</v>
      </c>
      <c r="BW3" s="25">
        <f>BS3+1</f>
        <v>22</v>
      </c>
      <c r="BX3" s="33">
        <f>BW3+0.15</f>
        <v>22.15</v>
      </c>
      <c r="BY3" s="33">
        <f>BX3+0.15</f>
        <v>22.299999999999997</v>
      </c>
      <c r="BZ3" s="33">
        <f>BY3+0.15</f>
        <v>22.449999999999996</v>
      </c>
      <c r="CA3" s="25">
        <f>BW3+1</f>
        <v>23</v>
      </c>
      <c r="CB3" s="33">
        <f>CA3+0.15</f>
        <v>23.15</v>
      </c>
      <c r="CC3" s="33">
        <f>CB3+0.15</f>
        <v>23.299999999999997</v>
      </c>
      <c r="CD3" s="33">
        <f>CC3+0.15</f>
        <v>23.449999999999996</v>
      </c>
      <c r="CE3" s="25">
        <f>CA3+1</f>
        <v>24</v>
      </c>
      <c r="CF3" s="34"/>
      <c r="CG3" s="34"/>
      <c r="CH3" s="34"/>
      <c r="CI3" s="34"/>
    </row>
    <row r="4" spans="1:87" ht="4.5" customHeight="1">
      <c r="H4" s="14"/>
      <c r="I4" s="15"/>
      <c r="J4" s="15"/>
      <c r="K4" s="15"/>
      <c r="L4" s="14"/>
      <c r="M4" s="15"/>
      <c r="N4" s="15"/>
      <c r="O4" s="15"/>
      <c r="P4" s="14"/>
      <c r="Q4" s="15"/>
      <c r="R4" s="15"/>
      <c r="S4" s="15"/>
      <c r="T4" s="14"/>
      <c r="U4" s="15"/>
      <c r="V4" s="15"/>
      <c r="W4" s="15"/>
      <c r="X4" s="14"/>
      <c r="Y4" s="15"/>
      <c r="Z4" s="15"/>
      <c r="AA4" s="15"/>
      <c r="AB4" s="14"/>
      <c r="AC4" s="15"/>
      <c r="AD4" s="15"/>
      <c r="AE4" s="15"/>
      <c r="AF4" s="14"/>
      <c r="AG4" s="15"/>
      <c r="AH4" s="15"/>
      <c r="AI4" s="15"/>
      <c r="AJ4" s="14"/>
      <c r="AK4" s="15"/>
      <c r="AL4" s="15"/>
      <c r="AM4" s="15"/>
      <c r="AN4" s="14"/>
      <c r="AO4" s="15"/>
      <c r="AP4" s="15"/>
      <c r="AQ4" s="15"/>
      <c r="AR4" s="14"/>
      <c r="AS4" s="15"/>
      <c r="AT4" s="15"/>
      <c r="AU4" s="15"/>
      <c r="AV4" s="14"/>
      <c r="AW4" s="15"/>
      <c r="AX4" s="15"/>
      <c r="AY4" s="15"/>
      <c r="AZ4" s="14"/>
      <c r="BA4" s="15"/>
      <c r="BB4" s="15"/>
      <c r="BC4" s="15"/>
      <c r="BD4" s="14"/>
      <c r="BE4" s="15"/>
      <c r="BF4" s="15"/>
      <c r="BG4" s="15"/>
      <c r="BH4" s="14"/>
      <c r="BI4" s="15"/>
      <c r="BJ4" s="15"/>
      <c r="BK4" s="15"/>
      <c r="BL4" s="14"/>
      <c r="BM4" s="15"/>
      <c r="BN4" s="15"/>
      <c r="BO4" s="15"/>
      <c r="BP4" s="14"/>
      <c r="BQ4" s="15"/>
      <c r="BR4" s="15"/>
      <c r="BS4" s="15"/>
      <c r="BT4" s="14"/>
      <c r="BU4" s="15"/>
      <c r="BV4" s="15"/>
      <c r="BW4" s="15"/>
      <c r="BX4" s="15"/>
      <c r="BY4" s="15"/>
      <c r="BZ4" s="15"/>
      <c r="CA4" s="15"/>
      <c r="CB4" s="14"/>
      <c r="CC4" s="15"/>
      <c r="CD4" s="15"/>
      <c r="CE4" s="15"/>
      <c r="CF4" s="13"/>
      <c r="CG4" s="13"/>
      <c r="CH4" s="13"/>
      <c r="CI4" s="13"/>
    </row>
    <row r="5" spans="1:87" s="29" customFormat="1" ht="49.5" customHeight="1">
      <c r="A5" s="35" t="s">
        <v>0</v>
      </c>
      <c r="B5" s="35" t="s">
        <v>1</v>
      </c>
      <c r="C5" s="35" t="s">
        <v>0</v>
      </c>
      <c r="D5" s="35" t="s">
        <v>1</v>
      </c>
      <c r="E5" s="35"/>
      <c r="F5" s="36" t="str">
        <f>+TABELLA!B8</f>
        <v>REP.</v>
      </c>
      <c r="G5" s="36" t="str">
        <f>+TABELLA!C8</f>
        <v>NOMINATIVO</v>
      </c>
      <c r="H5" s="37">
        <f>SUM(H6:H45)</f>
        <v>0</v>
      </c>
      <c r="I5" s="38">
        <f t="shared" ref="I5:BT5" si="0">SUM(I6:I45)</f>
        <v>0</v>
      </c>
      <c r="J5" s="38">
        <f t="shared" si="0"/>
        <v>0</v>
      </c>
      <c r="K5" s="39">
        <f t="shared" si="0"/>
        <v>0</v>
      </c>
      <c r="L5" s="37">
        <f t="shared" si="0"/>
        <v>0</v>
      </c>
      <c r="M5" s="38">
        <f t="shared" si="0"/>
        <v>0</v>
      </c>
      <c r="N5" s="38">
        <f t="shared" si="0"/>
        <v>0</v>
      </c>
      <c r="O5" s="39">
        <f t="shared" si="0"/>
        <v>0</v>
      </c>
      <c r="P5" s="37">
        <f t="shared" si="0"/>
        <v>0</v>
      </c>
      <c r="Q5" s="38">
        <f t="shared" si="0"/>
        <v>0</v>
      </c>
      <c r="R5" s="38">
        <f t="shared" si="0"/>
        <v>0</v>
      </c>
      <c r="S5" s="39">
        <f t="shared" si="0"/>
        <v>0</v>
      </c>
      <c r="T5" s="37">
        <f>SUM(T6:T45)</f>
        <v>1</v>
      </c>
      <c r="U5" s="38">
        <f t="shared" si="0"/>
        <v>1</v>
      </c>
      <c r="V5" s="38">
        <f t="shared" si="0"/>
        <v>1</v>
      </c>
      <c r="W5" s="39">
        <f t="shared" si="0"/>
        <v>1</v>
      </c>
      <c r="X5" s="37">
        <f t="shared" si="0"/>
        <v>2</v>
      </c>
      <c r="Y5" s="38">
        <f t="shared" si="0"/>
        <v>2</v>
      </c>
      <c r="Z5" s="38">
        <f t="shared" si="0"/>
        <v>3</v>
      </c>
      <c r="AA5" s="39">
        <f t="shared" si="0"/>
        <v>3</v>
      </c>
      <c r="AB5" s="37">
        <f t="shared" si="0"/>
        <v>3</v>
      </c>
      <c r="AC5" s="38">
        <f t="shared" si="0"/>
        <v>3</v>
      </c>
      <c r="AD5" s="38">
        <f t="shared" si="0"/>
        <v>3</v>
      </c>
      <c r="AE5" s="39">
        <f t="shared" si="0"/>
        <v>3</v>
      </c>
      <c r="AF5" s="37">
        <f t="shared" si="0"/>
        <v>3</v>
      </c>
      <c r="AG5" s="38">
        <f t="shared" si="0"/>
        <v>3</v>
      </c>
      <c r="AH5" s="38">
        <f t="shared" si="0"/>
        <v>3</v>
      </c>
      <c r="AI5" s="39">
        <f t="shared" si="0"/>
        <v>3</v>
      </c>
      <c r="AJ5" s="37">
        <f t="shared" si="0"/>
        <v>2</v>
      </c>
      <c r="AK5" s="38">
        <f t="shared" si="0"/>
        <v>3</v>
      </c>
      <c r="AL5" s="38">
        <f t="shared" si="0"/>
        <v>3</v>
      </c>
      <c r="AM5" s="39">
        <f t="shared" si="0"/>
        <v>3</v>
      </c>
      <c r="AN5" s="37">
        <f t="shared" si="0"/>
        <v>2</v>
      </c>
      <c r="AO5" s="38">
        <f t="shared" si="0"/>
        <v>2</v>
      </c>
      <c r="AP5" s="38">
        <f t="shared" si="0"/>
        <v>2</v>
      </c>
      <c r="AQ5" s="39">
        <f t="shared" si="0"/>
        <v>2</v>
      </c>
      <c r="AR5" s="37">
        <f t="shared" si="0"/>
        <v>2</v>
      </c>
      <c r="AS5" s="38">
        <f t="shared" si="0"/>
        <v>2</v>
      </c>
      <c r="AT5" s="38">
        <f t="shared" si="0"/>
        <v>2</v>
      </c>
      <c r="AU5" s="39">
        <f t="shared" si="0"/>
        <v>2</v>
      </c>
      <c r="AV5" s="37">
        <f t="shared" si="0"/>
        <v>2</v>
      </c>
      <c r="AW5" s="38">
        <f t="shared" si="0"/>
        <v>2</v>
      </c>
      <c r="AX5" s="38">
        <f t="shared" si="0"/>
        <v>2</v>
      </c>
      <c r="AY5" s="39">
        <f t="shared" si="0"/>
        <v>2</v>
      </c>
      <c r="AZ5" s="37">
        <f t="shared" si="0"/>
        <v>3</v>
      </c>
      <c r="BA5" s="38">
        <f t="shared" si="0"/>
        <v>2</v>
      </c>
      <c r="BB5" s="38">
        <f t="shared" si="0"/>
        <v>3</v>
      </c>
      <c r="BC5" s="39">
        <f t="shared" si="0"/>
        <v>3</v>
      </c>
      <c r="BD5" s="37">
        <f t="shared" si="0"/>
        <v>2</v>
      </c>
      <c r="BE5" s="38">
        <f t="shared" si="0"/>
        <v>3</v>
      </c>
      <c r="BF5" s="38">
        <f t="shared" si="0"/>
        <v>3</v>
      </c>
      <c r="BG5" s="39">
        <f t="shared" si="0"/>
        <v>3</v>
      </c>
      <c r="BH5" s="37">
        <f t="shared" si="0"/>
        <v>3</v>
      </c>
      <c r="BI5" s="38">
        <f t="shared" si="0"/>
        <v>3</v>
      </c>
      <c r="BJ5" s="38">
        <f t="shared" si="0"/>
        <v>3</v>
      </c>
      <c r="BK5" s="39">
        <f t="shared" si="0"/>
        <v>3</v>
      </c>
      <c r="BL5" s="37">
        <f t="shared" si="0"/>
        <v>3</v>
      </c>
      <c r="BM5" s="38">
        <f t="shared" si="0"/>
        <v>3</v>
      </c>
      <c r="BN5" s="38">
        <f t="shared" si="0"/>
        <v>3</v>
      </c>
      <c r="BO5" s="39">
        <f t="shared" si="0"/>
        <v>3</v>
      </c>
      <c r="BP5" s="37">
        <f t="shared" si="0"/>
        <v>2</v>
      </c>
      <c r="BQ5" s="38">
        <f t="shared" si="0"/>
        <v>2</v>
      </c>
      <c r="BR5" s="38">
        <f t="shared" si="0"/>
        <v>2</v>
      </c>
      <c r="BS5" s="39">
        <f t="shared" si="0"/>
        <v>0</v>
      </c>
      <c r="BT5" s="37">
        <f t="shared" si="0"/>
        <v>0</v>
      </c>
      <c r="BU5" s="38">
        <f t="shared" ref="BU5:CE5" si="1">SUM(BU6:BU45)</f>
        <v>0</v>
      </c>
      <c r="BV5" s="38">
        <f t="shared" si="1"/>
        <v>0</v>
      </c>
      <c r="BW5" s="39">
        <f t="shared" si="1"/>
        <v>0</v>
      </c>
      <c r="BX5" s="37">
        <f t="shared" si="1"/>
        <v>0</v>
      </c>
      <c r="BY5" s="38">
        <f t="shared" si="1"/>
        <v>0</v>
      </c>
      <c r="BZ5" s="38">
        <f t="shared" si="1"/>
        <v>0</v>
      </c>
      <c r="CA5" s="39">
        <f t="shared" si="1"/>
        <v>0</v>
      </c>
      <c r="CB5" s="37">
        <f t="shared" si="1"/>
        <v>0</v>
      </c>
      <c r="CC5" s="38">
        <f t="shared" si="1"/>
        <v>0</v>
      </c>
      <c r="CD5" s="38">
        <f t="shared" si="1"/>
        <v>0</v>
      </c>
      <c r="CE5" s="39">
        <f t="shared" si="1"/>
        <v>0</v>
      </c>
      <c r="CF5" s="174">
        <f>SUM(H5:CE5)</f>
        <v>125</v>
      </c>
      <c r="CG5" s="40"/>
      <c r="CH5" s="40"/>
      <c r="CI5" s="40"/>
    </row>
    <row r="6" spans="1:87" s="18" customFormat="1" ht="18" customHeight="1">
      <c r="A6" s="22">
        <f>+TABELLA!M10</f>
        <v>0</v>
      </c>
      <c r="B6" s="22">
        <f>+TABELLA!N10</f>
        <v>0</v>
      </c>
      <c r="C6" s="22">
        <f>+TABELLA!O10</f>
        <v>0</v>
      </c>
      <c r="D6" s="22">
        <f>+TABELLA!P10</f>
        <v>0</v>
      </c>
      <c r="E6" s="22"/>
      <c r="F6" s="26">
        <f>IF(TABELLA!B10="","",TABELLA!B10)</f>
        <v>12</v>
      </c>
      <c r="G6" s="27" t="str">
        <f>IF(TABELLA!C10="","",TABELLA!C10)</f>
        <v>RUSSO ANTONELLA</v>
      </c>
      <c r="H6" s="203" t="str">
        <f t="shared" ref="H6:W6" si="2">IF(AND(G$3&gt;=$A6,G$3&lt;$B6),1,IF(AND(G$3&gt;=$C6,G$3&lt;$D6),1,""))</f>
        <v/>
      </c>
      <c r="I6" s="203" t="str">
        <f t="shared" si="2"/>
        <v/>
      </c>
      <c r="J6" s="203" t="str">
        <f t="shared" si="2"/>
        <v/>
      </c>
      <c r="K6" s="204" t="str">
        <f t="shared" si="2"/>
        <v/>
      </c>
      <c r="L6" s="205" t="str">
        <f t="shared" si="2"/>
        <v/>
      </c>
      <c r="M6" s="203" t="str">
        <f t="shared" si="2"/>
        <v/>
      </c>
      <c r="N6" s="203" t="str">
        <f t="shared" si="2"/>
        <v/>
      </c>
      <c r="O6" s="204" t="str">
        <f t="shared" si="2"/>
        <v/>
      </c>
      <c r="P6" s="205" t="str">
        <f t="shared" si="2"/>
        <v/>
      </c>
      <c r="Q6" s="203" t="str">
        <f t="shared" si="2"/>
        <v/>
      </c>
      <c r="R6" s="203" t="str">
        <f t="shared" si="2"/>
        <v/>
      </c>
      <c r="S6" s="204" t="str">
        <f t="shared" si="2"/>
        <v/>
      </c>
      <c r="T6" s="205" t="str">
        <f t="shared" si="2"/>
        <v/>
      </c>
      <c r="U6" s="203" t="str">
        <f t="shared" si="2"/>
        <v/>
      </c>
      <c r="V6" s="203" t="str">
        <f t="shared" si="2"/>
        <v/>
      </c>
      <c r="W6" s="204" t="str">
        <f t="shared" si="2"/>
        <v/>
      </c>
      <c r="X6" s="205" t="str">
        <f t="shared" ref="X6:AM21" si="3">IF(AND(W$3&gt;=$A6,W$3&lt;$B6),1,IF(AND(W$3&gt;=$C6,W$3&lt;$D6),1,""))</f>
        <v/>
      </c>
      <c r="Y6" s="203" t="str">
        <f t="shared" si="3"/>
        <v/>
      </c>
      <c r="Z6" s="203" t="str">
        <f t="shared" si="3"/>
        <v/>
      </c>
      <c r="AA6" s="204" t="str">
        <f t="shared" si="3"/>
        <v/>
      </c>
      <c r="AB6" s="205" t="str">
        <f t="shared" si="3"/>
        <v/>
      </c>
      <c r="AC6" s="203" t="str">
        <f t="shared" si="3"/>
        <v/>
      </c>
      <c r="AD6" s="203" t="str">
        <f t="shared" si="3"/>
        <v/>
      </c>
      <c r="AE6" s="204" t="str">
        <f t="shared" si="3"/>
        <v/>
      </c>
      <c r="AF6" s="205" t="str">
        <f t="shared" si="3"/>
        <v/>
      </c>
      <c r="AG6" s="203" t="str">
        <f t="shared" si="3"/>
        <v/>
      </c>
      <c r="AH6" s="203" t="str">
        <f t="shared" si="3"/>
        <v/>
      </c>
      <c r="AI6" s="204" t="str">
        <f t="shared" si="3"/>
        <v/>
      </c>
      <c r="AJ6" s="205" t="str">
        <f t="shared" si="3"/>
        <v/>
      </c>
      <c r="AK6" s="203" t="str">
        <f t="shared" si="3"/>
        <v/>
      </c>
      <c r="AL6" s="203" t="str">
        <f t="shared" si="3"/>
        <v/>
      </c>
      <c r="AM6" s="204" t="str">
        <f t="shared" si="3"/>
        <v/>
      </c>
      <c r="AN6" s="205" t="str">
        <f t="shared" ref="AN6:BC21" si="4">IF(AND(AM$3&gt;=$A6,AM$3&lt;$B6),1,IF(AND(AM$3&gt;=$C6,AM$3&lt;$D6),1,""))</f>
        <v/>
      </c>
      <c r="AO6" s="203" t="str">
        <f t="shared" si="4"/>
        <v/>
      </c>
      <c r="AP6" s="203" t="str">
        <f t="shared" si="4"/>
        <v/>
      </c>
      <c r="AQ6" s="204" t="str">
        <f t="shared" si="4"/>
        <v/>
      </c>
      <c r="AR6" s="205" t="str">
        <f t="shared" si="4"/>
        <v/>
      </c>
      <c r="AS6" s="203" t="str">
        <f t="shared" si="4"/>
        <v/>
      </c>
      <c r="AT6" s="203" t="str">
        <f t="shared" si="4"/>
        <v/>
      </c>
      <c r="AU6" s="204" t="str">
        <f t="shared" si="4"/>
        <v/>
      </c>
      <c r="AV6" s="205" t="str">
        <f t="shared" si="4"/>
        <v/>
      </c>
      <c r="AW6" s="203" t="str">
        <f t="shared" si="4"/>
        <v/>
      </c>
      <c r="AX6" s="203" t="str">
        <f t="shared" si="4"/>
        <v/>
      </c>
      <c r="AY6" s="204" t="str">
        <f t="shared" si="4"/>
        <v/>
      </c>
      <c r="AZ6" s="205" t="str">
        <f t="shared" si="4"/>
        <v/>
      </c>
      <c r="BA6" s="203" t="str">
        <f t="shared" si="4"/>
        <v/>
      </c>
      <c r="BB6" s="203" t="str">
        <f t="shared" si="4"/>
        <v/>
      </c>
      <c r="BC6" s="204" t="str">
        <f t="shared" si="4"/>
        <v/>
      </c>
      <c r="BD6" s="205" t="str">
        <f t="shared" ref="BD6:BS20" si="5">IF(AND(BC$3&gt;=$A6,BC$3&lt;$B6),1,IF(AND(BC$3&gt;=$C6,BC$3&lt;$D6),1,""))</f>
        <v/>
      </c>
      <c r="BE6" s="203" t="str">
        <f t="shared" si="5"/>
        <v/>
      </c>
      <c r="BF6" s="203" t="str">
        <f t="shared" si="5"/>
        <v/>
      </c>
      <c r="BG6" s="204" t="str">
        <f t="shared" si="5"/>
        <v/>
      </c>
      <c r="BH6" s="205" t="str">
        <f t="shared" si="5"/>
        <v/>
      </c>
      <c r="BI6" s="203" t="str">
        <f t="shared" si="5"/>
        <v/>
      </c>
      <c r="BJ6" s="203" t="str">
        <f t="shared" si="5"/>
        <v/>
      </c>
      <c r="BK6" s="204" t="str">
        <f t="shared" si="5"/>
        <v/>
      </c>
      <c r="BL6" s="205" t="str">
        <f t="shared" si="5"/>
        <v/>
      </c>
      <c r="BM6" s="203" t="str">
        <f t="shared" si="5"/>
        <v/>
      </c>
      <c r="BN6" s="203" t="str">
        <f t="shared" si="5"/>
        <v/>
      </c>
      <c r="BO6" s="204" t="str">
        <f t="shared" si="5"/>
        <v/>
      </c>
      <c r="BP6" s="205" t="str">
        <f t="shared" si="5"/>
        <v/>
      </c>
      <c r="BQ6" s="203" t="str">
        <f t="shared" si="5"/>
        <v/>
      </c>
      <c r="BR6" s="203" t="str">
        <f t="shared" si="5"/>
        <v/>
      </c>
      <c r="BS6" s="204" t="str">
        <f t="shared" si="5"/>
        <v/>
      </c>
      <c r="BT6" s="205" t="str">
        <f t="shared" ref="BP6:CE21" si="6">IF(AND(BS$3&gt;=$A6,BS$3&lt;$B6),1,IF(AND(BS$3&gt;=$C6,BS$3&lt;$D6),1,""))</f>
        <v/>
      </c>
      <c r="BU6" s="203" t="str">
        <f t="shared" si="6"/>
        <v/>
      </c>
      <c r="BV6" s="203" t="str">
        <f t="shared" si="6"/>
        <v/>
      </c>
      <c r="BW6" s="204" t="str">
        <f t="shared" si="6"/>
        <v/>
      </c>
      <c r="BX6" s="205" t="str">
        <f t="shared" si="6"/>
        <v/>
      </c>
      <c r="BY6" s="203" t="str">
        <f t="shared" si="6"/>
        <v/>
      </c>
      <c r="BZ6" s="203" t="str">
        <f t="shared" si="6"/>
        <v/>
      </c>
      <c r="CA6" s="204" t="str">
        <f t="shared" si="6"/>
        <v/>
      </c>
      <c r="CB6" s="205" t="str">
        <f t="shared" si="6"/>
        <v/>
      </c>
      <c r="CC6" s="203" t="str">
        <f t="shared" si="6"/>
        <v/>
      </c>
      <c r="CD6" s="203" t="str">
        <f t="shared" si="6"/>
        <v/>
      </c>
      <c r="CE6" s="204" t="str">
        <f t="shared" si="6"/>
        <v/>
      </c>
      <c r="CF6" s="17"/>
      <c r="CG6" s="16"/>
      <c r="CH6" s="13"/>
      <c r="CI6" s="16"/>
    </row>
    <row r="7" spans="1:87" s="21" customFormat="1" ht="18" customHeight="1">
      <c r="A7" s="22">
        <f>+TABELLA!M11</f>
        <v>0</v>
      </c>
      <c r="B7" s="22">
        <f>+TABELLA!N11</f>
        <v>0</v>
      </c>
      <c r="C7" s="22">
        <f>+TABELLA!O11</f>
        <v>0</v>
      </c>
      <c r="D7" s="22">
        <f>+TABELLA!P11</f>
        <v>0</v>
      </c>
      <c r="E7" s="22"/>
      <c r="F7" s="41" t="str">
        <f>IF(TABELLA!B11="","",TABELLA!B11)</f>
        <v/>
      </c>
      <c r="G7" s="42" t="str">
        <f>IF(TABELLA!C11="","",TABELLA!C11)</f>
        <v/>
      </c>
      <c r="H7" s="206" t="str">
        <f t="shared" ref="H7:W7" si="7">IF(AND(G$3&gt;=$A7,G$3&lt;$B7),1,IF(AND(G$3&gt;=$C7,G$3&lt;$D7),1,""))</f>
        <v/>
      </c>
      <c r="I7" s="206" t="str">
        <f t="shared" si="7"/>
        <v/>
      </c>
      <c r="J7" s="206" t="str">
        <f t="shared" si="7"/>
        <v/>
      </c>
      <c r="K7" s="207" t="str">
        <f t="shared" si="7"/>
        <v/>
      </c>
      <c r="L7" s="208" t="str">
        <f t="shared" si="7"/>
        <v/>
      </c>
      <c r="M7" s="206" t="str">
        <f t="shared" si="7"/>
        <v/>
      </c>
      <c r="N7" s="206" t="str">
        <f t="shared" si="7"/>
        <v/>
      </c>
      <c r="O7" s="207" t="str">
        <f t="shared" si="7"/>
        <v/>
      </c>
      <c r="P7" s="208" t="str">
        <f t="shared" si="7"/>
        <v/>
      </c>
      <c r="Q7" s="206" t="str">
        <f t="shared" si="7"/>
        <v/>
      </c>
      <c r="R7" s="206" t="str">
        <f t="shared" si="7"/>
        <v/>
      </c>
      <c r="S7" s="207" t="str">
        <f t="shared" si="7"/>
        <v/>
      </c>
      <c r="T7" s="208" t="str">
        <f t="shared" si="7"/>
        <v/>
      </c>
      <c r="U7" s="206" t="str">
        <f t="shared" si="7"/>
        <v/>
      </c>
      <c r="V7" s="206" t="str">
        <f t="shared" si="7"/>
        <v/>
      </c>
      <c r="W7" s="207" t="str">
        <f t="shared" si="7"/>
        <v/>
      </c>
      <c r="X7" s="208" t="str">
        <f t="shared" si="3"/>
        <v/>
      </c>
      <c r="Y7" s="206" t="str">
        <f t="shared" si="3"/>
        <v/>
      </c>
      <c r="Z7" s="206" t="str">
        <f t="shared" si="3"/>
        <v/>
      </c>
      <c r="AA7" s="207" t="str">
        <f t="shared" si="3"/>
        <v/>
      </c>
      <c r="AB7" s="208" t="str">
        <f t="shared" si="3"/>
        <v/>
      </c>
      <c r="AC7" s="206" t="str">
        <f t="shared" si="3"/>
        <v/>
      </c>
      <c r="AD7" s="206" t="str">
        <f t="shared" si="3"/>
        <v/>
      </c>
      <c r="AE7" s="207" t="str">
        <f t="shared" si="3"/>
        <v/>
      </c>
      <c r="AF7" s="208" t="str">
        <f t="shared" si="3"/>
        <v/>
      </c>
      <c r="AG7" s="206" t="str">
        <f t="shared" si="3"/>
        <v/>
      </c>
      <c r="AH7" s="206" t="str">
        <f t="shared" si="3"/>
        <v/>
      </c>
      <c r="AI7" s="207" t="str">
        <f t="shared" si="3"/>
        <v/>
      </c>
      <c r="AJ7" s="208" t="str">
        <f t="shared" si="3"/>
        <v/>
      </c>
      <c r="AK7" s="206" t="str">
        <f t="shared" si="3"/>
        <v/>
      </c>
      <c r="AL7" s="206" t="str">
        <f t="shared" si="3"/>
        <v/>
      </c>
      <c r="AM7" s="207" t="str">
        <f t="shared" si="3"/>
        <v/>
      </c>
      <c r="AN7" s="208" t="str">
        <f t="shared" si="4"/>
        <v/>
      </c>
      <c r="AO7" s="206" t="str">
        <f t="shared" si="4"/>
        <v/>
      </c>
      <c r="AP7" s="206" t="str">
        <f t="shared" si="4"/>
        <v/>
      </c>
      <c r="AQ7" s="207" t="str">
        <f t="shared" si="4"/>
        <v/>
      </c>
      <c r="AR7" s="208" t="str">
        <f t="shared" si="4"/>
        <v/>
      </c>
      <c r="AS7" s="206" t="str">
        <f t="shared" si="4"/>
        <v/>
      </c>
      <c r="AT7" s="206" t="str">
        <f t="shared" si="4"/>
        <v/>
      </c>
      <c r="AU7" s="207" t="str">
        <f t="shared" si="4"/>
        <v/>
      </c>
      <c r="AV7" s="208" t="str">
        <f t="shared" si="4"/>
        <v/>
      </c>
      <c r="AW7" s="206" t="str">
        <f t="shared" si="4"/>
        <v/>
      </c>
      <c r="AX7" s="206" t="str">
        <f t="shared" si="4"/>
        <v/>
      </c>
      <c r="AY7" s="207" t="str">
        <f t="shared" si="4"/>
        <v/>
      </c>
      <c r="AZ7" s="208" t="str">
        <f t="shared" si="4"/>
        <v/>
      </c>
      <c r="BA7" s="206" t="str">
        <f t="shared" si="4"/>
        <v/>
      </c>
      <c r="BB7" s="206" t="str">
        <f t="shared" si="4"/>
        <v/>
      </c>
      <c r="BC7" s="207" t="str">
        <f t="shared" si="4"/>
        <v/>
      </c>
      <c r="BD7" s="208" t="str">
        <f t="shared" si="5"/>
        <v/>
      </c>
      <c r="BE7" s="206" t="str">
        <f t="shared" si="5"/>
        <v/>
      </c>
      <c r="BF7" s="206" t="str">
        <f t="shared" si="5"/>
        <v/>
      </c>
      <c r="BG7" s="207" t="str">
        <f t="shared" si="5"/>
        <v/>
      </c>
      <c r="BH7" s="208" t="str">
        <f t="shared" si="5"/>
        <v/>
      </c>
      <c r="BI7" s="206" t="str">
        <f t="shared" si="5"/>
        <v/>
      </c>
      <c r="BJ7" s="206" t="str">
        <f t="shared" si="5"/>
        <v/>
      </c>
      <c r="BK7" s="207" t="str">
        <f t="shared" si="5"/>
        <v/>
      </c>
      <c r="BL7" s="208" t="str">
        <f t="shared" si="5"/>
        <v/>
      </c>
      <c r="BM7" s="206" t="str">
        <f t="shared" si="5"/>
        <v/>
      </c>
      <c r="BN7" s="206" t="str">
        <f t="shared" si="5"/>
        <v/>
      </c>
      <c r="BO7" s="207" t="str">
        <f t="shared" si="5"/>
        <v/>
      </c>
      <c r="BP7" s="208" t="str">
        <f t="shared" si="6"/>
        <v/>
      </c>
      <c r="BQ7" s="206" t="str">
        <f t="shared" si="6"/>
        <v/>
      </c>
      <c r="BR7" s="206" t="str">
        <f t="shared" si="6"/>
        <v/>
      </c>
      <c r="BS7" s="207" t="str">
        <f t="shared" si="6"/>
        <v/>
      </c>
      <c r="BT7" s="208" t="str">
        <f t="shared" si="6"/>
        <v/>
      </c>
      <c r="BU7" s="206" t="str">
        <f t="shared" si="6"/>
        <v/>
      </c>
      <c r="BV7" s="206" t="str">
        <f t="shared" si="6"/>
        <v/>
      </c>
      <c r="BW7" s="207" t="str">
        <f t="shared" si="6"/>
        <v/>
      </c>
      <c r="BX7" s="208" t="str">
        <f t="shared" si="6"/>
        <v/>
      </c>
      <c r="BY7" s="206" t="str">
        <f t="shared" si="6"/>
        <v/>
      </c>
      <c r="BZ7" s="206" t="str">
        <f t="shared" si="6"/>
        <v/>
      </c>
      <c r="CA7" s="207" t="str">
        <f t="shared" si="6"/>
        <v/>
      </c>
      <c r="CB7" s="208" t="str">
        <f t="shared" si="6"/>
        <v/>
      </c>
      <c r="CC7" s="206" t="str">
        <f t="shared" si="6"/>
        <v/>
      </c>
      <c r="CD7" s="206" t="str">
        <f t="shared" si="6"/>
        <v/>
      </c>
      <c r="CE7" s="207" t="str">
        <f t="shared" si="6"/>
        <v/>
      </c>
      <c r="CF7" s="19"/>
      <c r="CG7" s="20"/>
      <c r="CH7" s="13"/>
      <c r="CI7" s="20"/>
    </row>
    <row r="8" spans="1:87" s="18" customFormat="1" ht="18" customHeight="1">
      <c r="A8" s="22">
        <f>+TABELLA!M12</f>
        <v>0</v>
      </c>
      <c r="B8" s="22">
        <f>+TABELLA!N12</f>
        <v>0</v>
      </c>
      <c r="C8" s="22">
        <f>+TABELLA!O12</f>
        <v>0</v>
      </c>
      <c r="D8" s="22">
        <f>+TABELLA!P12</f>
        <v>0</v>
      </c>
      <c r="E8" s="22"/>
      <c r="F8" s="26">
        <f>IF(TABELLA!B12="","",TABELLA!B12)</f>
        <v>10</v>
      </c>
      <c r="G8" s="27" t="str">
        <f>IF(TABELLA!C12="","",TABELLA!C12)</f>
        <v/>
      </c>
      <c r="H8" s="203" t="str">
        <f t="shared" ref="H8:W8" si="8">IF(AND(G$3&gt;=$A8,G$3&lt;$B8),1,IF(AND(G$3&gt;=$C8,G$3&lt;$D8),1,""))</f>
        <v/>
      </c>
      <c r="I8" s="203" t="str">
        <f t="shared" si="8"/>
        <v/>
      </c>
      <c r="J8" s="203" t="str">
        <f t="shared" si="8"/>
        <v/>
      </c>
      <c r="K8" s="204" t="str">
        <f t="shared" si="8"/>
        <v/>
      </c>
      <c r="L8" s="205" t="str">
        <f t="shared" si="8"/>
        <v/>
      </c>
      <c r="M8" s="203" t="str">
        <f t="shared" si="8"/>
        <v/>
      </c>
      <c r="N8" s="203" t="str">
        <f t="shared" si="8"/>
        <v/>
      </c>
      <c r="O8" s="204" t="str">
        <f t="shared" si="8"/>
        <v/>
      </c>
      <c r="P8" s="205" t="str">
        <f t="shared" si="8"/>
        <v/>
      </c>
      <c r="Q8" s="203" t="str">
        <f t="shared" si="8"/>
        <v/>
      </c>
      <c r="R8" s="203" t="str">
        <f t="shared" si="8"/>
        <v/>
      </c>
      <c r="S8" s="204" t="str">
        <f t="shared" si="8"/>
        <v/>
      </c>
      <c r="T8" s="205" t="str">
        <f t="shared" si="8"/>
        <v/>
      </c>
      <c r="U8" s="203" t="str">
        <f t="shared" si="8"/>
        <v/>
      </c>
      <c r="V8" s="203" t="str">
        <f t="shared" si="8"/>
        <v/>
      </c>
      <c r="W8" s="204" t="str">
        <f t="shared" si="8"/>
        <v/>
      </c>
      <c r="X8" s="205" t="str">
        <f t="shared" si="3"/>
        <v/>
      </c>
      <c r="Y8" s="203" t="str">
        <f t="shared" si="3"/>
        <v/>
      </c>
      <c r="Z8" s="203" t="str">
        <f t="shared" si="3"/>
        <v/>
      </c>
      <c r="AA8" s="204" t="str">
        <f t="shared" si="3"/>
        <v/>
      </c>
      <c r="AB8" s="205" t="str">
        <f t="shared" si="3"/>
        <v/>
      </c>
      <c r="AC8" s="203" t="str">
        <f t="shared" si="3"/>
        <v/>
      </c>
      <c r="AD8" s="203" t="str">
        <f t="shared" si="3"/>
        <v/>
      </c>
      <c r="AE8" s="204" t="str">
        <f t="shared" si="3"/>
        <v/>
      </c>
      <c r="AF8" s="205" t="str">
        <f t="shared" si="3"/>
        <v/>
      </c>
      <c r="AG8" s="203" t="str">
        <f t="shared" si="3"/>
        <v/>
      </c>
      <c r="AH8" s="203" t="str">
        <f t="shared" si="3"/>
        <v/>
      </c>
      <c r="AI8" s="204" t="str">
        <f t="shared" si="3"/>
        <v/>
      </c>
      <c r="AJ8" s="205" t="str">
        <f t="shared" si="3"/>
        <v/>
      </c>
      <c r="AK8" s="203" t="str">
        <f t="shared" si="3"/>
        <v/>
      </c>
      <c r="AL8" s="203" t="str">
        <f t="shared" si="3"/>
        <v/>
      </c>
      <c r="AM8" s="204" t="str">
        <f t="shared" si="3"/>
        <v/>
      </c>
      <c r="AN8" s="205" t="str">
        <f t="shared" si="4"/>
        <v/>
      </c>
      <c r="AO8" s="203" t="str">
        <f t="shared" si="4"/>
        <v/>
      </c>
      <c r="AP8" s="203" t="str">
        <f t="shared" si="4"/>
        <v/>
      </c>
      <c r="AQ8" s="204" t="str">
        <f t="shared" si="4"/>
        <v/>
      </c>
      <c r="AR8" s="205" t="str">
        <f t="shared" si="4"/>
        <v/>
      </c>
      <c r="AS8" s="203" t="str">
        <f t="shared" si="4"/>
        <v/>
      </c>
      <c r="AT8" s="203" t="str">
        <f t="shared" si="4"/>
        <v/>
      </c>
      <c r="AU8" s="204" t="str">
        <f t="shared" si="4"/>
        <v/>
      </c>
      <c r="AV8" s="205" t="str">
        <f t="shared" si="4"/>
        <v/>
      </c>
      <c r="AW8" s="203" t="str">
        <f t="shared" si="4"/>
        <v/>
      </c>
      <c r="AX8" s="203" t="str">
        <f t="shared" si="4"/>
        <v/>
      </c>
      <c r="AY8" s="204" t="str">
        <f t="shared" si="4"/>
        <v/>
      </c>
      <c r="AZ8" s="205" t="str">
        <f t="shared" si="4"/>
        <v/>
      </c>
      <c r="BA8" s="203" t="str">
        <f t="shared" si="4"/>
        <v/>
      </c>
      <c r="BB8" s="203" t="str">
        <f t="shared" si="4"/>
        <v/>
      </c>
      <c r="BC8" s="204" t="str">
        <f t="shared" si="4"/>
        <v/>
      </c>
      <c r="BD8" s="205" t="str">
        <f t="shared" si="5"/>
        <v/>
      </c>
      <c r="BE8" s="203" t="str">
        <f t="shared" si="5"/>
        <v/>
      </c>
      <c r="BF8" s="203" t="str">
        <f t="shared" si="5"/>
        <v/>
      </c>
      <c r="BG8" s="204" t="str">
        <f t="shared" si="5"/>
        <v/>
      </c>
      <c r="BH8" s="205" t="str">
        <f t="shared" si="5"/>
        <v/>
      </c>
      <c r="BI8" s="203" t="str">
        <f t="shared" si="5"/>
        <v/>
      </c>
      <c r="BJ8" s="203" t="str">
        <f t="shared" si="5"/>
        <v/>
      </c>
      <c r="BK8" s="204" t="str">
        <f t="shared" si="5"/>
        <v/>
      </c>
      <c r="BL8" s="205" t="str">
        <f t="shared" si="5"/>
        <v/>
      </c>
      <c r="BM8" s="203" t="str">
        <f t="shared" si="5"/>
        <v/>
      </c>
      <c r="BN8" s="203" t="str">
        <f t="shared" si="5"/>
        <v/>
      </c>
      <c r="BO8" s="204" t="str">
        <f t="shared" si="5"/>
        <v/>
      </c>
      <c r="BP8" s="205" t="str">
        <f t="shared" si="6"/>
        <v/>
      </c>
      <c r="BQ8" s="203" t="str">
        <f t="shared" si="6"/>
        <v/>
      </c>
      <c r="BR8" s="203" t="str">
        <f t="shared" si="6"/>
        <v/>
      </c>
      <c r="BS8" s="204" t="str">
        <f t="shared" si="6"/>
        <v/>
      </c>
      <c r="BT8" s="205" t="str">
        <f t="shared" si="6"/>
        <v/>
      </c>
      <c r="BU8" s="203" t="str">
        <f t="shared" si="6"/>
        <v/>
      </c>
      <c r="BV8" s="203" t="str">
        <f t="shared" si="6"/>
        <v/>
      </c>
      <c r="BW8" s="204" t="str">
        <f t="shared" si="6"/>
        <v/>
      </c>
      <c r="BX8" s="205" t="str">
        <f t="shared" si="6"/>
        <v/>
      </c>
      <c r="BY8" s="203" t="str">
        <f t="shared" si="6"/>
        <v/>
      </c>
      <c r="BZ8" s="203" t="str">
        <f t="shared" si="6"/>
        <v/>
      </c>
      <c r="CA8" s="204" t="str">
        <f t="shared" si="6"/>
        <v/>
      </c>
      <c r="CB8" s="205" t="str">
        <f t="shared" si="6"/>
        <v/>
      </c>
      <c r="CC8" s="203" t="str">
        <f t="shared" si="6"/>
        <v/>
      </c>
      <c r="CD8" s="203" t="str">
        <f t="shared" si="6"/>
        <v/>
      </c>
      <c r="CE8" s="204" t="str">
        <f t="shared" si="6"/>
        <v/>
      </c>
      <c r="CF8" s="17"/>
      <c r="CG8" s="16"/>
      <c r="CH8" s="16"/>
      <c r="CI8" s="16"/>
    </row>
    <row r="9" spans="1:87" ht="18" customHeight="1">
      <c r="A9" s="22">
        <f>+TABELLA!M13</f>
        <v>9.3000000000000007</v>
      </c>
      <c r="B9" s="22">
        <f>+TABELLA!N13</f>
        <v>13</v>
      </c>
      <c r="C9" s="22">
        <f>+TABELLA!O13</f>
        <v>16</v>
      </c>
      <c r="D9" s="22">
        <f>+TABELLA!P13</f>
        <v>20</v>
      </c>
      <c r="E9" s="22"/>
      <c r="F9" s="41">
        <f>IF(TABELLA!B13="","",TABELLA!B13)</f>
        <v>10</v>
      </c>
      <c r="G9" s="42" t="str">
        <f>IF(TABELLA!C13="","",TABELLA!C13)</f>
        <v>PIANTA LISA</v>
      </c>
      <c r="H9" s="206" t="str">
        <f t="shared" ref="H9:W9" si="9">IF(AND(G$3&gt;=$A9,G$3&lt;$B9),1,IF(AND(G$3&gt;=$C9,G$3&lt;$D9),1,""))</f>
        <v/>
      </c>
      <c r="I9" s="206" t="str">
        <f t="shared" si="9"/>
        <v/>
      </c>
      <c r="J9" s="206" t="str">
        <f t="shared" si="9"/>
        <v/>
      </c>
      <c r="K9" s="207" t="str">
        <f t="shared" si="9"/>
        <v/>
      </c>
      <c r="L9" s="208" t="str">
        <f t="shared" si="9"/>
        <v/>
      </c>
      <c r="M9" s="206" t="str">
        <f t="shared" si="9"/>
        <v/>
      </c>
      <c r="N9" s="206" t="str">
        <f t="shared" si="9"/>
        <v/>
      </c>
      <c r="O9" s="207" t="str">
        <f t="shared" si="9"/>
        <v/>
      </c>
      <c r="P9" s="208" t="str">
        <f t="shared" si="9"/>
        <v/>
      </c>
      <c r="Q9" s="206" t="str">
        <f t="shared" si="9"/>
        <v/>
      </c>
      <c r="R9" s="206" t="str">
        <f t="shared" si="9"/>
        <v/>
      </c>
      <c r="S9" s="207" t="str">
        <f t="shared" si="9"/>
        <v/>
      </c>
      <c r="T9" s="208" t="str">
        <f t="shared" si="9"/>
        <v/>
      </c>
      <c r="U9" s="206" t="str">
        <f t="shared" si="9"/>
        <v/>
      </c>
      <c r="V9" s="206" t="str">
        <f t="shared" si="9"/>
        <v/>
      </c>
      <c r="W9" s="207" t="str">
        <f t="shared" si="9"/>
        <v/>
      </c>
      <c r="X9" s="208" t="str">
        <f t="shared" si="3"/>
        <v/>
      </c>
      <c r="Y9" s="206" t="str">
        <f t="shared" si="3"/>
        <v/>
      </c>
      <c r="Z9" s="206">
        <f t="shared" si="3"/>
        <v>1</v>
      </c>
      <c r="AA9" s="207">
        <f t="shared" si="3"/>
        <v>1</v>
      </c>
      <c r="AB9" s="208">
        <f t="shared" si="3"/>
        <v>1</v>
      </c>
      <c r="AC9" s="206">
        <f t="shared" si="3"/>
        <v>1</v>
      </c>
      <c r="AD9" s="206">
        <f t="shared" si="3"/>
        <v>1</v>
      </c>
      <c r="AE9" s="207">
        <f t="shared" si="3"/>
        <v>1</v>
      </c>
      <c r="AF9" s="208">
        <f t="shared" si="3"/>
        <v>1</v>
      </c>
      <c r="AG9" s="206">
        <f t="shared" si="3"/>
        <v>1</v>
      </c>
      <c r="AH9" s="206">
        <f t="shared" si="3"/>
        <v>1</v>
      </c>
      <c r="AI9" s="207">
        <f t="shared" si="3"/>
        <v>1</v>
      </c>
      <c r="AJ9" s="208">
        <f t="shared" si="3"/>
        <v>1</v>
      </c>
      <c r="AK9" s="206">
        <f t="shared" si="3"/>
        <v>1</v>
      </c>
      <c r="AL9" s="206">
        <f t="shared" si="3"/>
        <v>1</v>
      </c>
      <c r="AM9" s="207">
        <f t="shared" si="3"/>
        <v>1</v>
      </c>
      <c r="AN9" s="208" t="str">
        <f t="shared" si="4"/>
        <v/>
      </c>
      <c r="AO9" s="206" t="str">
        <f t="shared" si="4"/>
        <v/>
      </c>
      <c r="AP9" s="206" t="str">
        <f t="shared" si="4"/>
        <v/>
      </c>
      <c r="AQ9" s="207" t="str">
        <f t="shared" si="4"/>
        <v/>
      </c>
      <c r="AR9" s="208" t="str">
        <f t="shared" si="4"/>
        <v/>
      </c>
      <c r="AS9" s="206" t="str">
        <f t="shared" si="4"/>
        <v/>
      </c>
      <c r="AT9" s="206" t="str">
        <f t="shared" si="4"/>
        <v/>
      </c>
      <c r="AU9" s="207" t="str">
        <f t="shared" si="4"/>
        <v/>
      </c>
      <c r="AV9" s="208" t="str">
        <f t="shared" si="4"/>
        <v/>
      </c>
      <c r="AW9" s="206" t="str">
        <f t="shared" si="4"/>
        <v/>
      </c>
      <c r="AX9" s="206" t="str">
        <f t="shared" si="4"/>
        <v/>
      </c>
      <c r="AY9" s="207" t="str">
        <f t="shared" si="4"/>
        <v/>
      </c>
      <c r="AZ9" s="208">
        <f t="shared" si="4"/>
        <v>1</v>
      </c>
      <c r="BA9" s="206">
        <f t="shared" si="4"/>
        <v>1</v>
      </c>
      <c r="BB9" s="206">
        <f t="shared" si="4"/>
        <v>1</v>
      </c>
      <c r="BC9" s="207">
        <f t="shared" si="4"/>
        <v>1</v>
      </c>
      <c r="BD9" s="208">
        <f t="shared" si="5"/>
        <v>1</v>
      </c>
      <c r="BE9" s="206">
        <f t="shared" si="5"/>
        <v>1</v>
      </c>
      <c r="BF9" s="206">
        <f t="shared" si="5"/>
        <v>1</v>
      </c>
      <c r="BG9" s="207">
        <f t="shared" si="5"/>
        <v>1</v>
      </c>
      <c r="BH9" s="208">
        <f t="shared" si="5"/>
        <v>1</v>
      </c>
      <c r="BI9" s="206">
        <f t="shared" si="5"/>
        <v>1</v>
      </c>
      <c r="BJ9" s="206">
        <f t="shared" si="5"/>
        <v>1</v>
      </c>
      <c r="BK9" s="207">
        <f t="shared" si="5"/>
        <v>1</v>
      </c>
      <c r="BL9" s="208">
        <f t="shared" si="5"/>
        <v>1</v>
      </c>
      <c r="BM9" s="206">
        <f t="shared" si="5"/>
        <v>1</v>
      </c>
      <c r="BN9" s="206">
        <f t="shared" si="5"/>
        <v>1</v>
      </c>
      <c r="BO9" s="207">
        <f t="shared" si="5"/>
        <v>1</v>
      </c>
      <c r="BP9" s="208" t="str">
        <f t="shared" si="6"/>
        <v/>
      </c>
      <c r="BQ9" s="206" t="str">
        <f t="shared" si="6"/>
        <v/>
      </c>
      <c r="BR9" s="206" t="str">
        <f t="shared" si="6"/>
        <v/>
      </c>
      <c r="BS9" s="207" t="str">
        <f t="shared" si="6"/>
        <v/>
      </c>
      <c r="BT9" s="208" t="str">
        <f t="shared" si="6"/>
        <v/>
      </c>
      <c r="BU9" s="206" t="str">
        <f t="shared" si="6"/>
        <v/>
      </c>
      <c r="BV9" s="206" t="str">
        <f t="shared" si="6"/>
        <v/>
      </c>
      <c r="BW9" s="207" t="str">
        <f t="shared" si="6"/>
        <v/>
      </c>
      <c r="BX9" s="208" t="str">
        <f t="shared" si="6"/>
        <v/>
      </c>
      <c r="BY9" s="206" t="str">
        <f t="shared" si="6"/>
        <v/>
      </c>
      <c r="BZ9" s="206" t="str">
        <f t="shared" si="6"/>
        <v/>
      </c>
      <c r="CA9" s="207" t="str">
        <f t="shared" si="6"/>
        <v/>
      </c>
      <c r="CB9" s="208" t="str">
        <f t="shared" si="6"/>
        <v/>
      </c>
      <c r="CC9" s="206" t="str">
        <f t="shared" si="6"/>
        <v/>
      </c>
      <c r="CD9" s="206" t="str">
        <f t="shared" si="6"/>
        <v/>
      </c>
      <c r="CE9" s="207" t="str">
        <f t="shared" si="6"/>
        <v/>
      </c>
    </row>
    <row r="10" spans="1:87" ht="18" customHeight="1">
      <c r="A10" s="22">
        <f>+TABELLA!M14</f>
        <v>9</v>
      </c>
      <c r="B10" s="22">
        <f>+TABELLA!N14</f>
        <v>12</v>
      </c>
      <c r="C10" s="22">
        <f>+TABELLA!O14</f>
        <v>13</v>
      </c>
      <c r="D10" s="22">
        <f>+TABELLA!P14</f>
        <v>17</v>
      </c>
      <c r="E10" s="22"/>
      <c r="F10" s="26">
        <f>IF(TABELLA!B14="","",TABELLA!B14)</f>
        <v>10</v>
      </c>
      <c r="G10" s="27" t="str">
        <f>IF(TABELLA!C14="","",TABELLA!C14)</f>
        <v>VELENCINA ELAINE</v>
      </c>
      <c r="H10" s="203" t="str">
        <f t="shared" ref="H10:W10" si="10">IF(AND(G$3&gt;=$A10,G$3&lt;$B10),1,IF(AND(G$3&gt;=$C10,G$3&lt;$D10),1,""))</f>
        <v/>
      </c>
      <c r="I10" s="203" t="str">
        <f t="shared" si="10"/>
        <v/>
      </c>
      <c r="J10" s="203" t="str">
        <f t="shared" si="10"/>
        <v/>
      </c>
      <c r="K10" s="204" t="str">
        <f t="shared" si="10"/>
        <v/>
      </c>
      <c r="L10" s="205" t="str">
        <f t="shared" si="10"/>
        <v/>
      </c>
      <c r="M10" s="203" t="str">
        <f t="shared" si="10"/>
        <v/>
      </c>
      <c r="N10" s="203" t="str">
        <f t="shared" si="10"/>
        <v/>
      </c>
      <c r="O10" s="204" t="str">
        <f t="shared" si="10"/>
        <v/>
      </c>
      <c r="P10" s="205" t="str">
        <f t="shared" si="10"/>
        <v/>
      </c>
      <c r="Q10" s="203" t="str">
        <f t="shared" si="10"/>
        <v/>
      </c>
      <c r="R10" s="203" t="str">
        <f t="shared" si="10"/>
        <v/>
      </c>
      <c r="S10" s="204" t="str">
        <f t="shared" si="10"/>
        <v/>
      </c>
      <c r="T10" s="205" t="str">
        <f t="shared" si="10"/>
        <v/>
      </c>
      <c r="U10" s="203" t="str">
        <f t="shared" si="10"/>
        <v/>
      </c>
      <c r="V10" s="203" t="str">
        <f t="shared" si="10"/>
        <v/>
      </c>
      <c r="W10" s="204" t="str">
        <f t="shared" si="10"/>
        <v/>
      </c>
      <c r="X10" s="205">
        <f t="shared" si="3"/>
        <v>1</v>
      </c>
      <c r="Y10" s="203">
        <f t="shared" si="3"/>
        <v>1</v>
      </c>
      <c r="Z10" s="203">
        <f t="shared" si="3"/>
        <v>1</v>
      </c>
      <c r="AA10" s="204">
        <f t="shared" si="3"/>
        <v>1</v>
      </c>
      <c r="AB10" s="205">
        <f t="shared" si="3"/>
        <v>1</v>
      </c>
      <c r="AC10" s="203">
        <f t="shared" si="3"/>
        <v>1</v>
      </c>
      <c r="AD10" s="203">
        <f t="shared" si="3"/>
        <v>1</v>
      </c>
      <c r="AE10" s="204">
        <f t="shared" si="3"/>
        <v>1</v>
      </c>
      <c r="AF10" s="205">
        <f t="shared" si="3"/>
        <v>1</v>
      </c>
      <c r="AG10" s="203">
        <f t="shared" si="3"/>
        <v>1</v>
      </c>
      <c r="AH10" s="203">
        <f t="shared" si="3"/>
        <v>1</v>
      </c>
      <c r="AI10" s="204">
        <f t="shared" si="3"/>
        <v>1</v>
      </c>
      <c r="AJ10" s="205" t="str">
        <f t="shared" si="3"/>
        <v/>
      </c>
      <c r="AK10" s="203" t="str">
        <f t="shared" si="3"/>
        <v/>
      </c>
      <c r="AL10" s="203" t="str">
        <f t="shared" si="3"/>
        <v/>
      </c>
      <c r="AM10" s="204" t="str">
        <f t="shared" si="3"/>
        <v/>
      </c>
      <c r="AN10" s="205">
        <f t="shared" si="4"/>
        <v>1</v>
      </c>
      <c r="AO10" s="203">
        <f t="shared" si="4"/>
        <v>1</v>
      </c>
      <c r="AP10" s="203">
        <f t="shared" si="4"/>
        <v>1</v>
      </c>
      <c r="AQ10" s="204">
        <f t="shared" si="4"/>
        <v>1</v>
      </c>
      <c r="AR10" s="205">
        <f t="shared" si="4"/>
        <v>1</v>
      </c>
      <c r="AS10" s="203">
        <f t="shared" si="4"/>
        <v>1</v>
      </c>
      <c r="AT10" s="203">
        <f t="shared" si="4"/>
        <v>1</v>
      </c>
      <c r="AU10" s="204">
        <f t="shared" si="4"/>
        <v>1</v>
      </c>
      <c r="AV10" s="205">
        <f t="shared" si="4"/>
        <v>1</v>
      </c>
      <c r="AW10" s="203">
        <f t="shared" si="4"/>
        <v>1</v>
      </c>
      <c r="AX10" s="203">
        <f t="shared" si="4"/>
        <v>1</v>
      </c>
      <c r="AY10" s="204">
        <f t="shared" si="4"/>
        <v>1</v>
      </c>
      <c r="AZ10" s="205">
        <f t="shared" si="4"/>
        <v>1</v>
      </c>
      <c r="BA10" s="203">
        <f t="shared" si="4"/>
        <v>1</v>
      </c>
      <c r="BB10" s="203">
        <f t="shared" si="4"/>
        <v>1</v>
      </c>
      <c r="BC10" s="204">
        <f t="shared" si="4"/>
        <v>1</v>
      </c>
      <c r="BD10" s="205" t="str">
        <f t="shared" si="5"/>
        <v/>
      </c>
      <c r="BE10" s="203" t="str">
        <f t="shared" si="5"/>
        <v/>
      </c>
      <c r="BF10" s="203" t="str">
        <f t="shared" si="5"/>
        <v/>
      </c>
      <c r="BG10" s="204" t="str">
        <f t="shared" si="5"/>
        <v/>
      </c>
      <c r="BH10" s="205" t="str">
        <f t="shared" si="5"/>
        <v/>
      </c>
      <c r="BI10" s="203" t="str">
        <f t="shared" si="5"/>
        <v/>
      </c>
      <c r="BJ10" s="203" t="str">
        <f t="shared" si="5"/>
        <v/>
      </c>
      <c r="BK10" s="204" t="str">
        <f t="shared" si="5"/>
        <v/>
      </c>
      <c r="BL10" s="205" t="str">
        <f t="shared" si="5"/>
        <v/>
      </c>
      <c r="BM10" s="203" t="str">
        <f t="shared" si="5"/>
        <v/>
      </c>
      <c r="BN10" s="203" t="str">
        <f t="shared" si="5"/>
        <v/>
      </c>
      <c r="BO10" s="204" t="str">
        <f t="shared" si="5"/>
        <v/>
      </c>
      <c r="BP10" s="205" t="str">
        <f t="shared" si="6"/>
        <v/>
      </c>
      <c r="BQ10" s="203" t="str">
        <f t="shared" si="6"/>
        <v/>
      </c>
      <c r="BR10" s="203" t="str">
        <f t="shared" si="6"/>
        <v/>
      </c>
      <c r="BS10" s="204" t="str">
        <f t="shared" si="6"/>
        <v/>
      </c>
      <c r="BT10" s="205" t="str">
        <f t="shared" si="6"/>
        <v/>
      </c>
      <c r="BU10" s="203" t="str">
        <f t="shared" si="6"/>
        <v/>
      </c>
      <c r="BV10" s="203" t="str">
        <f t="shared" si="6"/>
        <v/>
      </c>
      <c r="BW10" s="204" t="str">
        <f t="shared" si="6"/>
        <v/>
      </c>
      <c r="BX10" s="205" t="str">
        <f t="shared" si="6"/>
        <v/>
      </c>
      <c r="BY10" s="203" t="str">
        <f t="shared" si="6"/>
        <v/>
      </c>
      <c r="BZ10" s="203" t="str">
        <f t="shared" si="6"/>
        <v/>
      </c>
      <c r="CA10" s="204" t="str">
        <f t="shared" si="6"/>
        <v/>
      </c>
      <c r="CB10" s="205" t="str">
        <f t="shared" si="6"/>
        <v/>
      </c>
      <c r="CC10" s="203" t="str">
        <f t="shared" si="6"/>
        <v/>
      </c>
      <c r="CD10" s="203" t="str">
        <f t="shared" si="6"/>
        <v/>
      </c>
      <c r="CE10" s="204" t="str">
        <f t="shared" si="6"/>
        <v/>
      </c>
    </row>
    <row r="11" spans="1:87" ht="18" customHeight="1">
      <c r="A11" s="22">
        <f>+TABELLA!M15</f>
        <v>0</v>
      </c>
      <c r="B11" s="22">
        <f>+TABELLA!N15</f>
        <v>0</v>
      </c>
      <c r="C11" s="22">
        <f>+TABELLA!O15</f>
        <v>0</v>
      </c>
      <c r="D11" s="22">
        <f>+TABELLA!P15</f>
        <v>0</v>
      </c>
      <c r="E11" s="22"/>
      <c r="F11" s="41">
        <f>IF(TABELLA!B15="","",TABELLA!B15)</f>
        <v>10</v>
      </c>
      <c r="G11" s="42" t="str">
        <f>IF(TABELLA!C15="","",TABELLA!C15)</f>
        <v/>
      </c>
      <c r="H11" s="206" t="str">
        <f t="shared" ref="H11:W11" si="11">IF(AND(G$3&gt;=$A11,G$3&lt;$B11),1,IF(AND(G$3&gt;=$C11,G$3&lt;$D11),1,""))</f>
        <v/>
      </c>
      <c r="I11" s="206" t="str">
        <f t="shared" si="11"/>
        <v/>
      </c>
      <c r="J11" s="206" t="str">
        <f t="shared" si="11"/>
        <v/>
      </c>
      <c r="K11" s="207" t="str">
        <f t="shared" si="11"/>
        <v/>
      </c>
      <c r="L11" s="208" t="str">
        <f t="shared" si="11"/>
        <v/>
      </c>
      <c r="M11" s="206" t="str">
        <f t="shared" si="11"/>
        <v/>
      </c>
      <c r="N11" s="206" t="str">
        <f t="shared" si="11"/>
        <v/>
      </c>
      <c r="O11" s="207" t="str">
        <f t="shared" si="11"/>
        <v/>
      </c>
      <c r="P11" s="208" t="str">
        <f t="shared" si="11"/>
        <v/>
      </c>
      <c r="Q11" s="206" t="str">
        <f t="shared" si="11"/>
        <v/>
      </c>
      <c r="R11" s="206" t="str">
        <f t="shared" si="11"/>
        <v/>
      </c>
      <c r="S11" s="207" t="str">
        <f t="shared" si="11"/>
        <v/>
      </c>
      <c r="T11" s="208" t="str">
        <f t="shared" si="11"/>
        <v/>
      </c>
      <c r="U11" s="206" t="str">
        <f t="shared" si="11"/>
        <v/>
      </c>
      <c r="V11" s="206" t="str">
        <f t="shared" si="11"/>
        <v/>
      </c>
      <c r="W11" s="207" t="str">
        <f t="shared" si="11"/>
        <v/>
      </c>
      <c r="X11" s="208" t="str">
        <f t="shared" si="3"/>
        <v/>
      </c>
      <c r="Y11" s="206" t="str">
        <f t="shared" si="3"/>
        <v/>
      </c>
      <c r="Z11" s="206" t="str">
        <f t="shared" si="3"/>
        <v/>
      </c>
      <c r="AA11" s="207" t="str">
        <f t="shared" si="3"/>
        <v/>
      </c>
      <c r="AB11" s="208" t="str">
        <f t="shared" si="3"/>
        <v/>
      </c>
      <c r="AC11" s="206" t="str">
        <f t="shared" si="3"/>
        <v/>
      </c>
      <c r="AD11" s="206" t="str">
        <f t="shared" si="3"/>
        <v/>
      </c>
      <c r="AE11" s="207" t="str">
        <f t="shared" si="3"/>
        <v/>
      </c>
      <c r="AF11" s="208" t="str">
        <f t="shared" si="3"/>
        <v/>
      </c>
      <c r="AG11" s="206" t="str">
        <f t="shared" si="3"/>
        <v/>
      </c>
      <c r="AH11" s="206" t="str">
        <f t="shared" si="3"/>
        <v/>
      </c>
      <c r="AI11" s="207" t="str">
        <f t="shared" si="3"/>
        <v/>
      </c>
      <c r="AJ11" s="208" t="str">
        <f t="shared" si="3"/>
        <v/>
      </c>
      <c r="AK11" s="206" t="str">
        <f t="shared" si="3"/>
        <v/>
      </c>
      <c r="AL11" s="206" t="str">
        <f t="shared" si="3"/>
        <v/>
      </c>
      <c r="AM11" s="207" t="str">
        <f t="shared" si="3"/>
        <v/>
      </c>
      <c r="AN11" s="208" t="str">
        <f t="shared" si="4"/>
        <v/>
      </c>
      <c r="AO11" s="206" t="str">
        <f t="shared" si="4"/>
        <v/>
      </c>
      <c r="AP11" s="206" t="str">
        <f t="shared" si="4"/>
        <v/>
      </c>
      <c r="AQ11" s="207" t="str">
        <f t="shared" si="4"/>
        <v/>
      </c>
      <c r="AR11" s="208" t="str">
        <f t="shared" si="4"/>
        <v/>
      </c>
      <c r="AS11" s="206" t="str">
        <f t="shared" si="4"/>
        <v/>
      </c>
      <c r="AT11" s="206" t="str">
        <f t="shared" si="4"/>
        <v/>
      </c>
      <c r="AU11" s="207" t="str">
        <f t="shared" si="4"/>
        <v/>
      </c>
      <c r="AV11" s="208" t="str">
        <f t="shared" si="4"/>
        <v/>
      </c>
      <c r="AW11" s="206" t="str">
        <f t="shared" si="4"/>
        <v/>
      </c>
      <c r="AX11" s="206" t="str">
        <f t="shared" si="4"/>
        <v/>
      </c>
      <c r="AY11" s="207" t="str">
        <f t="shared" si="4"/>
        <v/>
      </c>
      <c r="AZ11" s="208" t="str">
        <f t="shared" si="4"/>
        <v/>
      </c>
      <c r="BA11" s="206" t="str">
        <f t="shared" si="4"/>
        <v/>
      </c>
      <c r="BB11" s="206" t="str">
        <f t="shared" si="4"/>
        <v/>
      </c>
      <c r="BC11" s="207" t="str">
        <f t="shared" si="4"/>
        <v/>
      </c>
      <c r="BD11" s="208" t="str">
        <f t="shared" si="5"/>
        <v/>
      </c>
      <c r="BE11" s="206" t="str">
        <f t="shared" si="5"/>
        <v/>
      </c>
      <c r="BF11" s="206" t="str">
        <f t="shared" si="5"/>
        <v/>
      </c>
      <c r="BG11" s="207" t="str">
        <f t="shared" si="5"/>
        <v/>
      </c>
      <c r="BH11" s="208" t="str">
        <f t="shared" si="5"/>
        <v/>
      </c>
      <c r="BI11" s="206" t="str">
        <f t="shared" si="5"/>
        <v/>
      </c>
      <c r="BJ11" s="206" t="str">
        <f t="shared" si="5"/>
        <v/>
      </c>
      <c r="BK11" s="207" t="str">
        <f t="shared" si="5"/>
        <v/>
      </c>
      <c r="BL11" s="208" t="str">
        <f t="shared" si="5"/>
        <v/>
      </c>
      <c r="BM11" s="206" t="str">
        <f t="shared" si="5"/>
        <v/>
      </c>
      <c r="BN11" s="206" t="str">
        <f t="shared" si="5"/>
        <v/>
      </c>
      <c r="BO11" s="207" t="str">
        <f t="shared" si="5"/>
        <v/>
      </c>
      <c r="BP11" s="208" t="str">
        <f t="shared" si="6"/>
        <v/>
      </c>
      <c r="BQ11" s="206" t="str">
        <f t="shared" si="6"/>
        <v/>
      </c>
      <c r="BR11" s="206" t="str">
        <f t="shared" si="6"/>
        <v/>
      </c>
      <c r="BS11" s="207" t="str">
        <f t="shared" si="6"/>
        <v/>
      </c>
      <c r="BT11" s="208" t="str">
        <f t="shared" si="6"/>
        <v/>
      </c>
      <c r="BU11" s="206" t="str">
        <f t="shared" si="6"/>
        <v/>
      </c>
      <c r="BV11" s="206" t="str">
        <f t="shared" si="6"/>
        <v/>
      </c>
      <c r="BW11" s="207" t="str">
        <f t="shared" si="6"/>
        <v/>
      </c>
      <c r="BX11" s="208" t="str">
        <f t="shared" si="6"/>
        <v/>
      </c>
      <c r="BY11" s="206" t="str">
        <f t="shared" si="6"/>
        <v/>
      </c>
      <c r="BZ11" s="206" t="str">
        <f t="shared" si="6"/>
        <v/>
      </c>
      <c r="CA11" s="207" t="str">
        <f t="shared" si="6"/>
        <v/>
      </c>
      <c r="CB11" s="208" t="str">
        <f t="shared" si="6"/>
        <v/>
      </c>
      <c r="CC11" s="206" t="str">
        <f t="shared" si="6"/>
        <v/>
      </c>
      <c r="CD11" s="206" t="str">
        <f t="shared" si="6"/>
        <v/>
      </c>
      <c r="CE11" s="207" t="str">
        <f t="shared" si="6"/>
        <v/>
      </c>
    </row>
    <row r="12" spans="1:87" ht="18" customHeight="1">
      <c r="A12" s="22">
        <f>+TABELLA!M16</f>
        <v>0</v>
      </c>
      <c r="B12" s="22">
        <f>+TABELLA!N16</f>
        <v>0</v>
      </c>
      <c r="C12" s="22">
        <f>+TABELLA!O16</f>
        <v>0</v>
      </c>
      <c r="D12" s="22">
        <f>+TABELLA!P16</f>
        <v>0</v>
      </c>
      <c r="E12" s="22"/>
      <c r="F12" s="26">
        <f>IF(TABELLA!B16="","",TABELLA!B16)</f>
        <v>10</v>
      </c>
      <c r="G12" s="27" t="str">
        <f>IF(TABELLA!C16="","",TABELLA!C16)</f>
        <v>ALAM ARA</v>
      </c>
      <c r="H12" s="203" t="str">
        <f t="shared" ref="H12:W12" si="12">IF(AND(G$3&gt;=$A12,G$3&lt;$B12),1,IF(AND(G$3&gt;=$C12,G$3&lt;$D12),1,""))</f>
        <v/>
      </c>
      <c r="I12" s="203" t="str">
        <f t="shared" si="12"/>
        <v/>
      </c>
      <c r="J12" s="203" t="str">
        <f t="shared" si="12"/>
        <v/>
      </c>
      <c r="K12" s="204" t="str">
        <f t="shared" si="12"/>
        <v/>
      </c>
      <c r="L12" s="205" t="str">
        <f t="shared" si="12"/>
        <v/>
      </c>
      <c r="M12" s="203" t="str">
        <f t="shared" si="12"/>
        <v/>
      </c>
      <c r="N12" s="203" t="str">
        <f t="shared" si="12"/>
        <v/>
      </c>
      <c r="O12" s="204" t="str">
        <f t="shared" si="12"/>
        <v/>
      </c>
      <c r="P12" s="205" t="str">
        <f t="shared" si="12"/>
        <v/>
      </c>
      <c r="Q12" s="203" t="str">
        <f t="shared" si="12"/>
        <v/>
      </c>
      <c r="R12" s="203" t="str">
        <f t="shared" si="12"/>
        <v/>
      </c>
      <c r="S12" s="204" t="str">
        <f t="shared" si="12"/>
        <v/>
      </c>
      <c r="T12" s="205" t="str">
        <f t="shared" si="12"/>
        <v/>
      </c>
      <c r="U12" s="203" t="str">
        <f t="shared" si="12"/>
        <v/>
      </c>
      <c r="V12" s="203" t="str">
        <f t="shared" si="12"/>
        <v/>
      </c>
      <c r="W12" s="204" t="str">
        <f t="shared" si="12"/>
        <v/>
      </c>
      <c r="X12" s="205" t="str">
        <f t="shared" si="3"/>
        <v/>
      </c>
      <c r="Y12" s="203" t="str">
        <f t="shared" si="3"/>
        <v/>
      </c>
      <c r="Z12" s="203" t="str">
        <f t="shared" si="3"/>
        <v/>
      </c>
      <c r="AA12" s="204" t="str">
        <f t="shared" si="3"/>
        <v/>
      </c>
      <c r="AB12" s="205" t="str">
        <f t="shared" si="3"/>
        <v/>
      </c>
      <c r="AC12" s="203" t="str">
        <f t="shared" si="3"/>
        <v/>
      </c>
      <c r="AD12" s="203" t="str">
        <f t="shared" si="3"/>
        <v/>
      </c>
      <c r="AE12" s="204" t="str">
        <f t="shared" si="3"/>
        <v/>
      </c>
      <c r="AF12" s="205" t="str">
        <f t="shared" si="3"/>
        <v/>
      </c>
      <c r="AG12" s="203" t="str">
        <f t="shared" si="3"/>
        <v/>
      </c>
      <c r="AH12" s="203" t="str">
        <f t="shared" si="3"/>
        <v/>
      </c>
      <c r="AI12" s="204" t="str">
        <f t="shared" si="3"/>
        <v/>
      </c>
      <c r="AJ12" s="205" t="str">
        <f t="shared" si="3"/>
        <v/>
      </c>
      <c r="AK12" s="203" t="str">
        <f t="shared" si="3"/>
        <v/>
      </c>
      <c r="AL12" s="203" t="str">
        <f t="shared" si="3"/>
        <v/>
      </c>
      <c r="AM12" s="204" t="str">
        <f t="shared" si="3"/>
        <v/>
      </c>
      <c r="AN12" s="205" t="str">
        <f t="shared" si="4"/>
        <v/>
      </c>
      <c r="AO12" s="203" t="str">
        <f t="shared" si="4"/>
        <v/>
      </c>
      <c r="AP12" s="203" t="str">
        <f t="shared" si="4"/>
        <v/>
      </c>
      <c r="AQ12" s="204" t="str">
        <f t="shared" si="4"/>
        <v/>
      </c>
      <c r="AR12" s="205" t="str">
        <f t="shared" si="4"/>
        <v/>
      </c>
      <c r="AS12" s="203" t="str">
        <f t="shared" si="4"/>
        <v/>
      </c>
      <c r="AT12" s="203" t="str">
        <f t="shared" si="4"/>
        <v/>
      </c>
      <c r="AU12" s="204" t="str">
        <f t="shared" si="4"/>
        <v/>
      </c>
      <c r="AV12" s="205" t="str">
        <f t="shared" si="4"/>
        <v/>
      </c>
      <c r="AW12" s="203" t="str">
        <f t="shared" si="4"/>
        <v/>
      </c>
      <c r="AX12" s="203" t="str">
        <f t="shared" si="4"/>
        <v/>
      </c>
      <c r="AY12" s="204" t="str">
        <f t="shared" si="4"/>
        <v/>
      </c>
      <c r="AZ12" s="205" t="str">
        <f t="shared" si="4"/>
        <v/>
      </c>
      <c r="BA12" s="203" t="str">
        <f t="shared" si="4"/>
        <v/>
      </c>
      <c r="BB12" s="203" t="str">
        <f t="shared" si="4"/>
        <v/>
      </c>
      <c r="BC12" s="204" t="str">
        <f t="shared" si="4"/>
        <v/>
      </c>
      <c r="BD12" s="205" t="str">
        <f t="shared" si="5"/>
        <v/>
      </c>
      <c r="BE12" s="203" t="str">
        <f t="shared" si="5"/>
        <v/>
      </c>
      <c r="BF12" s="203" t="str">
        <f t="shared" si="5"/>
        <v/>
      </c>
      <c r="BG12" s="204" t="str">
        <f t="shared" si="5"/>
        <v/>
      </c>
      <c r="BH12" s="205" t="str">
        <f t="shared" si="5"/>
        <v/>
      </c>
      <c r="BI12" s="203" t="str">
        <f t="shared" si="5"/>
        <v/>
      </c>
      <c r="BJ12" s="203" t="str">
        <f t="shared" si="5"/>
        <v/>
      </c>
      <c r="BK12" s="204" t="str">
        <f t="shared" si="5"/>
        <v/>
      </c>
      <c r="BL12" s="205" t="str">
        <f t="shared" si="5"/>
        <v/>
      </c>
      <c r="BM12" s="203" t="str">
        <f t="shared" si="5"/>
        <v/>
      </c>
      <c r="BN12" s="203" t="str">
        <f t="shared" si="5"/>
        <v/>
      </c>
      <c r="BO12" s="204" t="str">
        <f t="shared" si="5"/>
        <v/>
      </c>
      <c r="BP12" s="205" t="str">
        <f t="shared" si="6"/>
        <v/>
      </c>
      <c r="BQ12" s="203" t="str">
        <f t="shared" si="6"/>
        <v/>
      </c>
      <c r="BR12" s="203" t="str">
        <f t="shared" si="6"/>
        <v/>
      </c>
      <c r="BS12" s="204" t="str">
        <f t="shared" si="6"/>
        <v/>
      </c>
      <c r="BT12" s="205" t="str">
        <f t="shared" si="6"/>
        <v/>
      </c>
      <c r="BU12" s="203" t="str">
        <f t="shared" si="6"/>
        <v/>
      </c>
      <c r="BV12" s="203" t="str">
        <f t="shared" si="6"/>
        <v/>
      </c>
      <c r="BW12" s="204" t="str">
        <f t="shared" si="6"/>
        <v/>
      </c>
      <c r="BX12" s="205" t="str">
        <f t="shared" si="6"/>
        <v/>
      </c>
      <c r="BY12" s="203" t="str">
        <f t="shared" si="6"/>
        <v/>
      </c>
      <c r="BZ12" s="203" t="str">
        <f t="shared" si="6"/>
        <v/>
      </c>
      <c r="CA12" s="204" t="str">
        <f t="shared" si="6"/>
        <v/>
      </c>
      <c r="CB12" s="205" t="str">
        <f t="shared" si="6"/>
        <v/>
      </c>
      <c r="CC12" s="203" t="str">
        <f t="shared" si="6"/>
        <v/>
      </c>
      <c r="CD12" s="203" t="str">
        <f t="shared" si="6"/>
        <v/>
      </c>
      <c r="CE12" s="204" t="str">
        <f t="shared" si="6"/>
        <v/>
      </c>
    </row>
    <row r="13" spans="1:87" ht="18" customHeight="1">
      <c r="A13" s="22">
        <f>+TABELLA!M17</f>
        <v>0</v>
      </c>
      <c r="B13" s="22">
        <f>+TABELLA!N17</f>
        <v>0</v>
      </c>
      <c r="C13" s="22">
        <f>+TABELLA!O17</f>
        <v>16.3</v>
      </c>
      <c r="D13" s="22">
        <f>+TABELLA!P17</f>
        <v>20.45</v>
      </c>
      <c r="E13" s="22"/>
      <c r="F13" s="41">
        <f>IF(TABELLA!B17="","",TABELLA!B17)</f>
        <v>10</v>
      </c>
      <c r="G13" s="42" t="str">
        <f>IF(TABELLA!C17="","",TABELLA!C17)</f>
        <v>BONATO ANGELO</v>
      </c>
      <c r="H13" s="206" t="str">
        <f t="shared" ref="H13:W13" si="13">IF(AND(G$3&gt;=$A13,G$3&lt;$B13),1,IF(AND(G$3&gt;=$C13,G$3&lt;$D13),1,""))</f>
        <v/>
      </c>
      <c r="I13" s="206" t="str">
        <f t="shared" si="13"/>
        <v/>
      </c>
      <c r="J13" s="206" t="str">
        <f t="shared" si="13"/>
        <v/>
      </c>
      <c r="K13" s="207" t="str">
        <f t="shared" si="13"/>
        <v/>
      </c>
      <c r="L13" s="208" t="str">
        <f t="shared" si="13"/>
        <v/>
      </c>
      <c r="M13" s="206" t="str">
        <f t="shared" si="13"/>
        <v/>
      </c>
      <c r="N13" s="206" t="str">
        <f t="shared" si="13"/>
        <v/>
      </c>
      <c r="O13" s="207" t="str">
        <f t="shared" si="13"/>
        <v/>
      </c>
      <c r="P13" s="208" t="str">
        <f t="shared" si="13"/>
        <v/>
      </c>
      <c r="Q13" s="206" t="str">
        <f t="shared" si="13"/>
        <v/>
      </c>
      <c r="R13" s="206" t="str">
        <f t="shared" si="13"/>
        <v/>
      </c>
      <c r="S13" s="207" t="str">
        <f t="shared" si="13"/>
        <v/>
      </c>
      <c r="T13" s="208" t="str">
        <f t="shared" si="13"/>
        <v/>
      </c>
      <c r="U13" s="206" t="str">
        <f t="shared" si="13"/>
        <v/>
      </c>
      <c r="V13" s="206" t="str">
        <f t="shared" si="13"/>
        <v/>
      </c>
      <c r="W13" s="207" t="str">
        <f t="shared" si="13"/>
        <v/>
      </c>
      <c r="X13" s="208" t="str">
        <f t="shared" si="3"/>
        <v/>
      </c>
      <c r="Y13" s="206" t="str">
        <f t="shared" si="3"/>
        <v/>
      </c>
      <c r="Z13" s="206" t="str">
        <f t="shared" si="3"/>
        <v/>
      </c>
      <c r="AA13" s="207" t="str">
        <f t="shared" si="3"/>
        <v/>
      </c>
      <c r="AB13" s="208" t="str">
        <f t="shared" si="3"/>
        <v/>
      </c>
      <c r="AC13" s="206" t="str">
        <f t="shared" si="3"/>
        <v/>
      </c>
      <c r="AD13" s="206" t="str">
        <f t="shared" si="3"/>
        <v/>
      </c>
      <c r="AE13" s="207" t="str">
        <f t="shared" si="3"/>
        <v/>
      </c>
      <c r="AF13" s="208" t="str">
        <f t="shared" si="3"/>
        <v/>
      </c>
      <c r="AG13" s="206" t="str">
        <f t="shared" si="3"/>
        <v/>
      </c>
      <c r="AH13" s="206" t="str">
        <f t="shared" si="3"/>
        <v/>
      </c>
      <c r="AI13" s="207" t="str">
        <f t="shared" si="3"/>
        <v/>
      </c>
      <c r="AJ13" s="208" t="str">
        <f t="shared" si="3"/>
        <v/>
      </c>
      <c r="AK13" s="206" t="str">
        <f t="shared" si="3"/>
        <v/>
      </c>
      <c r="AL13" s="206" t="str">
        <f t="shared" si="3"/>
        <v/>
      </c>
      <c r="AM13" s="207" t="str">
        <f t="shared" si="3"/>
        <v/>
      </c>
      <c r="AN13" s="208" t="str">
        <f t="shared" si="4"/>
        <v/>
      </c>
      <c r="AO13" s="206" t="str">
        <f t="shared" si="4"/>
        <v/>
      </c>
      <c r="AP13" s="206" t="str">
        <f t="shared" si="4"/>
        <v/>
      </c>
      <c r="AQ13" s="207" t="str">
        <f t="shared" si="4"/>
        <v/>
      </c>
      <c r="AR13" s="208" t="str">
        <f t="shared" si="4"/>
        <v/>
      </c>
      <c r="AS13" s="206" t="str">
        <f t="shared" si="4"/>
        <v/>
      </c>
      <c r="AT13" s="206" t="str">
        <f t="shared" si="4"/>
        <v/>
      </c>
      <c r="AU13" s="207" t="str">
        <f t="shared" si="4"/>
        <v/>
      </c>
      <c r="AV13" s="208" t="str">
        <f t="shared" si="4"/>
        <v/>
      </c>
      <c r="AW13" s="206" t="str">
        <f t="shared" si="4"/>
        <v/>
      </c>
      <c r="AX13" s="206" t="str">
        <f t="shared" si="4"/>
        <v/>
      </c>
      <c r="AY13" s="207" t="str">
        <f t="shared" si="4"/>
        <v/>
      </c>
      <c r="AZ13" s="208" t="str">
        <f t="shared" si="4"/>
        <v/>
      </c>
      <c r="BA13" s="206" t="str">
        <f t="shared" si="4"/>
        <v/>
      </c>
      <c r="BB13" s="206">
        <f t="shared" si="4"/>
        <v>1</v>
      </c>
      <c r="BC13" s="207">
        <f t="shared" si="4"/>
        <v>1</v>
      </c>
      <c r="BD13" s="208">
        <f t="shared" si="5"/>
        <v>1</v>
      </c>
      <c r="BE13" s="206">
        <f t="shared" si="5"/>
        <v>1</v>
      </c>
      <c r="BF13" s="206">
        <f t="shared" si="5"/>
        <v>1</v>
      </c>
      <c r="BG13" s="207">
        <f t="shared" si="5"/>
        <v>1</v>
      </c>
      <c r="BH13" s="208">
        <f t="shared" si="5"/>
        <v>1</v>
      </c>
      <c r="BI13" s="206">
        <f t="shared" si="5"/>
        <v>1</v>
      </c>
      <c r="BJ13" s="206">
        <f t="shared" si="5"/>
        <v>1</v>
      </c>
      <c r="BK13" s="207">
        <f t="shared" si="5"/>
        <v>1</v>
      </c>
      <c r="BL13" s="208">
        <f t="shared" si="5"/>
        <v>1</v>
      </c>
      <c r="BM13" s="206">
        <f t="shared" si="5"/>
        <v>1</v>
      </c>
      <c r="BN13" s="206">
        <f t="shared" si="5"/>
        <v>1</v>
      </c>
      <c r="BO13" s="207">
        <f t="shared" si="5"/>
        <v>1</v>
      </c>
      <c r="BP13" s="208">
        <f t="shared" si="6"/>
        <v>1</v>
      </c>
      <c r="BQ13" s="206">
        <f t="shared" si="6"/>
        <v>1</v>
      </c>
      <c r="BR13" s="206">
        <f t="shared" si="6"/>
        <v>1</v>
      </c>
      <c r="BS13" s="207" t="str">
        <f t="shared" si="6"/>
        <v/>
      </c>
      <c r="BT13" s="208" t="str">
        <f t="shared" si="6"/>
        <v/>
      </c>
      <c r="BU13" s="206" t="str">
        <f t="shared" si="6"/>
        <v/>
      </c>
      <c r="BV13" s="206" t="str">
        <f t="shared" si="6"/>
        <v/>
      </c>
      <c r="BW13" s="207" t="str">
        <f t="shared" si="6"/>
        <v/>
      </c>
      <c r="BX13" s="208" t="str">
        <f t="shared" si="6"/>
        <v/>
      </c>
      <c r="BY13" s="206" t="str">
        <f t="shared" si="6"/>
        <v/>
      </c>
      <c r="BZ13" s="206" t="str">
        <f t="shared" si="6"/>
        <v/>
      </c>
      <c r="CA13" s="207" t="str">
        <f t="shared" si="6"/>
        <v/>
      </c>
      <c r="CB13" s="208" t="str">
        <f t="shared" si="6"/>
        <v/>
      </c>
      <c r="CC13" s="206" t="str">
        <f t="shared" si="6"/>
        <v/>
      </c>
      <c r="CD13" s="206" t="str">
        <f t="shared" si="6"/>
        <v/>
      </c>
      <c r="CE13" s="207" t="str">
        <f t="shared" si="6"/>
        <v/>
      </c>
    </row>
    <row r="14" spans="1:87" ht="18" customHeight="1">
      <c r="A14" s="22">
        <f>+TABELLA!M18</f>
        <v>8</v>
      </c>
      <c r="B14" s="22">
        <f>+TABELLA!N18</f>
        <v>13</v>
      </c>
      <c r="C14" s="22">
        <f>+TABELLA!O18</f>
        <v>0</v>
      </c>
      <c r="D14" s="22">
        <f>+TABELLA!P18</f>
        <v>0</v>
      </c>
      <c r="E14" s="22"/>
      <c r="F14" s="26">
        <f>IF(TABELLA!B18="","",TABELLA!B18)</f>
        <v>10</v>
      </c>
      <c r="G14" s="27" t="str">
        <f>IF(TABELLA!C18="","",TABELLA!C18)</f>
        <v>SALVATO CRISTIAN</v>
      </c>
      <c r="H14" s="203" t="str">
        <f t="shared" ref="H14:W14" si="14">IF(AND(G$3&gt;=$A14,G$3&lt;$B14),1,IF(AND(G$3&gt;=$C14,G$3&lt;$D14),1,""))</f>
        <v/>
      </c>
      <c r="I14" s="203" t="str">
        <f t="shared" si="14"/>
        <v/>
      </c>
      <c r="J14" s="203" t="str">
        <f t="shared" si="14"/>
        <v/>
      </c>
      <c r="K14" s="204" t="str">
        <f t="shared" si="14"/>
        <v/>
      </c>
      <c r="L14" s="205" t="str">
        <f t="shared" si="14"/>
        <v/>
      </c>
      <c r="M14" s="203" t="str">
        <f t="shared" si="14"/>
        <v/>
      </c>
      <c r="N14" s="203" t="str">
        <f t="shared" si="14"/>
        <v/>
      </c>
      <c r="O14" s="204" t="str">
        <f t="shared" si="14"/>
        <v/>
      </c>
      <c r="P14" s="205" t="str">
        <f t="shared" si="14"/>
        <v/>
      </c>
      <c r="Q14" s="203" t="str">
        <f t="shared" si="14"/>
        <v/>
      </c>
      <c r="R14" s="203" t="str">
        <f t="shared" si="14"/>
        <v/>
      </c>
      <c r="S14" s="204" t="str">
        <f t="shared" si="14"/>
        <v/>
      </c>
      <c r="T14" s="205">
        <f t="shared" si="14"/>
        <v>1</v>
      </c>
      <c r="U14" s="203">
        <f t="shared" si="14"/>
        <v>1</v>
      </c>
      <c r="V14" s="203">
        <f t="shared" si="14"/>
        <v>1</v>
      </c>
      <c r="W14" s="204">
        <f t="shared" si="14"/>
        <v>1</v>
      </c>
      <c r="X14" s="205">
        <f t="shared" si="3"/>
        <v>1</v>
      </c>
      <c r="Y14" s="203">
        <f t="shared" si="3"/>
        <v>1</v>
      </c>
      <c r="Z14" s="203">
        <f t="shared" si="3"/>
        <v>1</v>
      </c>
      <c r="AA14" s="204">
        <f t="shared" si="3"/>
        <v>1</v>
      </c>
      <c r="AB14" s="205">
        <f t="shared" si="3"/>
        <v>1</v>
      </c>
      <c r="AC14" s="203">
        <f t="shared" si="3"/>
        <v>1</v>
      </c>
      <c r="AD14" s="203">
        <f t="shared" si="3"/>
        <v>1</v>
      </c>
      <c r="AE14" s="204">
        <f t="shared" si="3"/>
        <v>1</v>
      </c>
      <c r="AF14" s="205">
        <f t="shared" si="3"/>
        <v>1</v>
      </c>
      <c r="AG14" s="203">
        <f t="shared" si="3"/>
        <v>1</v>
      </c>
      <c r="AH14" s="203">
        <f t="shared" si="3"/>
        <v>1</v>
      </c>
      <c r="AI14" s="204">
        <f t="shared" si="3"/>
        <v>1</v>
      </c>
      <c r="AJ14" s="205">
        <f t="shared" si="3"/>
        <v>1</v>
      </c>
      <c r="AK14" s="203">
        <f t="shared" si="3"/>
        <v>1</v>
      </c>
      <c r="AL14" s="203">
        <f t="shared" si="3"/>
        <v>1</v>
      </c>
      <c r="AM14" s="204">
        <f t="shared" si="3"/>
        <v>1</v>
      </c>
      <c r="AN14" s="205" t="str">
        <f t="shared" si="4"/>
        <v/>
      </c>
      <c r="AO14" s="203" t="str">
        <f t="shared" si="4"/>
        <v/>
      </c>
      <c r="AP14" s="203" t="str">
        <f t="shared" si="4"/>
        <v/>
      </c>
      <c r="AQ14" s="204" t="str">
        <f t="shared" si="4"/>
        <v/>
      </c>
      <c r="AR14" s="205" t="str">
        <f t="shared" si="4"/>
        <v/>
      </c>
      <c r="AS14" s="203" t="str">
        <f t="shared" si="4"/>
        <v/>
      </c>
      <c r="AT14" s="203" t="str">
        <f t="shared" si="4"/>
        <v/>
      </c>
      <c r="AU14" s="204" t="str">
        <f t="shared" si="4"/>
        <v/>
      </c>
      <c r="AV14" s="205" t="str">
        <f t="shared" si="4"/>
        <v/>
      </c>
      <c r="AW14" s="203" t="str">
        <f t="shared" si="4"/>
        <v/>
      </c>
      <c r="AX14" s="203" t="str">
        <f t="shared" si="4"/>
        <v/>
      </c>
      <c r="AY14" s="204" t="str">
        <f t="shared" si="4"/>
        <v/>
      </c>
      <c r="AZ14" s="205" t="str">
        <f t="shared" si="4"/>
        <v/>
      </c>
      <c r="BA14" s="203" t="str">
        <f t="shared" si="4"/>
        <v/>
      </c>
      <c r="BB14" s="203" t="str">
        <f t="shared" si="4"/>
        <v/>
      </c>
      <c r="BC14" s="204" t="str">
        <f t="shared" si="4"/>
        <v/>
      </c>
      <c r="BD14" s="205" t="str">
        <f t="shared" si="5"/>
        <v/>
      </c>
      <c r="BE14" s="203" t="str">
        <f t="shared" si="5"/>
        <v/>
      </c>
      <c r="BF14" s="203" t="str">
        <f t="shared" si="5"/>
        <v/>
      </c>
      <c r="BG14" s="204" t="str">
        <f t="shared" si="5"/>
        <v/>
      </c>
      <c r="BH14" s="205" t="str">
        <f t="shared" si="5"/>
        <v/>
      </c>
      <c r="BI14" s="203" t="str">
        <f t="shared" si="5"/>
        <v/>
      </c>
      <c r="BJ14" s="203" t="str">
        <f t="shared" si="5"/>
        <v/>
      </c>
      <c r="BK14" s="204" t="str">
        <f t="shared" si="5"/>
        <v/>
      </c>
      <c r="BL14" s="205" t="str">
        <f t="shared" si="5"/>
        <v/>
      </c>
      <c r="BM14" s="203" t="str">
        <f t="shared" si="5"/>
        <v/>
      </c>
      <c r="BN14" s="203" t="str">
        <f t="shared" si="5"/>
        <v/>
      </c>
      <c r="BO14" s="204" t="str">
        <f t="shared" si="5"/>
        <v/>
      </c>
      <c r="BP14" s="205" t="str">
        <f t="shared" si="6"/>
        <v/>
      </c>
      <c r="BQ14" s="203" t="str">
        <f t="shared" si="6"/>
        <v/>
      </c>
      <c r="BR14" s="203" t="str">
        <f t="shared" si="6"/>
        <v/>
      </c>
      <c r="BS14" s="204" t="str">
        <f t="shared" si="6"/>
        <v/>
      </c>
      <c r="BT14" s="205" t="str">
        <f t="shared" si="6"/>
        <v/>
      </c>
      <c r="BU14" s="203" t="str">
        <f t="shared" si="6"/>
        <v/>
      </c>
      <c r="BV14" s="203" t="str">
        <f t="shared" si="6"/>
        <v/>
      </c>
      <c r="BW14" s="204" t="str">
        <f t="shared" si="6"/>
        <v/>
      </c>
      <c r="BX14" s="205" t="str">
        <f t="shared" si="6"/>
        <v/>
      </c>
      <c r="BY14" s="203" t="str">
        <f t="shared" si="6"/>
        <v/>
      </c>
      <c r="BZ14" s="203" t="str">
        <f t="shared" si="6"/>
        <v/>
      </c>
      <c r="CA14" s="204" t="str">
        <f t="shared" si="6"/>
        <v/>
      </c>
      <c r="CB14" s="205" t="str">
        <f t="shared" si="6"/>
        <v/>
      </c>
      <c r="CC14" s="203" t="str">
        <f t="shared" si="6"/>
        <v/>
      </c>
      <c r="CD14" s="203" t="str">
        <f t="shared" si="6"/>
        <v/>
      </c>
      <c r="CE14" s="204" t="str">
        <f t="shared" si="6"/>
        <v/>
      </c>
    </row>
    <row r="15" spans="1:87" ht="18" customHeight="1">
      <c r="A15" s="22">
        <f>+TABELLA!M19</f>
        <v>12.15</v>
      </c>
      <c r="B15" s="22">
        <f>+TABELLA!N19</f>
        <v>16.149999999999999</v>
      </c>
      <c r="C15" s="22">
        <f>+TABELLA!O19</f>
        <v>0</v>
      </c>
      <c r="D15" s="22">
        <f>+TABELLA!P19</f>
        <v>0</v>
      </c>
      <c r="E15" s="22"/>
      <c r="F15" s="41">
        <f>IF(TABELLA!B19="","",TABELLA!B19)</f>
        <v>10</v>
      </c>
      <c r="G15" s="42" t="str">
        <f>IF(TABELLA!C19="","",TABELLA!C19)</f>
        <v>VALENTINI TAMARA</v>
      </c>
      <c r="H15" s="206" t="str">
        <f t="shared" ref="H15:W15" si="15">IF(AND(G$3&gt;=$A15,G$3&lt;$B15),1,IF(AND(G$3&gt;=$C15,G$3&lt;$D15),1,""))</f>
        <v/>
      </c>
      <c r="I15" s="206" t="str">
        <f t="shared" si="15"/>
        <v/>
      </c>
      <c r="J15" s="206" t="str">
        <f t="shared" si="15"/>
        <v/>
      </c>
      <c r="K15" s="207" t="str">
        <f t="shared" si="15"/>
        <v/>
      </c>
      <c r="L15" s="208" t="str">
        <f t="shared" si="15"/>
        <v/>
      </c>
      <c r="M15" s="206" t="str">
        <f t="shared" si="15"/>
        <v/>
      </c>
      <c r="N15" s="206" t="str">
        <f t="shared" si="15"/>
        <v/>
      </c>
      <c r="O15" s="207" t="str">
        <f t="shared" si="15"/>
        <v/>
      </c>
      <c r="P15" s="208" t="str">
        <f t="shared" si="15"/>
        <v/>
      </c>
      <c r="Q15" s="206" t="str">
        <f t="shared" si="15"/>
        <v/>
      </c>
      <c r="R15" s="206" t="str">
        <f t="shared" si="15"/>
        <v/>
      </c>
      <c r="S15" s="207" t="str">
        <f t="shared" si="15"/>
        <v/>
      </c>
      <c r="T15" s="208" t="str">
        <f t="shared" si="15"/>
        <v/>
      </c>
      <c r="U15" s="206" t="str">
        <f t="shared" si="15"/>
        <v/>
      </c>
      <c r="V15" s="206" t="str">
        <f t="shared" si="15"/>
        <v/>
      </c>
      <c r="W15" s="207" t="str">
        <f t="shared" si="15"/>
        <v/>
      </c>
      <c r="X15" s="208" t="str">
        <f t="shared" si="3"/>
        <v/>
      </c>
      <c r="Y15" s="206" t="str">
        <f t="shared" si="3"/>
        <v/>
      </c>
      <c r="Z15" s="206" t="str">
        <f t="shared" si="3"/>
        <v/>
      </c>
      <c r="AA15" s="207" t="str">
        <f t="shared" si="3"/>
        <v/>
      </c>
      <c r="AB15" s="208" t="str">
        <f t="shared" si="3"/>
        <v/>
      </c>
      <c r="AC15" s="206" t="str">
        <f t="shared" si="3"/>
        <v/>
      </c>
      <c r="AD15" s="206" t="str">
        <f t="shared" si="3"/>
        <v/>
      </c>
      <c r="AE15" s="207" t="str">
        <f t="shared" si="3"/>
        <v/>
      </c>
      <c r="AF15" s="208" t="str">
        <f t="shared" si="3"/>
        <v/>
      </c>
      <c r="AG15" s="206" t="str">
        <f t="shared" si="3"/>
        <v/>
      </c>
      <c r="AH15" s="206" t="str">
        <f t="shared" si="3"/>
        <v/>
      </c>
      <c r="AI15" s="207" t="str">
        <f t="shared" si="3"/>
        <v/>
      </c>
      <c r="AJ15" s="208" t="str">
        <f t="shared" si="3"/>
        <v/>
      </c>
      <c r="AK15" s="206">
        <f t="shared" si="3"/>
        <v>1</v>
      </c>
      <c r="AL15" s="206">
        <f t="shared" si="3"/>
        <v>1</v>
      </c>
      <c r="AM15" s="207">
        <f t="shared" si="3"/>
        <v>1</v>
      </c>
      <c r="AN15" s="208">
        <f t="shared" si="4"/>
        <v>1</v>
      </c>
      <c r="AO15" s="206">
        <f t="shared" si="4"/>
        <v>1</v>
      </c>
      <c r="AP15" s="206">
        <f t="shared" si="4"/>
        <v>1</v>
      </c>
      <c r="AQ15" s="207">
        <f t="shared" si="4"/>
        <v>1</v>
      </c>
      <c r="AR15" s="208">
        <f t="shared" si="4"/>
        <v>1</v>
      </c>
      <c r="AS15" s="206">
        <f t="shared" si="4"/>
        <v>1</v>
      </c>
      <c r="AT15" s="206">
        <f t="shared" si="4"/>
        <v>1</v>
      </c>
      <c r="AU15" s="207">
        <f t="shared" si="4"/>
        <v>1</v>
      </c>
      <c r="AV15" s="208">
        <f t="shared" si="4"/>
        <v>1</v>
      </c>
      <c r="AW15" s="206">
        <f t="shared" si="4"/>
        <v>1</v>
      </c>
      <c r="AX15" s="206">
        <f t="shared" si="4"/>
        <v>1</v>
      </c>
      <c r="AY15" s="207">
        <f t="shared" si="4"/>
        <v>1</v>
      </c>
      <c r="AZ15" s="208">
        <f t="shared" si="4"/>
        <v>1</v>
      </c>
      <c r="BA15" s="206" t="str">
        <f t="shared" si="4"/>
        <v/>
      </c>
      <c r="BB15" s="206" t="str">
        <f t="shared" si="4"/>
        <v/>
      </c>
      <c r="BC15" s="207" t="str">
        <f t="shared" si="4"/>
        <v/>
      </c>
      <c r="BD15" s="208" t="str">
        <f t="shared" si="5"/>
        <v/>
      </c>
      <c r="BE15" s="206" t="str">
        <f t="shared" si="5"/>
        <v/>
      </c>
      <c r="BF15" s="206" t="str">
        <f t="shared" si="5"/>
        <v/>
      </c>
      <c r="BG15" s="207" t="str">
        <f t="shared" si="5"/>
        <v/>
      </c>
      <c r="BH15" s="208" t="str">
        <f t="shared" si="5"/>
        <v/>
      </c>
      <c r="BI15" s="206" t="str">
        <f t="shared" si="5"/>
        <v/>
      </c>
      <c r="BJ15" s="206" t="str">
        <f t="shared" si="5"/>
        <v/>
      </c>
      <c r="BK15" s="207" t="str">
        <f t="shared" si="5"/>
        <v/>
      </c>
      <c r="BL15" s="208" t="str">
        <f t="shared" si="5"/>
        <v/>
      </c>
      <c r="BM15" s="206" t="str">
        <f t="shared" si="5"/>
        <v/>
      </c>
      <c r="BN15" s="206" t="str">
        <f t="shared" si="5"/>
        <v/>
      </c>
      <c r="BO15" s="207" t="str">
        <f t="shared" si="5"/>
        <v/>
      </c>
      <c r="BP15" s="208" t="str">
        <f t="shared" si="6"/>
        <v/>
      </c>
      <c r="BQ15" s="206" t="str">
        <f t="shared" si="6"/>
        <v/>
      </c>
      <c r="BR15" s="206" t="str">
        <f t="shared" si="6"/>
        <v/>
      </c>
      <c r="BS15" s="207" t="str">
        <f t="shared" si="6"/>
        <v/>
      </c>
      <c r="BT15" s="208" t="str">
        <f t="shared" si="6"/>
        <v/>
      </c>
      <c r="BU15" s="206" t="str">
        <f t="shared" si="6"/>
        <v/>
      </c>
      <c r="BV15" s="206" t="str">
        <f t="shared" si="6"/>
        <v/>
      </c>
      <c r="BW15" s="207" t="str">
        <f t="shared" si="6"/>
        <v/>
      </c>
      <c r="BX15" s="208" t="str">
        <f t="shared" si="6"/>
        <v/>
      </c>
      <c r="BY15" s="206" t="str">
        <f t="shared" si="6"/>
        <v/>
      </c>
      <c r="BZ15" s="206" t="str">
        <f t="shared" si="6"/>
        <v/>
      </c>
      <c r="CA15" s="207" t="str">
        <f t="shared" si="6"/>
        <v/>
      </c>
      <c r="CB15" s="208" t="str">
        <f t="shared" si="6"/>
        <v/>
      </c>
      <c r="CC15" s="206" t="str">
        <f t="shared" si="6"/>
        <v/>
      </c>
      <c r="CD15" s="206" t="str">
        <f t="shared" si="6"/>
        <v/>
      </c>
      <c r="CE15" s="207" t="str">
        <f t="shared" si="6"/>
        <v/>
      </c>
    </row>
    <row r="16" spans="1:87" ht="18" customHeight="1">
      <c r="A16" s="22">
        <f>+TABELLA!M20</f>
        <v>0</v>
      </c>
      <c r="B16" s="22">
        <f>+TABELLA!N20</f>
        <v>0</v>
      </c>
      <c r="C16" s="22">
        <f>+TABELLA!O20</f>
        <v>17.149999999999999</v>
      </c>
      <c r="D16" s="22">
        <f>+TABELLA!P20</f>
        <v>20.45</v>
      </c>
      <c r="E16" s="22"/>
      <c r="F16" s="26">
        <f>IF(TABELLA!B20="","",TABELLA!B20)</f>
        <v>10</v>
      </c>
      <c r="G16" s="27" t="str">
        <f>IF(TABELLA!C20="","",TABELLA!C20)</f>
        <v>ALESSANDRO</v>
      </c>
      <c r="H16" s="203" t="str">
        <f t="shared" ref="H16:W16" si="16">IF(AND(G$3&gt;=$A16,G$3&lt;$B16),1,IF(AND(G$3&gt;=$C16,G$3&lt;$D16),1,""))</f>
        <v/>
      </c>
      <c r="I16" s="203" t="str">
        <f t="shared" si="16"/>
        <v/>
      </c>
      <c r="J16" s="203" t="str">
        <f t="shared" si="16"/>
        <v/>
      </c>
      <c r="K16" s="204" t="str">
        <f t="shared" si="16"/>
        <v/>
      </c>
      <c r="L16" s="205" t="str">
        <f t="shared" si="16"/>
        <v/>
      </c>
      <c r="M16" s="203" t="str">
        <f t="shared" si="16"/>
        <v/>
      </c>
      <c r="N16" s="203" t="str">
        <f t="shared" si="16"/>
        <v/>
      </c>
      <c r="O16" s="204" t="str">
        <f t="shared" si="16"/>
        <v/>
      </c>
      <c r="P16" s="205" t="str">
        <f t="shared" si="16"/>
        <v/>
      </c>
      <c r="Q16" s="203" t="str">
        <f t="shared" si="16"/>
        <v/>
      </c>
      <c r="R16" s="203" t="str">
        <f t="shared" si="16"/>
        <v/>
      </c>
      <c r="S16" s="204" t="str">
        <f t="shared" si="16"/>
        <v/>
      </c>
      <c r="T16" s="205" t="str">
        <f t="shared" si="16"/>
        <v/>
      </c>
      <c r="U16" s="203" t="str">
        <f t="shared" si="16"/>
        <v/>
      </c>
      <c r="V16" s="203" t="str">
        <f t="shared" si="16"/>
        <v/>
      </c>
      <c r="W16" s="204" t="str">
        <f t="shared" si="16"/>
        <v/>
      </c>
      <c r="X16" s="205" t="str">
        <f t="shared" si="3"/>
        <v/>
      </c>
      <c r="Y16" s="203" t="str">
        <f t="shared" si="3"/>
        <v/>
      </c>
      <c r="Z16" s="203" t="str">
        <f t="shared" si="3"/>
        <v/>
      </c>
      <c r="AA16" s="204" t="str">
        <f t="shared" si="3"/>
        <v/>
      </c>
      <c r="AB16" s="205" t="str">
        <f t="shared" si="3"/>
        <v/>
      </c>
      <c r="AC16" s="203" t="str">
        <f t="shared" si="3"/>
        <v/>
      </c>
      <c r="AD16" s="203" t="str">
        <f t="shared" si="3"/>
        <v/>
      </c>
      <c r="AE16" s="204" t="str">
        <f t="shared" si="3"/>
        <v/>
      </c>
      <c r="AF16" s="205" t="str">
        <f t="shared" si="3"/>
        <v/>
      </c>
      <c r="AG16" s="203" t="str">
        <f t="shared" si="3"/>
        <v/>
      </c>
      <c r="AH16" s="203" t="str">
        <f t="shared" si="3"/>
        <v/>
      </c>
      <c r="AI16" s="204" t="str">
        <f t="shared" si="3"/>
        <v/>
      </c>
      <c r="AJ16" s="205" t="str">
        <f t="shared" si="3"/>
        <v/>
      </c>
      <c r="AK16" s="203" t="str">
        <f t="shared" si="3"/>
        <v/>
      </c>
      <c r="AL16" s="203" t="str">
        <f t="shared" si="3"/>
        <v/>
      </c>
      <c r="AM16" s="204" t="str">
        <f t="shared" si="3"/>
        <v/>
      </c>
      <c r="AN16" s="205" t="str">
        <f t="shared" si="4"/>
        <v/>
      </c>
      <c r="AO16" s="203" t="str">
        <f t="shared" si="4"/>
        <v/>
      </c>
      <c r="AP16" s="203" t="str">
        <f t="shared" si="4"/>
        <v/>
      </c>
      <c r="AQ16" s="204" t="str">
        <f t="shared" si="4"/>
        <v/>
      </c>
      <c r="AR16" s="205" t="str">
        <f t="shared" si="4"/>
        <v/>
      </c>
      <c r="AS16" s="203" t="str">
        <f t="shared" si="4"/>
        <v/>
      </c>
      <c r="AT16" s="203" t="str">
        <f t="shared" si="4"/>
        <v/>
      </c>
      <c r="AU16" s="204" t="str">
        <f t="shared" si="4"/>
        <v/>
      </c>
      <c r="AV16" s="205" t="str">
        <f t="shared" si="4"/>
        <v/>
      </c>
      <c r="AW16" s="203" t="str">
        <f t="shared" si="4"/>
        <v/>
      </c>
      <c r="AX16" s="203" t="str">
        <f t="shared" si="4"/>
        <v/>
      </c>
      <c r="AY16" s="204" t="str">
        <f t="shared" si="4"/>
        <v/>
      </c>
      <c r="AZ16" s="205" t="str">
        <f t="shared" si="4"/>
        <v/>
      </c>
      <c r="BA16" s="203" t="str">
        <f t="shared" si="4"/>
        <v/>
      </c>
      <c r="BB16" s="203" t="str">
        <f t="shared" si="4"/>
        <v/>
      </c>
      <c r="BC16" s="204" t="str">
        <f t="shared" si="4"/>
        <v/>
      </c>
      <c r="BD16" s="205" t="str">
        <f t="shared" si="5"/>
        <v/>
      </c>
      <c r="BE16" s="203">
        <f t="shared" si="5"/>
        <v>1</v>
      </c>
      <c r="BF16" s="203">
        <f t="shared" si="5"/>
        <v>1</v>
      </c>
      <c r="BG16" s="204">
        <f t="shared" si="5"/>
        <v>1</v>
      </c>
      <c r="BH16" s="205">
        <f t="shared" si="5"/>
        <v>1</v>
      </c>
      <c r="BI16" s="203">
        <f t="shared" si="5"/>
        <v>1</v>
      </c>
      <c r="BJ16" s="203">
        <f t="shared" si="5"/>
        <v>1</v>
      </c>
      <c r="BK16" s="204">
        <f t="shared" si="5"/>
        <v>1</v>
      </c>
      <c r="BL16" s="205">
        <f t="shared" si="5"/>
        <v>1</v>
      </c>
      <c r="BM16" s="203">
        <f t="shared" si="5"/>
        <v>1</v>
      </c>
      <c r="BN16" s="203">
        <f t="shared" si="5"/>
        <v>1</v>
      </c>
      <c r="BO16" s="204">
        <f t="shared" si="5"/>
        <v>1</v>
      </c>
      <c r="BP16" s="205">
        <f t="shared" si="6"/>
        <v>1</v>
      </c>
      <c r="BQ16" s="203">
        <f t="shared" si="6"/>
        <v>1</v>
      </c>
      <c r="BR16" s="203">
        <f t="shared" si="6"/>
        <v>1</v>
      </c>
      <c r="BS16" s="204" t="str">
        <f t="shared" si="6"/>
        <v/>
      </c>
      <c r="BT16" s="205" t="str">
        <f t="shared" si="6"/>
        <v/>
      </c>
      <c r="BU16" s="203" t="str">
        <f t="shared" si="6"/>
        <v/>
      </c>
      <c r="BV16" s="203" t="str">
        <f t="shared" si="6"/>
        <v/>
      </c>
      <c r="BW16" s="204" t="str">
        <f t="shared" si="6"/>
        <v/>
      </c>
      <c r="BX16" s="205" t="str">
        <f t="shared" si="6"/>
        <v/>
      </c>
      <c r="BY16" s="203" t="str">
        <f t="shared" si="6"/>
        <v/>
      </c>
      <c r="BZ16" s="203" t="str">
        <f t="shared" si="6"/>
        <v/>
      </c>
      <c r="CA16" s="204" t="str">
        <f t="shared" si="6"/>
        <v/>
      </c>
      <c r="CB16" s="205" t="str">
        <f t="shared" si="6"/>
        <v/>
      </c>
      <c r="CC16" s="203" t="str">
        <f t="shared" si="6"/>
        <v/>
      </c>
      <c r="CD16" s="203" t="str">
        <f t="shared" si="6"/>
        <v/>
      </c>
      <c r="CE16" s="204" t="str">
        <f t="shared" si="6"/>
        <v/>
      </c>
    </row>
    <row r="17" spans="1:83" ht="18" customHeight="1">
      <c r="A17" s="22">
        <f>+TABELLA!M21</f>
        <v>0</v>
      </c>
      <c r="B17" s="22">
        <f>+TABELLA!N21</f>
        <v>0</v>
      </c>
      <c r="C17" s="22">
        <f>+TABELLA!O21</f>
        <v>0</v>
      </c>
      <c r="D17" s="22">
        <f>+TABELLA!P21</f>
        <v>0</v>
      </c>
      <c r="E17" s="22"/>
      <c r="F17" s="41">
        <f>IF(TABELLA!B21="","",TABELLA!B21)</f>
        <v>1</v>
      </c>
      <c r="G17" s="42" t="str">
        <f>IF(TABELLA!C21="","",TABELLA!C21)</f>
        <v/>
      </c>
      <c r="H17" s="206" t="str">
        <f t="shared" ref="H17:W17" si="17">IF(AND(G$3&gt;=$A17,G$3&lt;$B17),1,IF(AND(G$3&gt;=$C17,G$3&lt;$D17),1,""))</f>
        <v/>
      </c>
      <c r="I17" s="206" t="str">
        <f t="shared" si="17"/>
        <v/>
      </c>
      <c r="J17" s="206" t="str">
        <f t="shared" si="17"/>
        <v/>
      </c>
      <c r="K17" s="207" t="str">
        <f t="shared" si="17"/>
        <v/>
      </c>
      <c r="L17" s="208" t="str">
        <f t="shared" si="17"/>
        <v/>
      </c>
      <c r="M17" s="206" t="str">
        <f t="shared" si="17"/>
        <v/>
      </c>
      <c r="N17" s="206" t="str">
        <f t="shared" si="17"/>
        <v/>
      </c>
      <c r="O17" s="207" t="str">
        <f t="shared" si="17"/>
        <v/>
      </c>
      <c r="P17" s="208" t="str">
        <f t="shared" si="17"/>
        <v/>
      </c>
      <c r="Q17" s="206" t="str">
        <f t="shared" si="17"/>
        <v/>
      </c>
      <c r="R17" s="206" t="str">
        <f t="shared" si="17"/>
        <v/>
      </c>
      <c r="S17" s="207" t="str">
        <f t="shared" si="17"/>
        <v/>
      </c>
      <c r="T17" s="208" t="str">
        <f t="shared" si="17"/>
        <v/>
      </c>
      <c r="U17" s="206" t="str">
        <f t="shared" si="17"/>
        <v/>
      </c>
      <c r="V17" s="206" t="str">
        <f t="shared" si="17"/>
        <v/>
      </c>
      <c r="W17" s="207" t="str">
        <f t="shared" si="17"/>
        <v/>
      </c>
      <c r="X17" s="208" t="str">
        <f t="shared" si="3"/>
        <v/>
      </c>
      <c r="Y17" s="206" t="str">
        <f t="shared" si="3"/>
        <v/>
      </c>
      <c r="Z17" s="206" t="str">
        <f t="shared" si="3"/>
        <v/>
      </c>
      <c r="AA17" s="207" t="str">
        <f t="shared" si="3"/>
        <v/>
      </c>
      <c r="AB17" s="208" t="str">
        <f t="shared" si="3"/>
        <v/>
      </c>
      <c r="AC17" s="206" t="str">
        <f t="shared" si="3"/>
        <v/>
      </c>
      <c r="AD17" s="206" t="str">
        <f t="shared" si="3"/>
        <v/>
      </c>
      <c r="AE17" s="207" t="str">
        <f t="shared" si="3"/>
        <v/>
      </c>
      <c r="AF17" s="208" t="str">
        <f t="shared" si="3"/>
        <v/>
      </c>
      <c r="AG17" s="206" t="str">
        <f t="shared" si="3"/>
        <v/>
      </c>
      <c r="AH17" s="206" t="str">
        <f t="shared" si="3"/>
        <v/>
      </c>
      <c r="AI17" s="207" t="str">
        <f t="shared" si="3"/>
        <v/>
      </c>
      <c r="AJ17" s="208" t="str">
        <f t="shared" si="3"/>
        <v/>
      </c>
      <c r="AK17" s="206" t="str">
        <f t="shared" si="3"/>
        <v/>
      </c>
      <c r="AL17" s="206" t="str">
        <f t="shared" si="3"/>
        <v/>
      </c>
      <c r="AM17" s="207" t="str">
        <f t="shared" si="3"/>
        <v/>
      </c>
      <c r="AN17" s="208" t="str">
        <f t="shared" si="4"/>
        <v/>
      </c>
      <c r="AO17" s="206" t="str">
        <f t="shared" si="4"/>
        <v/>
      </c>
      <c r="AP17" s="206" t="str">
        <f t="shared" si="4"/>
        <v/>
      </c>
      <c r="AQ17" s="207" t="str">
        <f t="shared" si="4"/>
        <v/>
      </c>
      <c r="AR17" s="208" t="str">
        <f t="shared" si="4"/>
        <v/>
      </c>
      <c r="AS17" s="206" t="str">
        <f t="shared" si="4"/>
        <v/>
      </c>
      <c r="AT17" s="206" t="str">
        <f t="shared" si="4"/>
        <v/>
      </c>
      <c r="AU17" s="207" t="str">
        <f t="shared" si="4"/>
        <v/>
      </c>
      <c r="AV17" s="208" t="str">
        <f t="shared" si="4"/>
        <v/>
      </c>
      <c r="AW17" s="206" t="str">
        <f t="shared" si="4"/>
        <v/>
      </c>
      <c r="AX17" s="206" t="str">
        <f t="shared" si="4"/>
        <v/>
      </c>
      <c r="AY17" s="207" t="str">
        <f t="shared" si="4"/>
        <v/>
      </c>
      <c r="AZ17" s="208" t="str">
        <f t="shared" si="4"/>
        <v/>
      </c>
      <c r="BA17" s="206" t="str">
        <f t="shared" si="4"/>
        <v/>
      </c>
      <c r="BB17" s="206" t="str">
        <f t="shared" si="4"/>
        <v/>
      </c>
      <c r="BC17" s="207" t="str">
        <f t="shared" si="4"/>
        <v/>
      </c>
      <c r="BD17" s="208" t="str">
        <f t="shared" si="5"/>
        <v/>
      </c>
      <c r="BE17" s="206" t="str">
        <f t="shared" si="5"/>
        <v/>
      </c>
      <c r="BF17" s="206" t="str">
        <f t="shared" si="5"/>
        <v/>
      </c>
      <c r="BG17" s="207" t="str">
        <f t="shared" si="5"/>
        <v/>
      </c>
      <c r="BH17" s="208" t="str">
        <f t="shared" si="5"/>
        <v/>
      </c>
      <c r="BI17" s="206" t="str">
        <f t="shared" si="5"/>
        <v/>
      </c>
      <c r="BJ17" s="206" t="str">
        <f t="shared" si="5"/>
        <v/>
      </c>
      <c r="BK17" s="207" t="str">
        <f t="shared" si="5"/>
        <v/>
      </c>
      <c r="BL17" s="208" t="str">
        <f t="shared" si="5"/>
        <v/>
      </c>
      <c r="BM17" s="206" t="str">
        <f t="shared" si="5"/>
        <v/>
      </c>
      <c r="BN17" s="206" t="str">
        <f t="shared" si="5"/>
        <v/>
      </c>
      <c r="BO17" s="207" t="str">
        <f t="shared" si="5"/>
        <v/>
      </c>
      <c r="BP17" s="208" t="str">
        <f t="shared" si="6"/>
        <v/>
      </c>
      <c r="BQ17" s="206" t="str">
        <f t="shared" si="6"/>
        <v/>
      </c>
      <c r="BR17" s="206" t="str">
        <f t="shared" si="6"/>
        <v/>
      </c>
      <c r="BS17" s="207" t="str">
        <f t="shared" si="6"/>
        <v/>
      </c>
      <c r="BT17" s="208" t="str">
        <f t="shared" si="6"/>
        <v/>
      </c>
      <c r="BU17" s="206" t="str">
        <f t="shared" si="6"/>
        <v/>
      </c>
      <c r="BV17" s="206" t="str">
        <f t="shared" si="6"/>
        <v/>
      </c>
      <c r="BW17" s="207" t="str">
        <f t="shared" si="6"/>
        <v/>
      </c>
      <c r="BX17" s="208" t="str">
        <f t="shared" si="6"/>
        <v/>
      </c>
      <c r="BY17" s="206" t="str">
        <f t="shared" si="6"/>
        <v/>
      </c>
      <c r="BZ17" s="206" t="str">
        <f t="shared" si="6"/>
        <v/>
      </c>
      <c r="CA17" s="207" t="str">
        <f t="shared" si="6"/>
        <v/>
      </c>
      <c r="CB17" s="208" t="str">
        <f t="shared" si="6"/>
        <v/>
      </c>
      <c r="CC17" s="206" t="str">
        <f t="shared" si="6"/>
        <v/>
      </c>
      <c r="CD17" s="206" t="str">
        <f t="shared" si="6"/>
        <v/>
      </c>
      <c r="CE17" s="207" t="str">
        <f t="shared" si="6"/>
        <v/>
      </c>
    </row>
    <row r="18" spans="1:83" ht="18" customHeight="1">
      <c r="A18" s="22">
        <f>+TABELLA!M22</f>
        <v>0</v>
      </c>
      <c r="B18" s="22">
        <f>+TABELLA!N22</f>
        <v>0</v>
      </c>
      <c r="C18" s="22">
        <f>+TABELLA!O22</f>
        <v>0</v>
      </c>
      <c r="D18" s="22">
        <f>+TABELLA!P22</f>
        <v>0</v>
      </c>
      <c r="E18" s="22"/>
      <c r="F18" s="26">
        <f>IF(TABELLA!B22="","",TABELLA!B22)</f>
        <v>1</v>
      </c>
      <c r="G18" s="27" t="str">
        <f>IF(TABELLA!C22="","",TABELLA!C22)</f>
        <v/>
      </c>
      <c r="H18" s="203" t="str">
        <f t="shared" ref="H18:W18" si="18">IF(AND(G$3&gt;=$A18,G$3&lt;$B18),1,IF(AND(G$3&gt;=$C18,G$3&lt;$D18),1,""))</f>
        <v/>
      </c>
      <c r="I18" s="203" t="str">
        <f t="shared" si="18"/>
        <v/>
      </c>
      <c r="J18" s="203" t="str">
        <f t="shared" si="18"/>
        <v/>
      </c>
      <c r="K18" s="204" t="str">
        <f t="shared" si="18"/>
        <v/>
      </c>
      <c r="L18" s="205" t="str">
        <f t="shared" si="18"/>
        <v/>
      </c>
      <c r="M18" s="203" t="str">
        <f t="shared" si="18"/>
        <v/>
      </c>
      <c r="N18" s="203" t="str">
        <f t="shared" si="18"/>
        <v/>
      </c>
      <c r="O18" s="204" t="str">
        <f t="shared" si="18"/>
        <v/>
      </c>
      <c r="P18" s="205" t="str">
        <f t="shared" si="18"/>
        <v/>
      </c>
      <c r="Q18" s="203" t="str">
        <f t="shared" si="18"/>
        <v/>
      </c>
      <c r="R18" s="203" t="str">
        <f t="shared" si="18"/>
        <v/>
      </c>
      <c r="S18" s="204" t="str">
        <f t="shared" si="18"/>
        <v/>
      </c>
      <c r="T18" s="205" t="str">
        <f t="shared" si="18"/>
        <v/>
      </c>
      <c r="U18" s="203" t="str">
        <f t="shared" si="18"/>
        <v/>
      </c>
      <c r="V18" s="203" t="str">
        <f t="shared" si="18"/>
        <v/>
      </c>
      <c r="W18" s="204" t="str">
        <f t="shared" si="18"/>
        <v/>
      </c>
      <c r="X18" s="205" t="str">
        <f t="shared" si="3"/>
        <v/>
      </c>
      <c r="Y18" s="203" t="str">
        <f t="shared" si="3"/>
        <v/>
      </c>
      <c r="Z18" s="203" t="str">
        <f t="shared" si="3"/>
        <v/>
      </c>
      <c r="AA18" s="204" t="str">
        <f t="shared" si="3"/>
        <v/>
      </c>
      <c r="AB18" s="205" t="str">
        <f t="shared" si="3"/>
        <v/>
      </c>
      <c r="AC18" s="203" t="str">
        <f t="shared" si="3"/>
        <v/>
      </c>
      <c r="AD18" s="203" t="str">
        <f t="shared" si="3"/>
        <v/>
      </c>
      <c r="AE18" s="204" t="str">
        <f t="shared" si="3"/>
        <v/>
      </c>
      <c r="AF18" s="205" t="str">
        <f t="shared" si="3"/>
        <v/>
      </c>
      <c r="AG18" s="203" t="str">
        <f t="shared" si="3"/>
        <v/>
      </c>
      <c r="AH18" s="203" t="str">
        <f t="shared" si="3"/>
        <v/>
      </c>
      <c r="AI18" s="204" t="str">
        <f t="shared" si="3"/>
        <v/>
      </c>
      <c r="AJ18" s="205" t="str">
        <f t="shared" si="3"/>
        <v/>
      </c>
      <c r="AK18" s="203" t="str">
        <f t="shared" si="3"/>
        <v/>
      </c>
      <c r="AL18" s="203" t="str">
        <f t="shared" si="3"/>
        <v/>
      </c>
      <c r="AM18" s="204" t="str">
        <f t="shared" si="3"/>
        <v/>
      </c>
      <c r="AN18" s="205" t="str">
        <f t="shared" si="4"/>
        <v/>
      </c>
      <c r="AO18" s="203" t="str">
        <f t="shared" si="4"/>
        <v/>
      </c>
      <c r="AP18" s="203" t="str">
        <f t="shared" si="4"/>
        <v/>
      </c>
      <c r="AQ18" s="204" t="str">
        <f t="shared" si="4"/>
        <v/>
      </c>
      <c r="AR18" s="205" t="str">
        <f t="shared" si="4"/>
        <v/>
      </c>
      <c r="AS18" s="203" t="str">
        <f t="shared" si="4"/>
        <v/>
      </c>
      <c r="AT18" s="203" t="str">
        <f t="shared" si="4"/>
        <v/>
      </c>
      <c r="AU18" s="204" t="str">
        <f t="shared" si="4"/>
        <v/>
      </c>
      <c r="AV18" s="205" t="str">
        <f t="shared" si="4"/>
        <v/>
      </c>
      <c r="AW18" s="203" t="str">
        <f t="shared" si="4"/>
        <v/>
      </c>
      <c r="AX18" s="203" t="str">
        <f t="shared" si="4"/>
        <v/>
      </c>
      <c r="AY18" s="204" t="str">
        <f t="shared" si="4"/>
        <v/>
      </c>
      <c r="AZ18" s="205" t="str">
        <f t="shared" si="4"/>
        <v/>
      </c>
      <c r="BA18" s="203" t="str">
        <f t="shared" si="4"/>
        <v/>
      </c>
      <c r="BB18" s="203" t="str">
        <f t="shared" si="4"/>
        <v/>
      </c>
      <c r="BC18" s="204" t="str">
        <f t="shared" si="4"/>
        <v/>
      </c>
      <c r="BD18" s="205" t="str">
        <f t="shared" si="5"/>
        <v/>
      </c>
      <c r="BE18" s="203" t="str">
        <f t="shared" si="5"/>
        <v/>
      </c>
      <c r="BF18" s="203" t="str">
        <f t="shared" si="5"/>
        <v/>
      </c>
      <c r="BG18" s="204" t="str">
        <f t="shared" si="5"/>
        <v/>
      </c>
      <c r="BH18" s="205" t="str">
        <f t="shared" si="5"/>
        <v/>
      </c>
      <c r="BI18" s="203" t="str">
        <f t="shared" si="5"/>
        <v/>
      </c>
      <c r="BJ18" s="203" t="str">
        <f t="shared" si="5"/>
        <v/>
      </c>
      <c r="BK18" s="204" t="str">
        <f t="shared" si="5"/>
        <v/>
      </c>
      <c r="BL18" s="205" t="str">
        <f t="shared" si="5"/>
        <v/>
      </c>
      <c r="BM18" s="203" t="str">
        <f t="shared" si="5"/>
        <v/>
      </c>
      <c r="BN18" s="203" t="str">
        <f t="shared" si="5"/>
        <v/>
      </c>
      <c r="BO18" s="204" t="str">
        <f t="shared" si="5"/>
        <v/>
      </c>
      <c r="BP18" s="205" t="str">
        <f t="shared" si="6"/>
        <v/>
      </c>
      <c r="BQ18" s="203" t="str">
        <f t="shared" si="6"/>
        <v/>
      </c>
      <c r="BR18" s="203" t="str">
        <f t="shared" si="6"/>
        <v/>
      </c>
      <c r="BS18" s="204" t="str">
        <f t="shared" si="6"/>
        <v/>
      </c>
      <c r="BT18" s="205" t="str">
        <f t="shared" si="6"/>
        <v/>
      </c>
      <c r="BU18" s="203" t="str">
        <f t="shared" si="6"/>
        <v/>
      </c>
      <c r="BV18" s="203" t="str">
        <f t="shared" si="6"/>
        <v/>
      </c>
      <c r="BW18" s="204" t="str">
        <f t="shared" si="6"/>
        <v/>
      </c>
      <c r="BX18" s="205" t="str">
        <f t="shared" si="6"/>
        <v/>
      </c>
      <c r="BY18" s="203" t="str">
        <f t="shared" si="6"/>
        <v/>
      </c>
      <c r="BZ18" s="203" t="str">
        <f t="shared" si="6"/>
        <v/>
      </c>
      <c r="CA18" s="204" t="str">
        <f t="shared" si="6"/>
        <v/>
      </c>
      <c r="CB18" s="205" t="str">
        <f t="shared" si="6"/>
        <v/>
      </c>
      <c r="CC18" s="203" t="str">
        <f t="shared" si="6"/>
        <v/>
      </c>
      <c r="CD18" s="203" t="str">
        <f t="shared" si="6"/>
        <v/>
      </c>
      <c r="CE18" s="204" t="str">
        <f t="shared" si="6"/>
        <v/>
      </c>
    </row>
    <row r="19" spans="1:83" ht="18" customHeight="1">
      <c r="A19" s="22">
        <f>+TABELLA!M23</f>
        <v>0</v>
      </c>
      <c r="B19" s="22">
        <f>+TABELLA!N23</f>
        <v>0</v>
      </c>
      <c r="C19" s="22">
        <f>+TABELLA!O23</f>
        <v>0</v>
      </c>
      <c r="D19" s="22">
        <f>+TABELLA!P23</f>
        <v>0</v>
      </c>
      <c r="E19" s="22"/>
      <c r="F19" s="41">
        <f>IF(TABELLA!B23="","",TABELLA!B23)</f>
        <v>1</v>
      </c>
      <c r="G19" s="42" t="str">
        <f>IF(TABELLA!C23="","",TABELLA!C23)</f>
        <v>BALDAZZI ENRICO</v>
      </c>
      <c r="H19" s="206" t="str">
        <f t="shared" ref="H19:W19" si="19">IF(AND(G$3&gt;=$A19,G$3&lt;$B19),1,IF(AND(G$3&gt;=$C19,G$3&lt;$D19),1,""))</f>
        <v/>
      </c>
      <c r="I19" s="206" t="str">
        <f t="shared" si="19"/>
        <v/>
      </c>
      <c r="J19" s="206" t="str">
        <f t="shared" si="19"/>
        <v/>
      </c>
      <c r="K19" s="207" t="str">
        <f t="shared" si="19"/>
        <v/>
      </c>
      <c r="L19" s="208" t="str">
        <f t="shared" si="19"/>
        <v/>
      </c>
      <c r="M19" s="206" t="str">
        <f t="shared" si="19"/>
        <v/>
      </c>
      <c r="N19" s="206" t="str">
        <f t="shared" si="19"/>
        <v/>
      </c>
      <c r="O19" s="207" t="str">
        <f t="shared" si="19"/>
        <v/>
      </c>
      <c r="P19" s="208" t="str">
        <f t="shared" si="19"/>
        <v/>
      </c>
      <c r="Q19" s="206" t="str">
        <f t="shared" si="19"/>
        <v/>
      </c>
      <c r="R19" s="206" t="str">
        <f t="shared" si="19"/>
        <v/>
      </c>
      <c r="S19" s="207" t="str">
        <f t="shared" si="19"/>
        <v/>
      </c>
      <c r="T19" s="208" t="str">
        <f t="shared" si="19"/>
        <v/>
      </c>
      <c r="U19" s="206" t="str">
        <f t="shared" si="19"/>
        <v/>
      </c>
      <c r="V19" s="206" t="str">
        <f t="shared" si="19"/>
        <v/>
      </c>
      <c r="W19" s="207" t="str">
        <f t="shared" si="19"/>
        <v/>
      </c>
      <c r="X19" s="208" t="str">
        <f t="shared" si="3"/>
        <v/>
      </c>
      <c r="Y19" s="206" t="str">
        <f t="shared" si="3"/>
        <v/>
      </c>
      <c r="Z19" s="206" t="str">
        <f t="shared" si="3"/>
        <v/>
      </c>
      <c r="AA19" s="207" t="str">
        <f t="shared" si="3"/>
        <v/>
      </c>
      <c r="AB19" s="208" t="str">
        <f t="shared" si="3"/>
        <v/>
      </c>
      <c r="AC19" s="206" t="str">
        <f t="shared" si="3"/>
        <v/>
      </c>
      <c r="AD19" s="206" t="str">
        <f t="shared" si="3"/>
        <v/>
      </c>
      <c r="AE19" s="207" t="str">
        <f t="shared" si="3"/>
        <v/>
      </c>
      <c r="AF19" s="208" t="str">
        <f t="shared" si="3"/>
        <v/>
      </c>
      <c r="AG19" s="206" t="str">
        <f t="shared" si="3"/>
        <v/>
      </c>
      <c r="AH19" s="206" t="str">
        <f t="shared" si="3"/>
        <v/>
      </c>
      <c r="AI19" s="207" t="str">
        <f t="shared" si="3"/>
        <v/>
      </c>
      <c r="AJ19" s="208" t="str">
        <f t="shared" si="3"/>
        <v/>
      </c>
      <c r="AK19" s="206" t="str">
        <f t="shared" si="3"/>
        <v/>
      </c>
      <c r="AL19" s="206" t="str">
        <f t="shared" si="3"/>
        <v/>
      </c>
      <c r="AM19" s="207" t="str">
        <f t="shared" si="3"/>
        <v/>
      </c>
      <c r="AN19" s="208" t="str">
        <f t="shared" si="4"/>
        <v/>
      </c>
      <c r="AO19" s="206" t="str">
        <f t="shared" si="4"/>
        <v/>
      </c>
      <c r="AP19" s="206" t="str">
        <f t="shared" si="4"/>
        <v/>
      </c>
      <c r="AQ19" s="207" t="str">
        <f t="shared" si="4"/>
        <v/>
      </c>
      <c r="AR19" s="208" t="str">
        <f t="shared" si="4"/>
        <v/>
      </c>
      <c r="AS19" s="206" t="str">
        <f t="shared" si="4"/>
        <v/>
      </c>
      <c r="AT19" s="206" t="str">
        <f t="shared" si="4"/>
        <v/>
      </c>
      <c r="AU19" s="207" t="str">
        <f t="shared" si="4"/>
        <v/>
      </c>
      <c r="AV19" s="208" t="str">
        <f t="shared" si="4"/>
        <v/>
      </c>
      <c r="AW19" s="206" t="str">
        <f t="shared" si="4"/>
        <v/>
      </c>
      <c r="AX19" s="206" t="str">
        <f t="shared" si="4"/>
        <v/>
      </c>
      <c r="AY19" s="207" t="str">
        <f t="shared" si="4"/>
        <v/>
      </c>
      <c r="AZ19" s="208" t="str">
        <f t="shared" si="4"/>
        <v/>
      </c>
      <c r="BA19" s="206" t="str">
        <f t="shared" si="4"/>
        <v/>
      </c>
      <c r="BB19" s="206" t="str">
        <f t="shared" si="4"/>
        <v/>
      </c>
      <c r="BC19" s="207" t="str">
        <f t="shared" si="4"/>
        <v/>
      </c>
      <c r="BD19" s="208" t="str">
        <f t="shared" si="5"/>
        <v/>
      </c>
      <c r="BE19" s="206" t="str">
        <f t="shared" si="5"/>
        <v/>
      </c>
      <c r="BF19" s="206" t="str">
        <f t="shared" si="5"/>
        <v/>
      </c>
      <c r="BG19" s="207" t="str">
        <f t="shared" si="5"/>
        <v/>
      </c>
      <c r="BH19" s="208" t="str">
        <f t="shared" si="5"/>
        <v/>
      </c>
      <c r="BI19" s="206" t="str">
        <f t="shared" si="5"/>
        <v/>
      </c>
      <c r="BJ19" s="206" t="str">
        <f t="shared" si="5"/>
        <v/>
      </c>
      <c r="BK19" s="207" t="str">
        <f t="shared" si="5"/>
        <v/>
      </c>
      <c r="BL19" s="208" t="str">
        <f t="shared" si="5"/>
        <v/>
      </c>
      <c r="BM19" s="206" t="str">
        <f t="shared" si="5"/>
        <v/>
      </c>
      <c r="BN19" s="206" t="str">
        <f t="shared" si="5"/>
        <v/>
      </c>
      <c r="BO19" s="207" t="str">
        <f t="shared" si="5"/>
        <v/>
      </c>
      <c r="BP19" s="208" t="str">
        <f t="shared" si="6"/>
        <v/>
      </c>
      <c r="BQ19" s="206" t="str">
        <f t="shared" si="6"/>
        <v/>
      </c>
      <c r="BR19" s="206" t="str">
        <f t="shared" si="6"/>
        <v/>
      </c>
      <c r="BS19" s="207" t="str">
        <f t="shared" si="6"/>
        <v/>
      </c>
      <c r="BT19" s="208" t="str">
        <f t="shared" si="6"/>
        <v/>
      </c>
      <c r="BU19" s="206" t="str">
        <f t="shared" si="6"/>
        <v/>
      </c>
      <c r="BV19" s="206" t="str">
        <f t="shared" si="6"/>
        <v/>
      </c>
      <c r="BW19" s="207" t="str">
        <f t="shared" si="6"/>
        <v/>
      </c>
      <c r="BX19" s="208" t="str">
        <f t="shared" si="6"/>
        <v/>
      </c>
      <c r="BY19" s="206" t="str">
        <f t="shared" si="6"/>
        <v/>
      </c>
      <c r="BZ19" s="206" t="str">
        <f t="shared" si="6"/>
        <v/>
      </c>
      <c r="CA19" s="207" t="str">
        <f t="shared" si="6"/>
        <v/>
      </c>
      <c r="CB19" s="208" t="str">
        <f t="shared" si="6"/>
        <v/>
      </c>
      <c r="CC19" s="206" t="str">
        <f t="shared" si="6"/>
        <v/>
      </c>
      <c r="CD19" s="206" t="str">
        <f t="shared" si="6"/>
        <v/>
      </c>
      <c r="CE19" s="207" t="str">
        <f t="shared" si="6"/>
        <v/>
      </c>
    </row>
    <row r="20" spans="1:83" ht="18" customHeight="1">
      <c r="A20" s="22">
        <f>+TABELLA!M24</f>
        <v>0</v>
      </c>
      <c r="B20" s="22">
        <f>+TABELLA!N24</f>
        <v>0</v>
      </c>
      <c r="C20" s="22">
        <f>+TABELLA!O24</f>
        <v>0</v>
      </c>
      <c r="D20" s="22">
        <f>+TABELLA!P24</f>
        <v>0</v>
      </c>
      <c r="E20" s="22"/>
      <c r="F20" s="26">
        <f>IF(TABELLA!B24="","",TABELLA!B24)</f>
        <v>12</v>
      </c>
      <c r="G20" s="27" t="str">
        <f>IF(TABELLA!C24="","",TABELLA!C24)</f>
        <v>xx</v>
      </c>
      <c r="H20" s="203" t="str">
        <f t="shared" ref="H20:W20" si="20">IF(AND(G$3&gt;=$A20,G$3&lt;$B20),1,IF(AND(G$3&gt;=$C20,G$3&lt;$D20),1,""))</f>
        <v/>
      </c>
      <c r="I20" s="203" t="str">
        <f t="shared" si="20"/>
        <v/>
      </c>
      <c r="J20" s="203" t="str">
        <f t="shared" si="20"/>
        <v/>
      </c>
      <c r="K20" s="204" t="str">
        <f t="shared" si="20"/>
        <v/>
      </c>
      <c r="L20" s="205" t="str">
        <f t="shared" si="20"/>
        <v/>
      </c>
      <c r="M20" s="203" t="str">
        <f t="shared" si="20"/>
        <v/>
      </c>
      <c r="N20" s="203" t="str">
        <f t="shared" si="20"/>
        <v/>
      </c>
      <c r="O20" s="204" t="str">
        <f t="shared" si="20"/>
        <v/>
      </c>
      <c r="P20" s="205" t="str">
        <f t="shared" si="20"/>
        <v/>
      </c>
      <c r="Q20" s="203" t="str">
        <f t="shared" si="20"/>
        <v/>
      </c>
      <c r="R20" s="203" t="str">
        <f t="shared" si="20"/>
        <v/>
      </c>
      <c r="S20" s="204" t="str">
        <f t="shared" si="20"/>
        <v/>
      </c>
      <c r="T20" s="205" t="str">
        <f t="shared" si="20"/>
        <v/>
      </c>
      <c r="U20" s="203" t="str">
        <f t="shared" si="20"/>
        <v/>
      </c>
      <c r="V20" s="203" t="str">
        <f t="shared" si="20"/>
        <v/>
      </c>
      <c r="W20" s="204" t="str">
        <f t="shared" si="20"/>
        <v/>
      </c>
      <c r="X20" s="205" t="str">
        <f t="shared" si="3"/>
        <v/>
      </c>
      <c r="Y20" s="203" t="str">
        <f t="shared" si="3"/>
        <v/>
      </c>
      <c r="Z20" s="203" t="str">
        <f t="shared" si="3"/>
        <v/>
      </c>
      <c r="AA20" s="204" t="str">
        <f t="shared" si="3"/>
        <v/>
      </c>
      <c r="AB20" s="205" t="str">
        <f t="shared" si="3"/>
        <v/>
      </c>
      <c r="AC20" s="203" t="str">
        <f t="shared" si="3"/>
        <v/>
      </c>
      <c r="AD20" s="203" t="str">
        <f t="shared" si="3"/>
        <v/>
      </c>
      <c r="AE20" s="204" t="str">
        <f t="shared" si="3"/>
        <v/>
      </c>
      <c r="AF20" s="205" t="str">
        <f t="shared" si="3"/>
        <v/>
      </c>
      <c r="AG20" s="203" t="str">
        <f t="shared" si="3"/>
        <v/>
      </c>
      <c r="AH20" s="203" t="str">
        <f t="shared" si="3"/>
        <v/>
      </c>
      <c r="AI20" s="204" t="str">
        <f t="shared" si="3"/>
        <v/>
      </c>
      <c r="AJ20" s="205" t="str">
        <f t="shared" si="3"/>
        <v/>
      </c>
      <c r="AK20" s="203" t="str">
        <f t="shared" si="3"/>
        <v/>
      </c>
      <c r="AL20" s="203" t="str">
        <f t="shared" si="3"/>
        <v/>
      </c>
      <c r="AM20" s="204" t="str">
        <f t="shared" si="3"/>
        <v/>
      </c>
      <c r="AN20" s="205" t="str">
        <f t="shared" si="4"/>
        <v/>
      </c>
      <c r="AO20" s="203" t="str">
        <f t="shared" si="4"/>
        <v/>
      </c>
      <c r="AP20" s="203" t="str">
        <f t="shared" si="4"/>
        <v/>
      </c>
      <c r="AQ20" s="204" t="str">
        <f t="shared" si="4"/>
        <v/>
      </c>
      <c r="AR20" s="205" t="str">
        <f t="shared" si="4"/>
        <v/>
      </c>
      <c r="AS20" s="203" t="str">
        <f t="shared" si="4"/>
        <v/>
      </c>
      <c r="AT20" s="203" t="str">
        <f t="shared" si="4"/>
        <v/>
      </c>
      <c r="AU20" s="204" t="str">
        <f t="shared" si="4"/>
        <v/>
      </c>
      <c r="AV20" s="205" t="str">
        <f t="shared" si="4"/>
        <v/>
      </c>
      <c r="AW20" s="203" t="str">
        <f t="shared" si="4"/>
        <v/>
      </c>
      <c r="AX20" s="203" t="str">
        <f t="shared" si="4"/>
        <v/>
      </c>
      <c r="AY20" s="204" t="str">
        <f t="shared" si="4"/>
        <v/>
      </c>
      <c r="AZ20" s="205" t="str">
        <f t="shared" si="4"/>
        <v/>
      </c>
      <c r="BA20" s="203" t="str">
        <f t="shared" si="4"/>
        <v/>
      </c>
      <c r="BB20" s="203" t="str">
        <f t="shared" si="4"/>
        <v/>
      </c>
      <c r="BC20" s="204" t="str">
        <f t="shared" si="4"/>
        <v/>
      </c>
      <c r="BD20" s="205" t="str">
        <f t="shared" si="5"/>
        <v/>
      </c>
      <c r="BE20" s="203" t="str">
        <f t="shared" si="5"/>
        <v/>
      </c>
      <c r="BF20" s="203" t="str">
        <f t="shared" si="5"/>
        <v/>
      </c>
      <c r="BG20" s="204" t="str">
        <f t="shared" si="5"/>
        <v/>
      </c>
      <c r="BH20" s="205" t="str">
        <f t="shared" si="5"/>
        <v/>
      </c>
      <c r="BI20" s="203" t="str">
        <f t="shared" si="5"/>
        <v/>
      </c>
      <c r="BJ20" s="203" t="str">
        <f t="shared" si="5"/>
        <v/>
      </c>
      <c r="BK20" s="204" t="str">
        <f t="shared" si="5"/>
        <v/>
      </c>
      <c r="BL20" s="205" t="str">
        <f t="shared" si="5"/>
        <v/>
      </c>
      <c r="BM20" s="203" t="str">
        <f t="shared" si="5"/>
        <v/>
      </c>
      <c r="BN20" s="203" t="str">
        <f t="shared" si="5"/>
        <v/>
      </c>
      <c r="BO20" s="204" t="str">
        <f t="shared" si="5"/>
        <v/>
      </c>
      <c r="BP20" s="205" t="str">
        <f t="shared" si="6"/>
        <v/>
      </c>
      <c r="BQ20" s="203" t="str">
        <f t="shared" si="6"/>
        <v/>
      </c>
      <c r="BR20" s="203" t="str">
        <f t="shared" si="6"/>
        <v/>
      </c>
      <c r="BS20" s="204" t="str">
        <f t="shared" si="6"/>
        <v/>
      </c>
      <c r="BT20" s="205" t="str">
        <f t="shared" si="6"/>
        <v/>
      </c>
      <c r="BU20" s="203" t="str">
        <f t="shared" si="6"/>
        <v/>
      </c>
      <c r="BV20" s="203" t="str">
        <f t="shared" si="6"/>
        <v/>
      </c>
      <c r="BW20" s="204" t="str">
        <f t="shared" si="6"/>
        <v/>
      </c>
      <c r="BX20" s="205" t="str">
        <f t="shared" si="6"/>
        <v/>
      </c>
      <c r="BY20" s="203" t="str">
        <f t="shared" si="6"/>
        <v/>
      </c>
      <c r="BZ20" s="203" t="str">
        <f t="shared" si="6"/>
        <v/>
      </c>
      <c r="CA20" s="204" t="str">
        <f t="shared" si="6"/>
        <v/>
      </c>
      <c r="CB20" s="205" t="str">
        <f t="shared" si="6"/>
        <v/>
      </c>
      <c r="CC20" s="203" t="str">
        <f t="shared" si="6"/>
        <v/>
      </c>
      <c r="CD20" s="203" t="str">
        <f t="shared" si="6"/>
        <v/>
      </c>
      <c r="CE20" s="204" t="str">
        <f t="shared" si="6"/>
        <v/>
      </c>
    </row>
    <row r="21" spans="1:83" ht="18" customHeight="1">
      <c r="A21" s="22">
        <f>+TABELLA!M25</f>
        <v>0</v>
      </c>
      <c r="B21" s="22">
        <f>+TABELLA!N25</f>
        <v>0</v>
      </c>
      <c r="C21" s="22">
        <f>+TABELLA!O25</f>
        <v>0</v>
      </c>
      <c r="D21" s="22">
        <f>+TABELLA!P25</f>
        <v>0</v>
      </c>
      <c r="E21" s="22"/>
      <c r="F21" s="41">
        <f>IF(TABELLA!B25="","",TABELLA!B25)</f>
        <v>1</v>
      </c>
      <c r="G21" s="42" t="str">
        <f>IF(TABELLA!C25="","",TABELLA!C25)</f>
        <v/>
      </c>
      <c r="H21" s="206" t="str">
        <f t="shared" ref="H21:V21" si="21">IF(AND(G$3&gt;=$A21,G$3&lt;$B21),1,IF(AND(G$3&gt;=$C21,G$3&lt;$D21),1,""))</f>
        <v/>
      </c>
      <c r="I21" s="206" t="str">
        <f t="shared" si="21"/>
        <v/>
      </c>
      <c r="J21" s="206" t="str">
        <f t="shared" si="21"/>
        <v/>
      </c>
      <c r="K21" s="207" t="str">
        <f t="shared" si="21"/>
        <v/>
      </c>
      <c r="L21" s="208" t="str">
        <f t="shared" si="21"/>
        <v/>
      </c>
      <c r="M21" s="206" t="str">
        <f t="shared" si="21"/>
        <v/>
      </c>
      <c r="N21" s="206" t="str">
        <f t="shared" si="21"/>
        <v/>
      </c>
      <c r="O21" s="207" t="str">
        <f t="shared" si="21"/>
        <v/>
      </c>
      <c r="P21" s="208" t="str">
        <f t="shared" si="21"/>
        <v/>
      </c>
      <c r="Q21" s="206" t="str">
        <f t="shared" si="21"/>
        <v/>
      </c>
      <c r="R21" s="206" t="str">
        <f t="shared" si="21"/>
        <v/>
      </c>
      <c r="S21" s="207" t="str">
        <f t="shared" si="21"/>
        <v/>
      </c>
      <c r="T21" s="208" t="str">
        <f t="shared" si="21"/>
        <v/>
      </c>
      <c r="U21" s="206" t="str">
        <f t="shared" si="21"/>
        <v/>
      </c>
      <c r="V21" s="206" t="str">
        <f t="shared" si="21"/>
        <v/>
      </c>
      <c r="W21" s="207" t="str">
        <f t="shared" ref="W21:AL36" si="22">IF(AND(V$3&gt;=$A21,V$3&lt;$B21),1,IF(AND(V$3&gt;=$C21,V$3&lt;$D21),1,""))</f>
        <v/>
      </c>
      <c r="X21" s="208" t="str">
        <f t="shared" si="22"/>
        <v/>
      </c>
      <c r="Y21" s="206" t="str">
        <f t="shared" si="22"/>
        <v/>
      </c>
      <c r="Z21" s="206" t="str">
        <f t="shared" si="22"/>
        <v/>
      </c>
      <c r="AA21" s="207" t="str">
        <f t="shared" si="22"/>
        <v/>
      </c>
      <c r="AB21" s="208" t="str">
        <f t="shared" si="22"/>
        <v/>
      </c>
      <c r="AC21" s="206" t="str">
        <f t="shared" si="22"/>
        <v/>
      </c>
      <c r="AD21" s="206" t="str">
        <f t="shared" si="22"/>
        <v/>
      </c>
      <c r="AE21" s="207" t="str">
        <f t="shared" si="22"/>
        <v/>
      </c>
      <c r="AF21" s="208" t="str">
        <f t="shared" si="22"/>
        <v/>
      </c>
      <c r="AG21" s="206" t="str">
        <f t="shared" si="22"/>
        <v/>
      </c>
      <c r="AH21" s="206" t="str">
        <f t="shared" si="22"/>
        <v/>
      </c>
      <c r="AI21" s="207" t="str">
        <f t="shared" si="22"/>
        <v/>
      </c>
      <c r="AJ21" s="208" t="str">
        <f t="shared" si="22"/>
        <v/>
      </c>
      <c r="AK21" s="206" t="str">
        <f t="shared" si="22"/>
        <v/>
      </c>
      <c r="AL21" s="206" t="str">
        <f t="shared" si="22"/>
        <v/>
      </c>
      <c r="AM21" s="207" t="str">
        <f t="shared" si="3"/>
        <v/>
      </c>
      <c r="AN21" s="208" t="str">
        <f t="shared" si="4"/>
        <v/>
      </c>
      <c r="AO21" s="206" t="str">
        <f t="shared" si="4"/>
        <v/>
      </c>
      <c r="AP21" s="206" t="str">
        <f t="shared" si="4"/>
        <v/>
      </c>
      <c r="AQ21" s="207" t="str">
        <f t="shared" si="4"/>
        <v/>
      </c>
      <c r="AR21" s="208" t="str">
        <f t="shared" si="4"/>
        <v/>
      </c>
      <c r="AS21" s="206" t="str">
        <f t="shared" si="4"/>
        <v/>
      </c>
      <c r="AT21" s="206" t="str">
        <f t="shared" si="4"/>
        <v/>
      </c>
      <c r="AU21" s="207" t="str">
        <f t="shared" si="4"/>
        <v/>
      </c>
      <c r="AV21" s="208" t="str">
        <f t="shared" si="4"/>
        <v/>
      </c>
      <c r="AW21" s="206" t="str">
        <f t="shared" si="4"/>
        <v/>
      </c>
      <c r="AX21" s="206" t="str">
        <f t="shared" si="4"/>
        <v/>
      </c>
      <c r="AY21" s="207" t="str">
        <f t="shared" si="4"/>
        <v/>
      </c>
      <c r="AZ21" s="208" t="str">
        <f t="shared" si="4"/>
        <v/>
      </c>
      <c r="BA21" s="206" t="str">
        <f t="shared" si="4"/>
        <v/>
      </c>
      <c r="BB21" s="206" t="str">
        <f t="shared" si="4"/>
        <v/>
      </c>
      <c r="BC21" s="207" t="str">
        <f t="shared" ref="BC21:BR36" si="23">IF(AND(BB$3&gt;=$A21,BB$3&lt;$B21),1,IF(AND(BB$3&gt;=$C21,BB$3&lt;$D21),1,""))</f>
        <v/>
      </c>
      <c r="BD21" s="208" t="str">
        <f t="shared" si="23"/>
        <v/>
      </c>
      <c r="BE21" s="206" t="str">
        <f t="shared" si="23"/>
        <v/>
      </c>
      <c r="BF21" s="206" t="str">
        <f t="shared" si="23"/>
        <v/>
      </c>
      <c r="BG21" s="207" t="str">
        <f t="shared" si="23"/>
        <v/>
      </c>
      <c r="BH21" s="208" t="str">
        <f t="shared" si="23"/>
        <v/>
      </c>
      <c r="BI21" s="206" t="str">
        <f t="shared" si="23"/>
        <v/>
      </c>
      <c r="BJ21" s="206" t="str">
        <f t="shared" si="23"/>
        <v/>
      </c>
      <c r="BK21" s="207" t="str">
        <f t="shared" si="23"/>
        <v/>
      </c>
      <c r="BL21" s="208" t="str">
        <f t="shared" si="23"/>
        <v/>
      </c>
      <c r="BM21" s="206" t="str">
        <f t="shared" si="23"/>
        <v/>
      </c>
      <c r="BN21" s="206" t="str">
        <f t="shared" si="23"/>
        <v/>
      </c>
      <c r="BO21" s="207" t="str">
        <f t="shared" si="23"/>
        <v/>
      </c>
      <c r="BP21" s="208" t="str">
        <f t="shared" si="6"/>
        <v/>
      </c>
      <c r="BQ21" s="206" t="str">
        <f t="shared" si="6"/>
        <v/>
      </c>
      <c r="BR21" s="206" t="str">
        <f t="shared" si="6"/>
        <v/>
      </c>
      <c r="BS21" s="207" t="str">
        <f t="shared" si="6"/>
        <v/>
      </c>
      <c r="BT21" s="208" t="str">
        <f t="shared" si="6"/>
        <v/>
      </c>
      <c r="BU21" s="206" t="str">
        <f t="shared" si="6"/>
        <v/>
      </c>
      <c r="BV21" s="206" t="str">
        <f t="shared" si="6"/>
        <v/>
      </c>
      <c r="BW21" s="207" t="str">
        <f t="shared" si="6"/>
        <v/>
      </c>
      <c r="BX21" s="208" t="str">
        <f t="shared" si="6"/>
        <v/>
      </c>
      <c r="BY21" s="206" t="str">
        <f t="shared" si="6"/>
        <v/>
      </c>
      <c r="BZ21" s="206" t="str">
        <f t="shared" si="6"/>
        <v/>
      </c>
      <c r="CA21" s="207" t="str">
        <f t="shared" si="6"/>
        <v/>
      </c>
      <c r="CB21" s="208" t="str">
        <f t="shared" si="6"/>
        <v/>
      </c>
      <c r="CC21" s="206" t="str">
        <f t="shared" si="6"/>
        <v/>
      </c>
      <c r="CD21" s="206" t="str">
        <f t="shared" si="6"/>
        <v/>
      </c>
      <c r="CE21" s="207" t="str">
        <f t="shared" si="6"/>
        <v/>
      </c>
    </row>
    <row r="22" spans="1:83" ht="18" customHeight="1">
      <c r="A22" s="22">
        <f>+TABELLA!M26</f>
        <v>0</v>
      </c>
      <c r="B22" s="22">
        <f>+TABELLA!N26</f>
        <v>0</v>
      </c>
      <c r="C22" s="22">
        <f>+TABELLA!O26</f>
        <v>0</v>
      </c>
      <c r="D22" s="22">
        <f>+TABELLA!P26</f>
        <v>0</v>
      </c>
      <c r="E22" s="22"/>
      <c r="F22" s="26">
        <f>IF(TABELLA!B26="","",TABELLA!B26)</f>
        <v>1</v>
      </c>
      <c r="G22" s="27" t="str">
        <f>IF(TABELLA!C26="","",TABELLA!C26)</f>
        <v/>
      </c>
      <c r="H22" s="203" t="str">
        <f t="shared" ref="H22:V22" si="24">IF(AND(G$3&gt;=$A22,G$3&lt;$B22),1,IF(AND(G$3&gt;=$C22,G$3&lt;$D22),1,""))</f>
        <v/>
      </c>
      <c r="I22" s="203" t="str">
        <f t="shared" si="24"/>
        <v/>
      </c>
      <c r="J22" s="203" t="str">
        <f t="shared" si="24"/>
        <v/>
      </c>
      <c r="K22" s="204" t="str">
        <f t="shared" si="24"/>
        <v/>
      </c>
      <c r="L22" s="205" t="str">
        <f t="shared" si="24"/>
        <v/>
      </c>
      <c r="M22" s="203" t="str">
        <f t="shared" si="24"/>
        <v/>
      </c>
      <c r="N22" s="203" t="str">
        <f t="shared" si="24"/>
        <v/>
      </c>
      <c r="O22" s="204" t="str">
        <f t="shared" si="24"/>
        <v/>
      </c>
      <c r="P22" s="205" t="str">
        <f t="shared" si="24"/>
        <v/>
      </c>
      <c r="Q22" s="203" t="str">
        <f t="shared" si="24"/>
        <v/>
      </c>
      <c r="R22" s="203" t="str">
        <f t="shared" si="24"/>
        <v/>
      </c>
      <c r="S22" s="204" t="str">
        <f t="shared" si="24"/>
        <v/>
      </c>
      <c r="T22" s="205" t="str">
        <f t="shared" si="24"/>
        <v/>
      </c>
      <c r="U22" s="203" t="str">
        <f t="shared" si="24"/>
        <v/>
      </c>
      <c r="V22" s="203" t="str">
        <f t="shared" si="24"/>
        <v/>
      </c>
      <c r="W22" s="204" t="str">
        <f t="shared" ref="W22:W36" si="25">IF(AND(V$3&gt;=$A22,V$3&lt;$B22),1,IF(AND(V$3&gt;=$C22,V$3&lt;$D22),1,""))</f>
        <v/>
      </c>
      <c r="X22" s="205" t="str">
        <f t="shared" si="22"/>
        <v/>
      </c>
      <c r="Y22" s="203" t="str">
        <f t="shared" si="22"/>
        <v/>
      </c>
      <c r="Z22" s="203" t="str">
        <f t="shared" si="22"/>
        <v/>
      </c>
      <c r="AA22" s="204" t="str">
        <f t="shared" si="22"/>
        <v/>
      </c>
      <c r="AB22" s="205" t="str">
        <f t="shared" si="22"/>
        <v/>
      </c>
      <c r="AC22" s="203" t="str">
        <f t="shared" si="22"/>
        <v/>
      </c>
      <c r="AD22" s="203" t="str">
        <f t="shared" si="22"/>
        <v/>
      </c>
      <c r="AE22" s="204" t="str">
        <f t="shared" si="22"/>
        <v/>
      </c>
      <c r="AF22" s="205" t="str">
        <f t="shared" si="22"/>
        <v/>
      </c>
      <c r="AG22" s="203" t="str">
        <f t="shared" si="22"/>
        <v/>
      </c>
      <c r="AH22" s="203" t="str">
        <f t="shared" si="22"/>
        <v/>
      </c>
      <c r="AI22" s="204" t="str">
        <f t="shared" si="22"/>
        <v/>
      </c>
      <c r="AJ22" s="205" t="str">
        <f t="shared" si="22"/>
        <v/>
      </c>
      <c r="AK22" s="203" t="str">
        <f t="shared" si="22"/>
        <v/>
      </c>
      <c r="AL22" s="203" t="str">
        <f t="shared" si="22"/>
        <v/>
      </c>
      <c r="AM22" s="204" t="str">
        <f t="shared" ref="AM22:BB37" si="26">IF(AND(AL$3&gt;=$A22,AL$3&lt;$B22),1,IF(AND(AL$3&gt;=$C22,AL$3&lt;$D22),1,""))</f>
        <v/>
      </c>
      <c r="AN22" s="205" t="str">
        <f t="shared" si="26"/>
        <v/>
      </c>
      <c r="AO22" s="203" t="str">
        <f t="shared" si="26"/>
        <v/>
      </c>
      <c r="AP22" s="203" t="str">
        <f t="shared" si="26"/>
        <v/>
      </c>
      <c r="AQ22" s="204" t="str">
        <f t="shared" si="26"/>
        <v/>
      </c>
      <c r="AR22" s="205" t="str">
        <f t="shared" si="26"/>
        <v/>
      </c>
      <c r="AS22" s="203" t="str">
        <f t="shared" si="26"/>
        <v/>
      </c>
      <c r="AT22" s="203" t="str">
        <f t="shared" si="26"/>
        <v/>
      </c>
      <c r="AU22" s="204" t="str">
        <f t="shared" si="26"/>
        <v/>
      </c>
      <c r="AV22" s="205" t="str">
        <f t="shared" si="26"/>
        <v/>
      </c>
      <c r="AW22" s="203" t="str">
        <f t="shared" si="26"/>
        <v/>
      </c>
      <c r="AX22" s="203" t="str">
        <f t="shared" si="26"/>
        <v/>
      </c>
      <c r="AY22" s="204" t="str">
        <f t="shared" si="26"/>
        <v/>
      </c>
      <c r="AZ22" s="205" t="str">
        <f t="shared" si="26"/>
        <v/>
      </c>
      <c r="BA22" s="203" t="str">
        <f t="shared" si="26"/>
        <v/>
      </c>
      <c r="BB22" s="203" t="str">
        <f t="shared" si="26"/>
        <v/>
      </c>
      <c r="BC22" s="204" t="str">
        <f t="shared" si="23"/>
        <v/>
      </c>
      <c r="BD22" s="205" t="str">
        <f t="shared" si="23"/>
        <v/>
      </c>
      <c r="BE22" s="203" t="str">
        <f t="shared" si="23"/>
        <v/>
      </c>
      <c r="BF22" s="203" t="str">
        <f t="shared" si="23"/>
        <v/>
      </c>
      <c r="BG22" s="204" t="str">
        <f t="shared" si="23"/>
        <v/>
      </c>
      <c r="BH22" s="205" t="str">
        <f t="shared" si="23"/>
        <v/>
      </c>
      <c r="BI22" s="203" t="str">
        <f t="shared" si="23"/>
        <v/>
      </c>
      <c r="BJ22" s="203" t="str">
        <f t="shared" si="23"/>
        <v/>
      </c>
      <c r="BK22" s="204" t="str">
        <f t="shared" si="23"/>
        <v/>
      </c>
      <c r="BL22" s="205" t="str">
        <f t="shared" si="23"/>
        <v/>
      </c>
      <c r="BM22" s="203" t="str">
        <f t="shared" si="23"/>
        <v/>
      </c>
      <c r="BN22" s="203" t="str">
        <f t="shared" si="23"/>
        <v/>
      </c>
      <c r="BO22" s="204" t="str">
        <f t="shared" si="23"/>
        <v/>
      </c>
      <c r="BP22" s="205" t="str">
        <f t="shared" si="23"/>
        <v/>
      </c>
      <c r="BQ22" s="203" t="str">
        <f t="shared" si="23"/>
        <v/>
      </c>
      <c r="BR22" s="203" t="str">
        <f t="shared" si="23"/>
        <v/>
      </c>
      <c r="BS22" s="204" t="str">
        <f t="shared" ref="BP22:CE37" si="27">IF(AND(BR$3&gt;=$A22,BR$3&lt;$B22),1,IF(AND(BR$3&gt;=$C22,BR$3&lt;$D22),1,""))</f>
        <v/>
      </c>
      <c r="BT22" s="205" t="str">
        <f t="shared" si="27"/>
        <v/>
      </c>
      <c r="BU22" s="203" t="str">
        <f t="shared" si="27"/>
        <v/>
      </c>
      <c r="BV22" s="203" t="str">
        <f t="shared" si="27"/>
        <v/>
      </c>
      <c r="BW22" s="204" t="str">
        <f t="shared" si="27"/>
        <v/>
      </c>
      <c r="BX22" s="205" t="str">
        <f t="shared" si="27"/>
        <v/>
      </c>
      <c r="BY22" s="203" t="str">
        <f t="shared" si="27"/>
        <v/>
      </c>
      <c r="BZ22" s="203" t="str">
        <f t="shared" si="27"/>
        <v/>
      </c>
      <c r="CA22" s="204" t="str">
        <f t="shared" si="27"/>
        <v/>
      </c>
      <c r="CB22" s="205" t="str">
        <f t="shared" si="27"/>
        <v/>
      </c>
      <c r="CC22" s="203" t="str">
        <f t="shared" si="27"/>
        <v/>
      </c>
      <c r="CD22" s="203" t="str">
        <f t="shared" si="27"/>
        <v/>
      </c>
      <c r="CE22" s="204" t="str">
        <f t="shared" si="27"/>
        <v/>
      </c>
    </row>
    <row r="23" spans="1:83" ht="18" customHeight="1">
      <c r="A23" s="22">
        <f>+TABELLA!M27</f>
        <v>0</v>
      </c>
      <c r="B23" s="22">
        <f>+TABELLA!N27</f>
        <v>0</v>
      </c>
      <c r="C23" s="22">
        <f>+TABELLA!O27</f>
        <v>0</v>
      </c>
      <c r="D23" s="22">
        <f>+TABELLA!P27</f>
        <v>0</v>
      </c>
      <c r="E23" s="22"/>
      <c r="F23" s="41" t="str">
        <f>IF(TABELLA!B27="","",TABELLA!B27)</f>
        <v/>
      </c>
      <c r="G23" s="42" t="str">
        <f>IF(TABELLA!C27="","",TABELLA!C27)</f>
        <v/>
      </c>
      <c r="H23" s="206" t="str">
        <f t="shared" ref="H23:V23" si="28">IF(AND(G$3&gt;=$A23,G$3&lt;$B23),1,IF(AND(G$3&gt;=$C23,G$3&lt;$D23),1,""))</f>
        <v/>
      </c>
      <c r="I23" s="206" t="str">
        <f t="shared" si="28"/>
        <v/>
      </c>
      <c r="J23" s="206" t="str">
        <f t="shared" si="28"/>
        <v/>
      </c>
      <c r="K23" s="207" t="str">
        <f t="shared" si="28"/>
        <v/>
      </c>
      <c r="L23" s="208" t="str">
        <f t="shared" si="28"/>
        <v/>
      </c>
      <c r="M23" s="206" t="str">
        <f t="shared" si="28"/>
        <v/>
      </c>
      <c r="N23" s="206" t="str">
        <f t="shared" si="28"/>
        <v/>
      </c>
      <c r="O23" s="207" t="str">
        <f t="shared" si="28"/>
        <v/>
      </c>
      <c r="P23" s="208" t="str">
        <f t="shared" si="28"/>
        <v/>
      </c>
      <c r="Q23" s="206" t="str">
        <f t="shared" si="28"/>
        <v/>
      </c>
      <c r="R23" s="206" t="str">
        <f t="shared" si="28"/>
        <v/>
      </c>
      <c r="S23" s="207" t="str">
        <f t="shared" si="28"/>
        <v/>
      </c>
      <c r="T23" s="208" t="str">
        <f t="shared" si="28"/>
        <v/>
      </c>
      <c r="U23" s="206" t="str">
        <f t="shared" si="28"/>
        <v/>
      </c>
      <c r="V23" s="206" t="str">
        <f t="shared" si="28"/>
        <v/>
      </c>
      <c r="W23" s="207" t="str">
        <f t="shared" si="25"/>
        <v/>
      </c>
      <c r="X23" s="208" t="str">
        <f t="shared" si="22"/>
        <v/>
      </c>
      <c r="Y23" s="206" t="str">
        <f t="shared" si="22"/>
        <v/>
      </c>
      <c r="Z23" s="206" t="str">
        <f t="shared" si="22"/>
        <v/>
      </c>
      <c r="AA23" s="207" t="str">
        <f t="shared" si="22"/>
        <v/>
      </c>
      <c r="AB23" s="208" t="str">
        <f t="shared" si="22"/>
        <v/>
      </c>
      <c r="AC23" s="206" t="str">
        <f t="shared" si="22"/>
        <v/>
      </c>
      <c r="AD23" s="206" t="str">
        <f t="shared" si="22"/>
        <v/>
      </c>
      <c r="AE23" s="207" t="str">
        <f t="shared" si="22"/>
        <v/>
      </c>
      <c r="AF23" s="208" t="str">
        <f t="shared" si="22"/>
        <v/>
      </c>
      <c r="AG23" s="206" t="str">
        <f t="shared" si="22"/>
        <v/>
      </c>
      <c r="AH23" s="206" t="str">
        <f t="shared" si="22"/>
        <v/>
      </c>
      <c r="AI23" s="207" t="str">
        <f t="shared" si="22"/>
        <v/>
      </c>
      <c r="AJ23" s="208" t="str">
        <f t="shared" si="22"/>
        <v/>
      </c>
      <c r="AK23" s="206" t="str">
        <f t="shared" si="22"/>
        <v/>
      </c>
      <c r="AL23" s="206" t="str">
        <f t="shared" si="22"/>
        <v/>
      </c>
      <c r="AM23" s="207" t="str">
        <f t="shared" si="26"/>
        <v/>
      </c>
      <c r="AN23" s="208" t="str">
        <f t="shared" si="26"/>
        <v/>
      </c>
      <c r="AO23" s="206" t="str">
        <f t="shared" si="26"/>
        <v/>
      </c>
      <c r="AP23" s="206" t="str">
        <f t="shared" si="26"/>
        <v/>
      </c>
      <c r="AQ23" s="207" t="str">
        <f t="shared" si="26"/>
        <v/>
      </c>
      <c r="AR23" s="208" t="str">
        <f t="shared" si="26"/>
        <v/>
      </c>
      <c r="AS23" s="206" t="str">
        <f t="shared" si="26"/>
        <v/>
      </c>
      <c r="AT23" s="206" t="str">
        <f t="shared" si="26"/>
        <v/>
      </c>
      <c r="AU23" s="207" t="str">
        <f t="shared" si="26"/>
        <v/>
      </c>
      <c r="AV23" s="208" t="str">
        <f t="shared" si="26"/>
        <v/>
      </c>
      <c r="AW23" s="206" t="str">
        <f t="shared" si="26"/>
        <v/>
      </c>
      <c r="AX23" s="206" t="str">
        <f t="shared" si="26"/>
        <v/>
      </c>
      <c r="AY23" s="207" t="str">
        <f t="shared" si="26"/>
        <v/>
      </c>
      <c r="AZ23" s="208" t="str">
        <f t="shared" si="26"/>
        <v/>
      </c>
      <c r="BA23" s="206" t="str">
        <f t="shared" si="26"/>
        <v/>
      </c>
      <c r="BB23" s="206" t="str">
        <f t="shared" si="26"/>
        <v/>
      </c>
      <c r="BC23" s="207" t="str">
        <f t="shared" si="23"/>
        <v/>
      </c>
      <c r="BD23" s="208" t="str">
        <f t="shared" si="23"/>
        <v/>
      </c>
      <c r="BE23" s="206" t="str">
        <f t="shared" si="23"/>
        <v/>
      </c>
      <c r="BF23" s="206" t="str">
        <f t="shared" si="23"/>
        <v/>
      </c>
      <c r="BG23" s="207" t="str">
        <f t="shared" si="23"/>
        <v/>
      </c>
      <c r="BH23" s="208" t="str">
        <f t="shared" si="23"/>
        <v/>
      </c>
      <c r="BI23" s="206" t="str">
        <f t="shared" si="23"/>
        <v/>
      </c>
      <c r="BJ23" s="206" t="str">
        <f t="shared" si="23"/>
        <v/>
      </c>
      <c r="BK23" s="207" t="str">
        <f t="shared" si="23"/>
        <v/>
      </c>
      <c r="BL23" s="208" t="str">
        <f t="shared" si="23"/>
        <v/>
      </c>
      <c r="BM23" s="206" t="str">
        <f t="shared" si="23"/>
        <v/>
      </c>
      <c r="BN23" s="206" t="str">
        <f t="shared" si="23"/>
        <v/>
      </c>
      <c r="BO23" s="207" t="str">
        <f t="shared" si="23"/>
        <v/>
      </c>
      <c r="BP23" s="208" t="str">
        <f t="shared" si="27"/>
        <v/>
      </c>
      <c r="BQ23" s="206" t="str">
        <f t="shared" si="27"/>
        <v/>
      </c>
      <c r="BR23" s="206" t="str">
        <f t="shared" si="27"/>
        <v/>
      </c>
      <c r="BS23" s="207" t="str">
        <f t="shared" si="27"/>
        <v/>
      </c>
      <c r="BT23" s="208" t="str">
        <f t="shared" si="27"/>
        <v/>
      </c>
      <c r="BU23" s="206" t="str">
        <f t="shared" si="27"/>
        <v/>
      </c>
      <c r="BV23" s="206" t="str">
        <f t="shared" si="27"/>
        <v/>
      </c>
      <c r="BW23" s="207" t="str">
        <f t="shared" si="27"/>
        <v/>
      </c>
      <c r="BX23" s="208" t="str">
        <f t="shared" si="27"/>
        <v/>
      </c>
      <c r="BY23" s="206" t="str">
        <f t="shared" si="27"/>
        <v/>
      </c>
      <c r="BZ23" s="206" t="str">
        <f t="shared" si="27"/>
        <v/>
      </c>
      <c r="CA23" s="207" t="str">
        <f t="shared" si="27"/>
        <v/>
      </c>
      <c r="CB23" s="208" t="str">
        <f t="shared" si="27"/>
        <v/>
      </c>
      <c r="CC23" s="206" t="str">
        <f t="shared" si="27"/>
        <v/>
      </c>
      <c r="CD23" s="206" t="str">
        <f t="shared" si="27"/>
        <v/>
      </c>
      <c r="CE23" s="207" t="str">
        <f t="shared" si="27"/>
        <v/>
      </c>
    </row>
    <row r="24" spans="1:83" ht="18" customHeight="1">
      <c r="A24" s="22">
        <f>+TABELLA!M28</f>
        <v>0</v>
      </c>
      <c r="B24" s="22">
        <f>+TABELLA!N28</f>
        <v>0</v>
      </c>
      <c r="C24" s="22">
        <f>+TABELLA!O28</f>
        <v>0</v>
      </c>
      <c r="D24" s="22">
        <f>+TABELLA!P28</f>
        <v>0</v>
      </c>
      <c r="E24" s="22"/>
      <c r="F24" s="26">
        <f>IF(TABELLA!B28="","",TABELLA!B28)</f>
        <v>3</v>
      </c>
      <c r="G24" s="27" t="str">
        <f>IF(TABELLA!C28="","",TABELLA!C28)</f>
        <v>SARTORATO TATIANA</v>
      </c>
      <c r="H24" s="203" t="str">
        <f t="shared" ref="H24:V24" si="29">IF(AND(G$3&gt;=$A24,G$3&lt;$B24),1,IF(AND(G$3&gt;=$C24,G$3&lt;$D24),1,""))</f>
        <v/>
      </c>
      <c r="I24" s="203" t="str">
        <f t="shared" si="29"/>
        <v/>
      </c>
      <c r="J24" s="203" t="str">
        <f t="shared" si="29"/>
        <v/>
      </c>
      <c r="K24" s="204" t="str">
        <f t="shared" si="29"/>
        <v/>
      </c>
      <c r="L24" s="205" t="str">
        <f t="shared" si="29"/>
        <v/>
      </c>
      <c r="M24" s="203" t="str">
        <f t="shared" si="29"/>
        <v/>
      </c>
      <c r="N24" s="203" t="str">
        <f t="shared" si="29"/>
        <v/>
      </c>
      <c r="O24" s="204" t="str">
        <f t="shared" si="29"/>
        <v/>
      </c>
      <c r="P24" s="205" t="str">
        <f t="shared" si="29"/>
        <v/>
      </c>
      <c r="Q24" s="203" t="str">
        <f t="shared" si="29"/>
        <v/>
      </c>
      <c r="R24" s="203" t="str">
        <f t="shared" si="29"/>
        <v/>
      </c>
      <c r="S24" s="204" t="str">
        <f t="shared" si="29"/>
        <v/>
      </c>
      <c r="T24" s="205" t="str">
        <f t="shared" si="29"/>
        <v/>
      </c>
      <c r="U24" s="203" t="str">
        <f t="shared" si="29"/>
        <v/>
      </c>
      <c r="V24" s="203" t="str">
        <f t="shared" si="29"/>
        <v/>
      </c>
      <c r="W24" s="204" t="str">
        <f t="shared" si="25"/>
        <v/>
      </c>
      <c r="X24" s="205" t="str">
        <f t="shared" si="22"/>
        <v/>
      </c>
      <c r="Y24" s="203" t="str">
        <f t="shared" si="22"/>
        <v/>
      </c>
      <c r="Z24" s="203" t="str">
        <f t="shared" si="22"/>
        <v/>
      </c>
      <c r="AA24" s="204" t="str">
        <f t="shared" si="22"/>
        <v/>
      </c>
      <c r="AB24" s="205" t="str">
        <f t="shared" si="22"/>
        <v/>
      </c>
      <c r="AC24" s="203" t="str">
        <f t="shared" si="22"/>
        <v/>
      </c>
      <c r="AD24" s="203" t="str">
        <f t="shared" si="22"/>
        <v/>
      </c>
      <c r="AE24" s="204" t="str">
        <f t="shared" si="22"/>
        <v/>
      </c>
      <c r="AF24" s="205" t="str">
        <f t="shared" si="22"/>
        <v/>
      </c>
      <c r="AG24" s="203" t="str">
        <f t="shared" si="22"/>
        <v/>
      </c>
      <c r="AH24" s="203" t="str">
        <f t="shared" si="22"/>
        <v/>
      </c>
      <c r="AI24" s="204" t="str">
        <f t="shared" si="22"/>
        <v/>
      </c>
      <c r="AJ24" s="205" t="str">
        <f t="shared" si="22"/>
        <v/>
      </c>
      <c r="AK24" s="203" t="str">
        <f t="shared" si="22"/>
        <v/>
      </c>
      <c r="AL24" s="203" t="str">
        <f t="shared" si="22"/>
        <v/>
      </c>
      <c r="AM24" s="204" t="str">
        <f t="shared" si="26"/>
        <v/>
      </c>
      <c r="AN24" s="205" t="str">
        <f t="shared" si="26"/>
        <v/>
      </c>
      <c r="AO24" s="203" t="str">
        <f t="shared" si="26"/>
        <v/>
      </c>
      <c r="AP24" s="203" t="str">
        <f t="shared" si="26"/>
        <v/>
      </c>
      <c r="AQ24" s="204" t="str">
        <f t="shared" si="26"/>
        <v/>
      </c>
      <c r="AR24" s="205" t="str">
        <f t="shared" si="26"/>
        <v/>
      </c>
      <c r="AS24" s="203" t="str">
        <f t="shared" si="26"/>
        <v/>
      </c>
      <c r="AT24" s="203" t="str">
        <f t="shared" si="26"/>
        <v/>
      </c>
      <c r="AU24" s="204" t="str">
        <f t="shared" si="26"/>
        <v/>
      </c>
      <c r="AV24" s="205" t="str">
        <f t="shared" si="26"/>
        <v/>
      </c>
      <c r="AW24" s="203" t="str">
        <f t="shared" si="26"/>
        <v/>
      </c>
      <c r="AX24" s="203" t="str">
        <f t="shared" si="26"/>
        <v/>
      </c>
      <c r="AY24" s="204" t="str">
        <f t="shared" si="26"/>
        <v/>
      </c>
      <c r="AZ24" s="205" t="str">
        <f t="shared" si="26"/>
        <v/>
      </c>
      <c r="BA24" s="203" t="str">
        <f t="shared" si="26"/>
        <v/>
      </c>
      <c r="BB24" s="203" t="str">
        <f t="shared" si="26"/>
        <v/>
      </c>
      <c r="BC24" s="204" t="str">
        <f t="shared" si="23"/>
        <v/>
      </c>
      <c r="BD24" s="205" t="str">
        <f t="shared" si="23"/>
        <v/>
      </c>
      <c r="BE24" s="203" t="str">
        <f t="shared" si="23"/>
        <v/>
      </c>
      <c r="BF24" s="203" t="str">
        <f t="shared" si="23"/>
        <v/>
      </c>
      <c r="BG24" s="204" t="str">
        <f t="shared" si="23"/>
        <v/>
      </c>
      <c r="BH24" s="205" t="str">
        <f t="shared" si="23"/>
        <v/>
      </c>
      <c r="BI24" s="203" t="str">
        <f t="shared" si="23"/>
        <v/>
      </c>
      <c r="BJ24" s="203" t="str">
        <f t="shared" si="23"/>
        <v/>
      </c>
      <c r="BK24" s="204" t="str">
        <f t="shared" si="23"/>
        <v/>
      </c>
      <c r="BL24" s="205" t="str">
        <f t="shared" si="23"/>
        <v/>
      </c>
      <c r="BM24" s="203" t="str">
        <f t="shared" si="23"/>
        <v/>
      </c>
      <c r="BN24" s="203" t="str">
        <f t="shared" si="23"/>
        <v/>
      </c>
      <c r="BO24" s="204" t="str">
        <f t="shared" si="23"/>
        <v/>
      </c>
      <c r="BP24" s="205" t="str">
        <f t="shared" si="27"/>
        <v/>
      </c>
      <c r="BQ24" s="203" t="str">
        <f t="shared" si="27"/>
        <v/>
      </c>
      <c r="BR24" s="203" t="str">
        <f t="shared" si="27"/>
        <v/>
      </c>
      <c r="BS24" s="204" t="str">
        <f t="shared" si="27"/>
        <v/>
      </c>
      <c r="BT24" s="205" t="str">
        <f t="shared" si="27"/>
        <v/>
      </c>
      <c r="BU24" s="203" t="str">
        <f t="shared" si="27"/>
        <v/>
      </c>
      <c r="BV24" s="203" t="str">
        <f t="shared" si="27"/>
        <v/>
      </c>
      <c r="BW24" s="204" t="str">
        <f t="shared" si="27"/>
        <v/>
      </c>
      <c r="BX24" s="205" t="str">
        <f t="shared" si="27"/>
        <v/>
      </c>
      <c r="BY24" s="203" t="str">
        <f t="shared" si="27"/>
        <v/>
      </c>
      <c r="BZ24" s="203" t="str">
        <f t="shared" si="27"/>
        <v/>
      </c>
      <c r="CA24" s="204" t="str">
        <f t="shared" si="27"/>
        <v/>
      </c>
      <c r="CB24" s="205" t="str">
        <f t="shared" si="27"/>
        <v/>
      </c>
      <c r="CC24" s="203" t="str">
        <f t="shared" si="27"/>
        <v/>
      </c>
      <c r="CD24" s="203" t="str">
        <f t="shared" si="27"/>
        <v/>
      </c>
      <c r="CE24" s="204" t="str">
        <f t="shared" si="27"/>
        <v/>
      </c>
    </row>
    <row r="25" spans="1:83" ht="18" customHeight="1">
      <c r="A25" s="22">
        <f>+TABELLA!M29</f>
        <v>0</v>
      </c>
      <c r="B25" s="22">
        <f>+TABELLA!N29</f>
        <v>0</v>
      </c>
      <c r="C25" s="22" t="str">
        <f>+TABELLA!O29</f>
        <v>S</v>
      </c>
      <c r="D25" s="22">
        <f>+TABELLA!P29</f>
        <v>0</v>
      </c>
      <c r="E25" s="22"/>
      <c r="F25" s="41">
        <f>IF(TABELLA!B29="","",TABELLA!B29)</f>
        <v>3</v>
      </c>
      <c r="G25" s="42" t="str">
        <f>IF(TABELLA!C29="","",TABELLA!C29)</f>
        <v>CATALDO MARIKA</v>
      </c>
      <c r="H25" s="206" t="str">
        <f t="shared" ref="H25:V25" si="30">IF(AND(G$3&gt;=$A25,G$3&lt;$B25),1,IF(AND(G$3&gt;=$C25,G$3&lt;$D25),1,""))</f>
        <v/>
      </c>
      <c r="I25" s="206" t="str">
        <f t="shared" si="30"/>
        <v/>
      </c>
      <c r="J25" s="206" t="str">
        <f t="shared" si="30"/>
        <v/>
      </c>
      <c r="K25" s="207" t="str">
        <f t="shared" si="30"/>
        <v/>
      </c>
      <c r="L25" s="208" t="str">
        <f t="shared" si="30"/>
        <v/>
      </c>
      <c r="M25" s="206" t="str">
        <f t="shared" si="30"/>
        <v/>
      </c>
      <c r="N25" s="206" t="str">
        <f t="shared" si="30"/>
        <v/>
      </c>
      <c r="O25" s="207" t="str">
        <f t="shared" si="30"/>
        <v/>
      </c>
      <c r="P25" s="208" t="str">
        <f t="shared" si="30"/>
        <v/>
      </c>
      <c r="Q25" s="206" t="str">
        <f t="shared" si="30"/>
        <v/>
      </c>
      <c r="R25" s="206" t="str">
        <f t="shared" si="30"/>
        <v/>
      </c>
      <c r="S25" s="207" t="str">
        <f t="shared" si="30"/>
        <v/>
      </c>
      <c r="T25" s="208" t="str">
        <f t="shared" si="30"/>
        <v/>
      </c>
      <c r="U25" s="206" t="str">
        <f t="shared" si="30"/>
        <v/>
      </c>
      <c r="V25" s="206" t="str">
        <f t="shared" si="30"/>
        <v/>
      </c>
      <c r="W25" s="207" t="str">
        <f t="shared" si="25"/>
        <v/>
      </c>
      <c r="X25" s="208" t="str">
        <f t="shared" si="22"/>
        <v/>
      </c>
      <c r="Y25" s="206" t="str">
        <f t="shared" si="22"/>
        <v/>
      </c>
      <c r="Z25" s="206" t="str">
        <f t="shared" si="22"/>
        <v/>
      </c>
      <c r="AA25" s="207" t="str">
        <f t="shared" si="22"/>
        <v/>
      </c>
      <c r="AB25" s="208" t="str">
        <f t="shared" si="22"/>
        <v/>
      </c>
      <c r="AC25" s="206" t="str">
        <f t="shared" si="22"/>
        <v/>
      </c>
      <c r="AD25" s="206" t="str">
        <f t="shared" si="22"/>
        <v/>
      </c>
      <c r="AE25" s="207" t="str">
        <f t="shared" si="22"/>
        <v/>
      </c>
      <c r="AF25" s="208" t="str">
        <f t="shared" si="22"/>
        <v/>
      </c>
      <c r="AG25" s="206" t="str">
        <f t="shared" si="22"/>
        <v/>
      </c>
      <c r="AH25" s="206" t="str">
        <f t="shared" si="22"/>
        <v/>
      </c>
      <c r="AI25" s="207" t="str">
        <f t="shared" si="22"/>
        <v/>
      </c>
      <c r="AJ25" s="208" t="str">
        <f t="shared" si="22"/>
        <v/>
      </c>
      <c r="AK25" s="206" t="str">
        <f t="shared" si="22"/>
        <v/>
      </c>
      <c r="AL25" s="206" t="str">
        <f t="shared" si="22"/>
        <v/>
      </c>
      <c r="AM25" s="207" t="str">
        <f t="shared" si="26"/>
        <v/>
      </c>
      <c r="AN25" s="208" t="str">
        <f t="shared" si="26"/>
        <v/>
      </c>
      <c r="AO25" s="206" t="str">
        <f t="shared" si="26"/>
        <v/>
      </c>
      <c r="AP25" s="206" t="str">
        <f t="shared" si="26"/>
        <v/>
      </c>
      <c r="AQ25" s="207" t="str">
        <f t="shared" si="26"/>
        <v/>
      </c>
      <c r="AR25" s="208" t="str">
        <f t="shared" si="26"/>
        <v/>
      </c>
      <c r="AS25" s="206" t="str">
        <f t="shared" si="26"/>
        <v/>
      </c>
      <c r="AT25" s="206" t="str">
        <f t="shared" si="26"/>
        <v/>
      </c>
      <c r="AU25" s="207" t="str">
        <f t="shared" si="26"/>
        <v/>
      </c>
      <c r="AV25" s="208" t="str">
        <f t="shared" si="26"/>
        <v/>
      </c>
      <c r="AW25" s="206" t="str">
        <f t="shared" si="26"/>
        <v/>
      </c>
      <c r="AX25" s="206" t="str">
        <f t="shared" si="26"/>
        <v/>
      </c>
      <c r="AY25" s="207" t="str">
        <f t="shared" si="26"/>
        <v/>
      </c>
      <c r="AZ25" s="208" t="str">
        <f t="shared" si="26"/>
        <v/>
      </c>
      <c r="BA25" s="206" t="str">
        <f t="shared" si="26"/>
        <v/>
      </c>
      <c r="BB25" s="206" t="str">
        <f t="shared" si="26"/>
        <v/>
      </c>
      <c r="BC25" s="207" t="str">
        <f t="shared" si="23"/>
        <v/>
      </c>
      <c r="BD25" s="208" t="str">
        <f t="shared" si="23"/>
        <v/>
      </c>
      <c r="BE25" s="206" t="str">
        <f t="shared" si="23"/>
        <v/>
      </c>
      <c r="BF25" s="206" t="str">
        <f t="shared" si="23"/>
        <v/>
      </c>
      <c r="BG25" s="207" t="str">
        <f t="shared" si="23"/>
        <v/>
      </c>
      <c r="BH25" s="208" t="str">
        <f t="shared" si="23"/>
        <v/>
      </c>
      <c r="BI25" s="206" t="str">
        <f t="shared" si="23"/>
        <v/>
      </c>
      <c r="BJ25" s="206" t="str">
        <f t="shared" si="23"/>
        <v/>
      </c>
      <c r="BK25" s="207" t="str">
        <f t="shared" si="23"/>
        <v/>
      </c>
      <c r="BL25" s="208" t="str">
        <f t="shared" si="23"/>
        <v/>
      </c>
      <c r="BM25" s="206" t="str">
        <f t="shared" si="23"/>
        <v/>
      </c>
      <c r="BN25" s="206" t="str">
        <f t="shared" si="23"/>
        <v/>
      </c>
      <c r="BO25" s="207" t="str">
        <f t="shared" si="23"/>
        <v/>
      </c>
      <c r="BP25" s="208" t="str">
        <f t="shared" si="27"/>
        <v/>
      </c>
      <c r="BQ25" s="206" t="str">
        <f t="shared" si="27"/>
        <v/>
      </c>
      <c r="BR25" s="206" t="str">
        <f t="shared" si="27"/>
        <v/>
      </c>
      <c r="BS25" s="207" t="str">
        <f t="shared" si="27"/>
        <v/>
      </c>
      <c r="BT25" s="208" t="str">
        <f t="shared" si="27"/>
        <v/>
      </c>
      <c r="BU25" s="206" t="str">
        <f t="shared" si="27"/>
        <v/>
      </c>
      <c r="BV25" s="206" t="str">
        <f t="shared" si="27"/>
        <v/>
      </c>
      <c r="BW25" s="207" t="str">
        <f t="shared" si="27"/>
        <v/>
      </c>
      <c r="BX25" s="208" t="str">
        <f t="shared" si="27"/>
        <v/>
      </c>
      <c r="BY25" s="206" t="str">
        <f t="shared" si="27"/>
        <v/>
      </c>
      <c r="BZ25" s="206" t="str">
        <f t="shared" si="27"/>
        <v/>
      </c>
      <c r="CA25" s="207" t="str">
        <f t="shared" si="27"/>
        <v/>
      </c>
      <c r="CB25" s="208" t="str">
        <f t="shared" si="27"/>
        <v/>
      </c>
      <c r="CC25" s="206" t="str">
        <f t="shared" si="27"/>
        <v/>
      </c>
      <c r="CD25" s="206" t="str">
        <f t="shared" si="27"/>
        <v/>
      </c>
      <c r="CE25" s="207" t="str">
        <f t="shared" si="27"/>
        <v/>
      </c>
    </row>
    <row r="26" spans="1:83" ht="18" customHeight="1">
      <c r="A26" s="22">
        <f>+TABELLA!M30</f>
        <v>0</v>
      </c>
      <c r="B26" s="22">
        <f>+TABELLA!N30</f>
        <v>0</v>
      </c>
      <c r="C26" s="22">
        <f>+TABELLA!O30</f>
        <v>0</v>
      </c>
      <c r="D26" s="22">
        <f>+TABELLA!P30</f>
        <v>0</v>
      </c>
      <c r="E26" s="22"/>
      <c r="F26" s="26">
        <f>IF(TABELLA!B30="","",TABELLA!B30)</f>
        <v>3</v>
      </c>
      <c r="G26" s="27" t="str">
        <f>IF(TABELLA!C30="","",TABELLA!C30)</f>
        <v>ALDARWISH HASSAN</v>
      </c>
      <c r="H26" s="203" t="str">
        <f t="shared" ref="H26:V26" si="31">IF(AND(G$3&gt;=$A26,G$3&lt;$B26),1,IF(AND(G$3&gt;=$C26,G$3&lt;$D26),1,""))</f>
        <v/>
      </c>
      <c r="I26" s="203" t="str">
        <f t="shared" si="31"/>
        <v/>
      </c>
      <c r="J26" s="203" t="str">
        <f t="shared" si="31"/>
        <v/>
      </c>
      <c r="K26" s="204" t="str">
        <f t="shared" si="31"/>
        <v/>
      </c>
      <c r="L26" s="205" t="str">
        <f t="shared" si="31"/>
        <v/>
      </c>
      <c r="M26" s="203" t="str">
        <f t="shared" si="31"/>
        <v/>
      </c>
      <c r="N26" s="203" t="str">
        <f t="shared" si="31"/>
        <v/>
      </c>
      <c r="O26" s="204" t="str">
        <f t="shared" si="31"/>
        <v/>
      </c>
      <c r="P26" s="205" t="str">
        <f t="shared" si="31"/>
        <v/>
      </c>
      <c r="Q26" s="203" t="str">
        <f t="shared" si="31"/>
        <v/>
      </c>
      <c r="R26" s="203" t="str">
        <f t="shared" si="31"/>
        <v/>
      </c>
      <c r="S26" s="204" t="str">
        <f t="shared" si="31"/>
        <v/>
      </c>
      <c r="T26" s="205" t="str">
        <f t="shared" si="31"/>
        <v/>
      </c>
      <c r="U26" s="203" t="str">
        <f t="shared" si="31"/>
        <v/>
      </c>
      <c r="V26" s="203" t="str">
        <f t="shared" si="31"/>
        <v/>
      </c>
      <c r="W26" s="204" t="str">
        <f t="shared" si="25"/>
        <v/>
      </c>
      <c r="X26" s="205" t="str">
        <f t="shared" si="22"/>
        <v/>
      </c>
      <c r="Y26" s="203" t="str">
        <f t="shared" si="22"/>
        <v/>
      </c>
      <c r="Z26" s="203" t="str">
        <f t="shared" si="22"/>
        <v/>
      </c>
      <c r="AA26" s="204" t="str">
        <f t="shared" si="22"/>
        <v/>
      </c>
      <c r="AB26" s="205" t="str">
        <f t="shared" si="22"/>
        <v/>
      </c>
      <c r="AC26" s="203" t="str">
        <f t="shared" si="22"/>
        <v/>
      </c>
      <c r="AD26" s="203" t="str">
        <f t="shared" si="22"/>
        <v/>
      </c>
      <c r="AE26" s="204" t="str">
        <f t="shared" si="22"/>
        <v/>
      </c>
      <c r="AF26" s="205" t="str">
        <f t="shared" si="22"/>
        <v/>
      </c>
      <c r="AG26" s="203" t="str">
        <f t="shared" si="22"/>
        <v/>
      </c>
      <c r="AH26" s="203" t="str">
        <f t="shared" si="22"/>
        <v/>
      </c>
      <c r="AI26" s="204" t="str">
        <f t="shared" si="22"/>
        <v/>
      </c>
      <c r="AJ26" s="205" t="str">
        <f t="shared" si="22"/>
        <v/>
      </c>
      <c r="AK26" s="203" t="str">
        <f t="shared" si="22"/>
        <v/>
      </c>
      <c r="AL26" s="203" t="str">
        <f t="shared" si="22"/>
        <v/>
      </c>
      <c r="AM26" s="204" t="str">
        <f t="shared" si="26"/>
        <v/>
      </c>
      <c r="AN26" s="205" t="str">
        <f t="shared" si="26"/>
        <v/>
      </c>
      <c r="AO26" s="203" t="str">
        <f t="shared" si="26"/>
        <v/>
      </c>
      <c r="AP26" s="203" t="str">
        <f t="shared" si="26"/>
        <v/>
      </c>
      <c r="AQ26" s="204" t="str">
        <f t="shared" si="26"/>
        <v/>
      </c>
      <c r="AR26" s="205" t="str">
        <f t="shared" si="26"/>
        <v/>
      </c>
      <c r="AS26" s="203" t="str">
        <f t="shared" si="26"/>
        <v/>
      </c>
      <c r="AT26" s="203" t="str">
        <f t="shared" si="26"/>
        <v/>
      </c>
      <c r="AU26" s="204" t="str">
        <f t="shared" si="26"/>
        <v/>
      </c>
      <c r="AV26" s="205" t="str">
        <f t="shared" si="26"/>
        <v/>
      </c>
      <c r="AW26" s="203" t="str">
        <f t="shared" si="26"/>
        <v/>
      </c>
      <c r="AX26" s="203" t="str">
        <f t="shared" si="26"/>
        <v/>
      </c>
      <c r="AY26" s="204" t="str">
        <f t="shared" si="26"/>
        <v/>
      </c>
      <c r="AZ26" s="205" t="str">
        <f t="shared" si="26"/>
        <v/>
      </c>
      <c r="BA26" s="203" t="str">
        <f t="shared" si="26"/>
        <v/>
      </c>
      <c r="BB26" s="203" t="str">
        <f t="shared" si="26"/>
        <v/>
      </c>
      <c r="BC26" s="204" t="str">
        <f t="shared" si="23"/>
        <v/>
      </c>
      <c r="BD26" s="205" t="str">
        <f t="shared" si="23"/>
        <v/>
      </c>
      <c r="BE26" s="203" t="str">
        <f t="shared" si="23"/>
        <v/>
      </c>
      <c r="BF26" s="203" t="str">
        <f t="shared" si="23"/>
        <v/>
      </c>
      <c r="BG26" s="204" t="str">
        <f t="shared" si="23"/>
        <v/>
      </c>
      <c r="BH26" s="205" t="str">
        <f t="shared" si="23"/>
        <v/>
      </c>
      <c r="BI26" s="203" t="str">
        <f t="shared" si="23"/>
        <v/>
      </c>
      <c r="BJ26" s="203" t="str">
        <f t="shared" si="23"/>
        <v/>
      </c>
      <c r="BK26" s="204" t="str">
        <f t="shared" si="23"/>
        <v/>
      </c>
      <c r="BL26" s="205" t="str">
        <f t="shared" si="23"/>
        <v/>
      </c>
      <c r="BM26" s="203" t="str">
        <f t="shared" si="23"/>
        <v/>
      </c>
      <c r="BN26" s="203" t="str">
        <f t="shared" si="23"/>
        <v/>
      </c>
      <c r="BO26" s="204" t="str">
        <f t="shared" si="23"/>
        <v/>
      </c>
      <c r="BP26" s="205" t="str">
        <f t="shared" si="27"/>
        <v/>
      </c>
      <c r="BQ26" s="203" t="str">
        <f t="shared" si="27"/>
        <v/>
      </c>
      <c r="BR26" s="203" t="str">
        <f t="shared" si="27"/>
        <v/>
      </c>
      <c r="BS26" s="204" t="str">
        <f t="shared" si="27"/>
        <v/>
      </c>
      <c r="BT26" s="205" t="str">
        <f t="shared" si="27"/>
        <v/>
      </c>
      <c r="BU26" s="203" t="str">
        <f t="shared" si="27"/>
        <v/>
      </c>
      <c r="BV26" s="203" t="str">
        <f t="shared" si="27"/>
        <v/>
      </c>
      <c r="BW26" s="204" t="str">
        <f t="shared" si="27"/>
        <v/>
      </c>
      <c r="BX26" s="205" t="str">
        <f t="shared" si="27"/>
        <v/>
      </c>
      <c r="BY26" s="203" t="str">
        <f t="shared" si="27"/>
        <v/>
      </c>
      <c r="BZ26" s="203" t="str">
        <f t="shared" si="27"/>
        <v/>
      </c>
      <c r="CA26" s="204" t="str">
        <f t="shared" si="27"/>
        <v/>
      </c>
      <c r="CB26" s="205" t="str">
        <f t="shared" si="27"/>
        <v/>
      </c>
      <c r="CC26" s="203" t="str">
        <f t="shared" si="27"/>
        <v/>
      </c>
      <c r="CD26" s="203" t="str">
        <f t="shared" si="27"/>
        <v/>
      </c>
      <c r="CE26" s="204" t="str">
        <f t="shared" si="27"/>
        <v/>
      </c>
    </row>
    <row r="27" spans="1:83" ht="18" customHeight="1">
      <c r="A27" s="22">
        <f>+TABELLA!M31</f>
        <v>0</v>
      </c>
      <c r="B27" s="22">
        <f>+TABELLA!N31</f>
        <v>0</v>
      </c>
      <c r="C27" s="22">
        <f>+TABELLA!O31</f>
        <v>0</v>
      </c>
      <c r="D27" s="22">
        <f>+TABELLA!P31</f>
        <v>0</v>
      </c>
      <c r="E27" s="22"/>
      <c r="F27" s="41" t="str">
        <f>IF(TABELLA!B31="","",TABELLA!B31)</f>
        <v/>
      </c>
      <c r="G27" s="42" t="str">
        <f>IF(TABELLA!C31="","",TABELLA!C31)</f>
        <v/>
      </c>
      <c r="H27" s="206" t="str">
        <f t="shared" ref="H27:V27" si="32">IF(AND(G$3&gt;=$A27,G$3&lt;$B27),1,IF(AND(G$3&gt;=$C27,G$3&lt;$D27),1,""))</f>
        <v/>
      </c>
      <c r="I27" s="206" t="str">
        <f t="shared" si="32"/>
        <v/>
      </c>
      <c r="J27" s="206" t="str">
        <f t="shared" si="32"/>
        <v/>
      </c>
      <c r="K27" s="207" t="str">
        <f t="shared" si="32"/>
        <v/>
      </c>
      <c r="L27" s="208" t="str">
        <f t="shared" si="32"/>
        <v/>
      </c>
      <c r="M27" s="206" t="str">
        <f t="shared" si="32"/>
        <v/>
      </c>
      <c r="N27" s="206" t="str">
        <f t="shared" si="32"/>
        <v/>
      </c>
      <c r="O27" s="207" t="str">
        <f t="shared" si="32"/>
        <v/>
      </c>
      <c r="P27" s="208" t="str">
        <f t="shared" si="32"/>
        <v/>
      </c>
      <c r="Q27" s="206" t="str">
        <f t="shared" si="32"/>
        <v/>
      </c>
      <c r="R27" s="206" t="str">
        <f t="shared" si="32"/>
        <v/>
      </c>
      <c r="S27" s="207" t="str">
        <f t="shared" si="32"/>
        <v/>
      </c>
      <c r="T27" s="208" t="str">
        <f t="shared" si="32"/>
        <v/>
      </c>
      <c r="U27" s="206" t="str">
        <f t="shared" si="32"/>
        <v/>
      </c>
      <c r="V27" s="206" t="str">
        <f t="shared" si="32"/>
        <v/>
      </c>
      <c r="W27" s="207" t="str">
        <f t="shared" si="25"/>
        <v/>
      </c>
      <c r="X27" s="208" t="str">
        <f t="shared" si="22"/>
        <v/>
      </c>
      <c r="Y27" s="206" t="str">
        <f t="shared" si="22"/>
        <v/>
      </c>
      <c r="Z27" s="206" t="str">
        <f t="shared" si="22"/>
        <v/>
      </c>
      <c r="AA27" s="207" t="str">
        <f t="shared" si="22"/>
        <v/>
      </c>
      <c r="AB27" s="208" t="str">
        <f t="shared" si="22"/>
        <v/>
      </c>
      <c r="AC27" s="206" t="str">
        <f t="shared" si="22"/>
        <v/>
      </c>
      <c r="AD27" s="206" t="str">
        <f t="shared" si="22"/>
        <v/>
      </c>
      <c r="AE27" s="207" t="str">
        <f t="shared" si="22"/>
        <v/>
      </c>
      <c r="AF27" s="208" t="str">
        <f t="shared" si="22"/>
        <v/>
      </c>
      <c r="AG27" s="206" t="str">
        <f t="shared" si="22"/>
        <v/>
      </c>
      <c r="AH27" s="206" t="str">
        <f t="shared" si="22"/>
        <v/>
      </c>
      <c r="AI27" s="207" t="str">
        <f t="shared" si="22"/>
        <v/>
      </c>
      <c r="AJ27" s="208" t="str">
        <f t="shared" si="22"/>
        <v/>
      </c>
      <c r="AK27" s="206" t="str">
        <f t="shared" si="22"/>
        <v/>
      </c>
      <c r="AL27" s="206" t="str">
        <f t="shared" si="22"/>
        <v/>
      </c>
      <c r="AM27" s="207" t="str">
        <f t="shared" si="26"/>
        <v/>
      </c>
      <c r="AN27" s="208" t="str">
        <f t="shared" si="26"/>
        <v/>
      </c>
      <c r="AO27" s="206" t="str">
        <f t="shared" si="26"/>
        <v/>
      </c>
      <c r="AP27" s="206" t="str">
        <f t="shared" si="26"/>
        <v/>
      </c>
      <c r="AQ27" s="207" t="str">
        <f t="shared" si="26"/>
        <v/>
      </c>
      <c r="AR27" s="208" t="str">
        <f t="shared" si="26"/>
        <v/>
      </c>
      <c r="AS27" s="206" t="str">
        <f t="shared" si="26"/>
        <v/>
      </c>
      <c r="AT27" s="206" t="str">
        <f t="shared" si="26"/>
        <v/>
      </c>
      <c r="AU27" s="207" t="str">
        <f t="shared" si="26"/>
        <v/>
      </c>
      <c r="AV27" s="208" t="str">
        <f t="shared" si="26"/>
        <v/>
      </c>
      <c r="AW27" s="206" t="str">
        <f t="shared" si="26"/>
        <v/>
      </c>
      <c r="AX27" s="206" t="str">
        <f t="shared" si="26"/>
        <v/>
      </c>
      <c r="AY27" s="207" t="str">
        <f t="shared" si="26"/>
        <v/>
      </c>
      <c r="AZ27" s="208" t="str">
        <f t="shared" si="26"/>
        <v/>
      </c>
      <c r="BA27" s="206" t="str">
        <f t="shared" si="26"/>
        <v/>
      </c>
      <c r="BB27" s="206" t="str">
        <f t="shared" si="26"/>
        <v/>
      </c>
      <c r="BC27" s="207" t="str">
        <f t="shared" si="23"/>
        <v/>
      </c>
      <c r="BD27" s="208" t="str">
        <f t="shared" si="23"/>
        <v/>
      </c>
      <c r="BE27" s="206" t="str">
        <f t="shared" si="23"/>
        <v/>
      </c>
      <c r="BF27" s="206" t="str">
        <f t="shared" si="23"/>
        <v/>
      </c>
      <c r="BG27" s="207" t="str">
        <f t="shared" si="23"/>
        <v/>
      </c>
      <c r="BH27" s="208" t="str">
        <f t="shared" si="23"/>
        <v/>
      </c>
      <c r="BI27" s="206" t="str">
        <f t="shared" si="23"/>
        <v/>
      </c>
      <c r="BJ27" s="206" t="str">
        <f t="shared" si="23"/>
        <v/>
      </c>
      <c r="BK27" s="207" t="str">
        <f t="shared" si="23"/>
        <v/>
      </c>
      <c r="BL27" s="208" t="str">
        <f t="shared" si="23"/>
        <v/>
      </c>
      <c r="BM27" s="206" t="str">
        <f t="shared" si="23"/>
        <v/>
      </c>
      <c r="BN27" s="206" t="str">
        <f t="shared" si="23"/>
        <v/>
      </c>
      <c r="BO27" s="207" t="str">
        <f t="shared" si="23"/>
        <v/>
      </c>
      <c r="BP27" s="208" t="str">
        <f t="shared" si="27"/>
        <v/>
      </c>
      <c r="BQ27" s="206" t="str">
        <f t="shared" si="27"/>
        <v/>
      </c>
      <c r="BR27" s="206" t="str">
        <f t="shared" si="27"/>
        <v/>
      </c>
      <c r="BS27" s="207" t="str">
        <f t="shared" si="27"/>
        <v/>
      </c>
      <c r="BT27" s="208" t="str">
        <f t="shared" si="27"/>
        <v/>
      </c>
      <c r="BU27" s="206" t="str">
        <f t="shared" si="27"/>
        <v/>
      </c>
      <c r="BV27" s="206" t="str">
        <f t="shared" si="27"/>
        <v/>
      </c>
      <c r="BW27" s="207" t="str">
        <f t="shared" si="27"/>
        <v/>
      </c>
      <c r="BX27" s="208" t="str">
        <f t="shared" si="27"/>
        <v/>
      </c>
      <c r="BY27" s="206" t="str">
        <f t="shared" si="27"/>
        <v/>
      </c>
      <c r="BZ27" s="206" t="str">
        <f t="shared" si="27"/>
        <v/>
      </c>
      <c r="CA27" s="207" t="str">
        <f t="shared" si="27"/>
        <v/>
      </c>
      <c r="CB27" s="208" t="str">
        <f t="shared" si="27"/>
        <v/>
      </c>
      <c r="CC27" s="206" t="str">
        <f t="shared" si="27"/>
        <v/>
      </c>
      <c r="CD27" s="206" t="str">
        <f t="shared" si="27"/>
        <v/>
      </c>
      <c r="CE27" s="207" t="str">
        <f t="shared" si="27"/>
        <v/>
      </c>
    </row>
    <row r="28" spans="1:83" ht="18" customHeight="1">
      <c r="A28" s="22">
        <f>+TABELLA!M32</f>
        <v>0</v>
      </c>
      <c r="B28" s="22">
        <f>+TABELLA!N32</f>
        <v>0</v>
      </c>
      <c r="C28" s="22">
        <f>+TABELLA!O32</f>
        <v>0</v>
      </c>
      <c r="D28" s="22">
        <f>+TABELLA!P32</f>
        <v>0</v>
      </c>
      <c r="E28" s="22"/>
      <c r="F28" s="26">
        <f>IF(TABELLA!B32="","",TABELLA!B32)</f>
        <v>2</v>
      </c>
      <c r="G28" s="27" t="str">
        <f>IF(TABELLA!C32="","",TABELLA!C32)</f>
        <v/>
      </c>
      <c r="H28" s="203" t="str">
        <f t="shared" ref="H28:V28" si="33">IF(AND(G$3&gt;=$A28,G$3&lt;$B28),1,IF(AND(G$3&gt;=$C28,G$3&lt;$D28),1,""))</f>
        <v/>
      </c>
      <c r="I28" s="203" t="str">
        <f t="shared" si="33"/>
        <v/>
      </c>
      <c r="J28" s="203" t="str">
        <f t="shared" si="33"/>
        <v/>
      </c>
      <c r="K28" s="204" t="str">
        <f t="shared" si="33"/>
        <v/>
      </c>
      <c r="L28" s="205" t="str">
        <f t="shared" si="33"/>
        <v/>
      </c>
      <c r="M28" s="203" t="str">
        <f t="shared" si="33"/>
        <v/>
      </c>
      <c r="N28" s="203" t="str">
        <f t="shared" si="33"/>
        <v/>
      </c>
      <c r="O28" s="204" t="str">
        <f t="shared" si="33"/>
        <v/>
      </c>
      <c r="P28" s="205" t="str">
        <f t="shared" si="33"/>
        <v/>
      </c>
      <c r="Q28" s="203" t="str">
        <f t="shared" si="33"/>
        <v/>
      </c>
      <c r="R28" s="203" t="str">
        <f t="shared" si="33"/>
        <v/>
      </c>
      <c r="S28" s="204" t="str">
        <f t="shared" si="33"/>
        <v/>
      </c>
      <c r="T28" s="205" t="str">
        <f t="shared" si="33"/>
        <v/>
      </c>
      <c r="U28" s="203" t="str">
        <f t="shared" si="33"/>
        <v/>
      </c>
      <c r="V28" s="203" t="str">
        <f t="shared" si="33"/>
        <v/>
      </c>
      <c r="W28" s="204" t="str">
        <f t="shared" si="25"/>
        <v/>
      </c>
      <c r="X28" s="205" t="str">
        <f t="shared" si="22"/>
        <v/>
      </c>
      <c r="Y28" s="203" t="str">
        <f t="shared" si="22"/>
        <v/>
      </c>
      <c r="Z28" s="203" t="str">
        <f t="shared" si="22"/>
        <v/>
      </c>
      <c r="AA28" s="204" t="str">
        <f t="shared" si="22"/>
        <v/>
      </c>
      <c r="AB28" s="205" t="str">
        <f t="shared" si="22"/>
        <v/>
      </c>
      <c r="AC28" s="203" t="str">
        <f t="shared" si="22"/>
        <v/>
      </c>
      <c r="AD28" s="203" t="str">
        <f t="shared" si="22"/>
        <v/>
      </c>
      <c r="AE28" s="204" t="str">
        <f t="shared" si="22"/>
        <v/>
      </c>
      <c r="AF28" s="205" t="str">
        <f t="shared" si="22"/>
        <v/>
      </c>
      <c r="AG28" s="203" t="str">
        <f t="shared" si="22"/>
        <v/>
      </c>
      <c r="AH28" s="203" t="str">
        <f t="shared" si="22"/>
        <v/>
      </c>
      <c r="AI28" s="204" t="str">
        <f t="shared" si="22"/>
        <v/>
      </c>
      <c r="AJ28" s="205" t="str">
        <f t="shared" si="22"/>
        <v/>
      </c>
      <c r="AK28" s="203" t="str">
        <f t="shared" si="22"/>
        <v/>
      </c>
      <c r="AL28" s="203" t="str">
        <f t="shared" si="22"/>
        <v/>
      </c>
      <c r="AM28" s="204" t="str">
        <f t="shared" si="26"/>
        <v/>
      </c>
      <c r="AN28" s="205" t="str">
        <f t="shared" si="26"/>
        <v/>
      </c>
      <c r="AO28" s="203" t="str">
        <f t="shared" si="26"/>
        <v/>
      </c>
      <c r="AP28" s="203" t="str">
        <f t="shared" si="26"/>
        <v/>
      </c>
      <c r="AQ28" s="204" t="str">
        <f t="shared" si="26"/>
        <v/>
      </c>
      <c r="AR28" s="205" t="str">
        <f t="shared" si="26"/>
        <v/>
      </c>
      <c r="AS28" s="203" t="str">
        <f t="shared" si="26"/>
        <v/>
      </c>
      <c r="AT28" s="203" t="str">
        <f t="shared" si="26"/>
        <v/>
      </c>
      <c r="AU28" s="204" t="str">
        <f t="shared" si="26"/>
        <v/>
      </c>
      <c r="AV28" s="205" t="str">
        <f t="shared" si="26"/>
        <v/>
      </c>
      <c r="AW28" s="203" t="str">
        <f t="shared" si="26"/>
        <v/>
      </c>
      <c r="AX28" s="203" t="str">
        <f t="shared" si="26"/>
        <v/>
      </c>
      <c r="AY28" s="204" t="str">
        <f t="shared" si="26"/>
        <v/>
      </c>
      <c r="AZ28" s="205" t="str">
        <f t="shared" si="26"/>
        <v/>
      </c>
      <c r="BA28" s="203" t="str">
        <f t="shared" si="26"/>
        <v/>
      </c>
      <c r="BB28" s="203" t="str">
        <f t="shared" si="26"/>
        <v/>
      </c>
      <c r="BC28" s="204" t="str">
        <f t="shared" si="23"/>
        <v/>
      </c>
      <c r="BD28" s="205" t="str">
        <f t="shared" si="23"/>
        <v/>
      </c>
      <c r="BE28" s="203" t="str">
        <f t="shared" si="23"/>
        <v/>
      </c>
      <c r="BF28" s="203" t="str">
        <f t="shared" si="23"/>
        <v/>
      </c>
      <c r="BG28" s="204" t="str">
        <f t="shared" si="23"/>
        <v/>
      </c>
      <c r="BH28" s="205" t="str">
        <f t="shared" si="23"/>
        <v/>
      </c>
      <c r="BI28" s="203" t="str">
        <f t="shared" si="23"/>
        <v/>
      </c>
      <c r="BJ28" s="203" t="str">
        <f t="shared" si="23"/>
        <v/>
      </c>
      <c r="BK28" s="204" t="str">
        <f t="shared" si="23"/>
        <v/>
      </c>
      <c r="BL28" s="205" t="str">
        <f t="shared" si="23"/>
        <v/>
      </c>
      <c r="BM28" s="203" t="str">
        <f t="shared" si="23"/>
        <v/>
      </c>
      <c r="BN28" s="203" t="str">
        <f t="shared" si="23"/>
        <v/>
      </c>
      <c r="BO28" s="204" t="str">
        <f t="shared" si="23"/>
        <v/>
      </c>
      <c r="BP28" s="205" t="str">
        <f t="shared" si="27"/>
        <v/>
      </c>
      <c r="BQ28" s="203" t="str">
        <f t="shared" si="27"/>
        <v/>
      </c>
      <c r="BR28" s="203" t="str">
        <f t="shared" si="27"/>
        <v/>
      </c>
      <c r="BS28" s="204" t="str">
        <f t="shared" si="27"/>
        <v/>
      </c>
      <c r="BT28" s="205" t="str">
        <f t="shared" si="27"/>
        <v/>
      </c>
      <c r="BU28" s="203" t="str">
        <f t="shared" si="27"/>
        <v/>
      </c>
      <c r="BV28" s="203" t="str">
        <f t="shared" si="27"/>
        <v/>
      </c>
      <c r="BW28" s="204" t="str">
        <f t="shared" si="27"/>
        <v/>
      </c>
      <c r="BX28" s="205" t="str">
        <f t="shared" si="27"/>
        <v/>
      </c>
      <c r="BY28" s="203" t="str">
        <f t="shared" si="27"/>
        <v/>
      </c>
      <c r="BZ28" s="203" t="str">
        <f t="shared" si="27"/>
        <v/>
      </c>
      <c r="CA28" s="204" t="str">
        <f t="shared" si="27"/>
        <v/>
      </c>
      <c r="CB28" s="205" t="str">
        <f t="shared" si="27"/>
        <v/>
      </c>
      <c r="CC28" s="203" t="str">
        <f t="shared" si="27"/>
        <v/>
      </c>
      <c r="CD28" s="203" t="str">
        <f t="shared" si="27"/>
        <v/>
      </c>
      <c r="CE28" s="204" t="str">
        <f t="shared" si="27"/>
        <v/>
      </c>
    </row>
    <row r="29" spans="1:83" ht="18" customHeight="1">
      <c r="A29" s="22">
        <f>+TABELLA!M33</f>
        <v>0</v>
      </c>
      <c r="B29" s="22">
        <f>+TABELLA!N33</f>
        <v>0</v>
      </c>
      <c r="C29" s="22">
        <f>+TABELLA!O33</f>
        <v>0</v>
      </c>
      <c r="D29" s="22">
        <f>+TABELLA!P33</f>
        <v>0</v>
      </c>
      <c r="E29" s="22"/>
      <c r="F29" s="41" t="str">
        <f>IF(TABELLA!B33="","",TABELLA!B33)</f>
        <v/>
      </c>
      <c r="G29" s="42" t="str">
        <f>IF(TABELLA!C33="","",TABELLA!C33)</f>
        <v/>
      </c>
      <c r="H29" s="206" t="str">
        <f t="shared" ref="H29:V29" si="34">IF(AND(G$3&gt;=$A29,G$3&lt;$B29),1,IF(AND(G$3&gt;=$C29,G$3&lt;$D29),1,""))</f>
        <v/>
      </c>
      <c r="I29" s="206" t="str">
        <f t="shared" si="34"/>
        <v/>
      </c>
      <c r="J29" s="206" t="str">
        <f t="shared" si="34"/>
        <v/>
      </c>
      <c r="K29" s="207" t="str">
        <f t="shared" si="34"/>
        <v/>
      </c>
      <c r="L29" s="208" t="str">
        <f t="shared" si="34"/>
        <v/>
      </c>
      <c r="M29" s="206" t="str">
        <f t="shared" si="34"/>
        <v/>
      </c>
      <c r="N29" s="206" t="str">
        <f t="shared" si="34"/>
        <v/>
      </c>
      <c r="O29" s="207" t="str">
        <f t="shared" si="34"/>
        <v/>
      </c>
      <c r="P29" s="208" t="str">
        <f t="shared" si="34"/>
        <v/>
      </c>
      <c r="Q29" s="206" t="str">
        <f t="shared" si="34"/>
        <v/>
      </c>
      <c r="R29" s="206" t="str">
        <f t="shared" si="34"/>
        <v/>
      </c>
      <c r="S29" s="207" t="str">
        <f t="shared" si="34"/>
        <v/>
      </c>
      <c r="T29" s="208" t="str">
        <f t="shared" si="34"/>
        <v/>
      </c>
      <c r="U29" s="206" t="str">
        <f t="shared" si="34"/>
        <v/>
      </c>
      <c r="V29" s="206" t="str">
        <f t="shared" si="34"/>
        <v/>
      </c>
      <c r="W29" s="207" t="str">
        <f t="shared" si="25"/>
        <v/>
      </c>
      <c r="X29" s="208" t="str">
        <f t="shared" si="22"/>
        <v/>
      </c>
      <c r="Y29" s="206" t="str">
        <f t="shared" si="22"/>
        <v/>
      </c>
      <c r="Z29" s="206" t="str">
        <f t="shared" si="22"/>
        <v/>
      </c>
      <c r="AA29" s="207" t="str">
        <f t="shared" si="22"/>
        <v/>
      </c>
      <c r="AB29" s="208" t="str">
        <f t="shared" si="22"/>
        <v/>
      </c>
      <c r="AC29" s="206" t="str">
        <f t="shared" si="22"/>
        <v/>
      </c>
      <c r="AD29" s="206" t="str">
        <f t="shared" si="22"/>
        <v/>
      </c>
      <c r="AE29" s="207" t="str">
        <f t="shared" si="22"/>
        <v/>
      </c>
      <c r="AF29" s="208" t="str">
        <f t="shared" si="22"/>
        <v/>
      </c>
      <c r="AG29" s="206" t="str">
        <f t="shared" si="22"/>
        <v/>
      </c>
      <c r="AH29" s="206" t="str">
        <f t="shared" si="22"/>
        <v/>
      </c>
      <c r="AI29" s="207" t="str">
        <f t="shared" si="22"/>
        <v/>
      </c>
      <c r="AJ29" s="208" t="str">
        <f t="shared" si="22"/>
        <v/>
      </c>
      <c r="AK29" s="206" t="str">
        <f t="shared" si="22"/>
        <v/>
      </c>
      <c r="AL29" s="206" t="str">
        <f t="shared" si="22"/>
        <v/>
      </c>
      <c r="AM29" s="207" t="str">
        <f t="shared" si="26"/>
        <v/>
      </c>
      <c r="AN29" s="208" t="str">
        <f t="shared" si="26"/>
        <v/>
      </c>
      <c r="AO29" s="206" t="str">
        <f t="shared" si="26"/>
        <v/>
      </c>
      <c r="AP29" s="206" t="str">
        <f t="shared" si="26"/>
        <v/>
      </c>
      <c r="AQ29" s="207" t="str">
        <f t="shared" si="26"/>
        <v/>
      </c>
      <c r="AR29" s="208" t="str">
        <f t="shared" si="26"/>
        <v/>
      </c>
      <c r="AS29" s="206" t="str">
        <f t="shared" si="26"/>
        <v/>
      </c>
      <c r="AT29" s="206" t="str">
        <f t="shared" si="26"/>
        <v/>
      </c>
      <c r="AU29" s="207" t="str">
        <f t="shared" si="26"/>
        <v/>
      </c>
      <c r="AV29" s="208" t="str">
        <f t="shared" si="26"/>
        <v/>
      </c>
      <c r="AW29" s="206" t="str">
        <f t="shared" si="26"/>
        <v/>
      </c>
      <c r="AX29" s="206" t="str">
        <f t="shared" si="26"/>
        <v/>
      </c>
      <c r="AY29" s="207" t="str">
        <f t="shared" si="26"/>
        <v/>
      </c>
      <c r="AZ29" s="208" t="str">
        <f t="shared" si="26"/>
        <v/>
      </c>
      <c r="BA29" s="206" t="str">
        <f t="shared" si="26"/>
        <v/>
      </c>
      <c r="BB29" s="206" t="str">
        <f t="shared" si="26"/>
        <v/>
      </c>
      <c r="BC29" s="207" t="str">
        <f t="shared" si="23"/>
        <v/>
      </c>
      <c r="BD29" s="208" t="str">
        <f t="shared" si="23"/>
        <v/>
      </c>
      <c r="BE29" s="206" t="str">
        <f t="shared" si="23"/>
        <v/>
      </c>
      <c r="BF29" s="206" t="str">
        <f t="shared" si="23"/>
        <v/>
      </c>
      <c r="BG29" s="207" t="str">
        <f t="shared" si="23"/>
        <v/>
      </c>
      <c r="BH29" s="208" t="str">
        <f t="shared" si="23"/>
        <v/>
      </c>
      <c r="BI29" s="206" t="str">
        <f t="shared" si="23"/>
        <v/>
      </c>
      <c r="BJ29" s="206" t="str">
        <f t="shared" si="23"/>
        <v/>
      </c>
      <c r="BK29" s="207" t="str">
        <f t="shared" si="23"/>
        <v/>
      </c>
      <c r="BL29" s="208" t="str">
        <f t="shared" si="23"/>
        <v/>
      </c>
      <c r="BM29" s="206" t="str">
        <f t="shared" si="23"/>
        <v/>
      </c>
      <c r="BN29" s="206" t="str">
        <f t="shared" si="23"/>
        <v/>
      </c>
      <c r="BO29" s="207" t="str">
        <f t="shared" si="23"/>
        <v/>
      </c>
      <c r="BP29" s="208" t="str">
        <f t="shared" si="27"/>
        <v/>
      </c>
      <c r="BQ29" s="206" t="str">
        <f t="shared" si="27"/>
        <v/>
      </c>
      <c r="BR29" s="206" t="str">
        <f t="shared" si="27"/>
        <v/>
      </c>
      <c r="BS29" s="207" t="str">
        <f t="shared" si="27"/>
        <v/>
      </c>
      <c r="BT29" s="208" t="str">
        <f t="shared" si="27"/>
        <v/>
      </c>
      <c r="BU29" s="206" t="str">
        <f t="shared" si="27"/>
        <v/>
      </c>
      <c r="BV29" s="206" t="str">
        <f t="shared" si="27"/>
        <v/>
      </c>
      <c r="BW29" s="207" t="str">
        <f t="shared" si="27"/>
        <v/>
      </c>
      <c r="BX29" s="208" t="str">
        <f t="shared" si="27"/>
        <v/>
      </c>
      <c r="BY29" s="206" t="str">
        <f t="shared" si="27"/>
        <v/>
      </c>
      <c r="BZ29" s="206" t="str">
        <f t="shared" si="27"/>
        <v/>
      </c>
      <c r="CA29" s="207" t="str">
        <f t="shared" si="27"/>
        <v/>
      </c>
      <c r="CB29" s="208" t="str">
        <f t="shared" si="27"/>
        <v/>
      </c>
      <c r="CC29" s="206" t="str">
        <f t="shared" si="27"/>
        <v/>
      </c>
      <c r="CD29" s="206" t="str">
        <f t="shared" si="27"/>
        <v/>
      </c>
      <c r="CE29" s="207" t="str">
        <f t="shared" si="27"/>
        <v/>
      </c>
    </row>
    <row r="30" spans="1:83" ht="18" customHeight="1">
      <c r="A30" s="22">
        <f>+TABELLA!M34</f>
        <v>0</v>
      </c>
      <c r="B30" s="22">
        <f>+TABELLA!N34</f>
        <v>0</v>
      </c>
      <c r="C30" s="22">
        <f>+TABELLA!O34</f>
        <v>0</v>
      </c>
      <c r="D30" s="22">
        <f>+TABELLA!P34</f>
        <v>0</v>
      </c>
      <c r="E30" s="22"/>
      <c r="F30" s="26">
        <f>IF(TABELLA!B34="","",TABELLA!B34)</f>
        <v>8</v>
      </c>
      <c r="G30" s="27" t="str">
        <f>IF(TABELLA!C34="","",TABELLA!C34)</f>
        <v>VALENTINI TAMARA</v>
      </c>
      <c r="H30" s="203" t="str">
        <f t="shared" ref="H30:V30" si="35">IF(AND(G$3&gt;=$A30,G$3&lt;$B30),1,IF(AND(G$3&gt;=$C30,G$3&lt;$D30),1,""))</f>
        <v/>
      </c>
      <c r="I30" s="203" t="str">
        <f t="shared" si="35"/>
        <v/>
      </c>
      <c r="J30" s="203" t="str">
        <f t="shared" si="35"/>
        <v/>
      </c>
      <c r="K30" s="204" t="str">
        <f t="shared" si="35"/>
        <v/>
      </c>
      <c r="L30" s="205" t="str">
        <f t="shared" si="35"/>
        <v/>
      </c>
      <c r="M30" s="203" t="str">
        <f t="shared" si="35"/>
        <v/>
      </c>
      <c r="N30" s="203" t="str">
        <f t="shared" si="35"/>
        <v/>
      </c>
      <c r="O30" s="204" t="str">
        <f t="shared" si="35"/>
        <v/>
      </c>
      <c r="P30" s="205" t="str">
        <f t="shared" si="35"/>
        <v/>
      </c>
      <c r="Q30" s="203" t="str">
        <f t="shared" si="35"/>
        <v/>
      </c>
      <c r="R30" s="203" t="str">
        <f t="shared" si="35"/>
        <v/>
      </c>
      <c r="S30" s="204" t="str">
        <f t="shared" si="35"/>
        <v/>
      </c>
      <c r="T30" s="205" t="str">
        <f t="shared" si="35"/>
        <v/>
      </c>
      <c r="U30" s="203" t="str">
        <f t="shared" si="35"/>
        <v/>
      </c>
      <c r="V30" s="203" t="str">
        <f t="shared" si="35"/>
        <v/>
      </c>
      <c r="W30" s="204" t="str">
        <f t="shared" si="25"/>
        <v/>
      </c>
      <c r="X30" s="205" t="str">
        <f t="shared" si="22"/>
        <v/>
      </c>
      <c r="Y30" s="203" t="str">
        <f t="shared" si="22"/>
        <v/>
      </c>
      <c r="Z30" s="203" t="str">
        <f t="shared" si="22"/>
        <v/>
      </c>
      <c r="AA30" s="204" t="str">
        <f t="shared" si="22"/>
        <v/>
      </c>
      <c r="AB30" s="205" t="str">
        <f t="shared" si="22"/>
        <v/>
      </c>
      <c r="AC30" s="203" t="str">
        <f t="shared" si="22"/>
        <v/>
      </c>
      <c r="AD30" s="203" t="str">
        <f t="shared" si="22"/>
        <v/>
      </c>
      <c r="AE30" s="204" t="str">
        <f t="shared" si="22"/>
        <v/>
      </c>
      <c r="AF30" s="205" t="str">
        <f t="shared" si="22"/>
        <v/>
      </c>
      <c r="AG30" s="203" t="str">
        <f t="shared" si="22"/>
        <v/>
      </c>
      <c r="AH30" s="203" t="str">
        <f t="shared" si="22"/>
        <v/>
      </c>
      <c r="AI30" s="204" t="str">
        <f t="shared" si="22"/>
        <v/>
      </c>
      <c r="AJ30" s="205" t="str">
        <f t="shared" si="22"/>
        <v/>
      </c>
      <c r="AK30" s="203" t="str">
        <f t="shared" si="22"/>
        <v/>
      </c>
      <c r="AL30" s="203" t="str">
        <f t="shared" si="22"/>
        <v/>
      </c>
      <c r="AM30" s="204" t="str">
        <f t="shared" si="26"/>
        <v/>
      </c>
      <c r="AN30" s="205" t="str">
        <f t="shared" si="26"/>
        <v/>
      </c>
      <c r="AO30" s="203" t="str">
        <f t="shared" si="26"/>
        <v/>
      </c>
      <c r="AP30" s="203" t="str">
        <f t="shared" si="26"/>
        <v/>
      </c>
      <c r="AQ30" s="204" t="str">
        <f t="shared" si="26"/>
        <v/>
      </c>
      <c r="AR30" s="205" t="str">
        <f t="shared" si="26"/>
        <v/>
      </c>
      <c r="AS30" s="203" t="str">
        <f t="shared" si="26"/>
        <v/>
      </c>
      <c r="AT30" s="203" t="str">
        <f t="shared" si="26"/>
        <v/>
      </c>
      <c r="AU30" s="204" t="str">
        <f t="shared" si="26"/>
        <v/>
      </c>
      <c r="AV30" s="205" t="str">
        <f t="shared" si="26"/>
        <v/>
      </c>
      <c r="AW30" s="203" t="str">
        <f t="shared" si="26"/>
        <v/>
      </c>
      <c r="AX30" s="203" t="str">
        <f t="shared" si="26"/>
        <v/>
      </c>
      <c r="AY30" s="204" t="str">
        <f t="shared" si="26"/>
        <v/>
      </c>
      <c r="AZ30" s="205" t="str">
        <f t="shared" si="26"/>
        <v/>
      </c>
      <c r="BA30" s="203" t="str">
        <f t="shared" si="26"/>
        <v/>
      </c>
      <c r="BB30" s="203" t="str">
        <f t="shared" si="26"/>
        <v/>
      </c>
      <c r="BC30" s="204" t="str">
        <f t="shared" si="23"/>
        <v/>
      </c>
      <c r="BD30" s="205" t="str">
        <f t="shared" si="23"/>
        <v/>
      </c>
      <c r="BE30" s="203" t="str">
        <f t="shared" si="23"/>
        <v/>
      </c>
      <c r="BF30" s="203" t="str">
        <f t="shared" si="23"/>
        <v/>
      </c>
      <c r="BG30" s="204" t="str">
        <f t="shared" si="23"/>
        <v/>
      </c>
      <c r="BH30" s="205" t="str">
        <f t="shared" si="23"/>
        <v/>
      </c>
      <c r="BI30" s="203" t="str">
        <f t="shared" si="23"/>
        <v/>
      </c>
      <c r="BJ30" s="203" t="str">
        <f t="shared" si="23"/>
        <v/>
      </c>
      <c r="BK30" s="204" t="str">
        <f t="shared" si="23"/>
        <v/>
      </c>
      <c r="BL30" s="205" t="str">
        <f t="shared" si="23"/>
        <v/>
      </c>
      <c r="BM30" s="203" t="str">
        <f t="shared" si="23"/>
        <v/>
      </c>
      <c r="BN30" s="203" t="str">
        <f t="shared" si="23"/>
        <v/>
      </c>
      <c r="BO30" s="204" t="str">
        <f t="shared" si="23"/>
        <v/>
      </c>
      <c r="BP30" s="205" t="str">
        <f t="shared" si="27"/>
        <v/>
      </c>
      <c r="BQ30" s="203" t="str">
        <f t="shared" si="27"/>
        <v/>
      </c>
      <c r="BR30" s="203" t="str">
        <f t="shared" si="27"/>
        <v/>
      </c>
      <c r="BS30" s="204" t="str">
        <f t="shared" si="27"/>
        <v/>
      </c>
      <c r="BT30" s="205" t="str">
        <f t="shared" si="27"/>
        <v/>
      </c>
      <c r="BU30" s="203" t="str">
        <f t="shared" si="27"/>
        <v/>
      </c>
      <c r="BV30" s="203" t="str">
        <f t="shared" si="27"/>
        <v/>
      </c>
      <c r="BW30" s="204" t="str">
        <f t="shared" si="27"/>
        <v/>
      </c>
      <c r="BX30" s="205" t="str">
        <f t="shared" si="27"/>
        <v/>
      </c>
      <c r="BY30" s="203" t="str">
        <f t="shared" si="27"/>
        <v/>
      </c>
      <c r="BZ30" s="203" t="str">
        <f t="shared" si="27"/>
        <v/>
      </c>
      <c r="CA30" s="204" t="str">
        <f t="shared" si="27"/>
        <v/>
      </c>
      <c r="CB30" s="205" t="str">
        <f t="shared" si="27"/>
        <v/>
      </c>
      <c r="CC30" s="203" t="str">
        <f t="shared" si="27"/>
        <v/>
      </c>
      <c r="CD30" s="203" t="str">
        <f t="shared" si="27"/>
        <v/>
      </c>
      <c r="CE30" s="204" t="str">
        <f t="shared" si="27"/>
        <v/>
      </c>
    </row>
    <row r="31" spans="1:83" ht="18" customHeight="1">
      <c r="A31" s="22">
        <f>+TABELLA!M35</f>
        <v>0</v>
      </c>
      <c r="B31" s="22">
        <f>+TABELLA!N35</f>
        <v>0</v>
      </c>
      <c r="C31" s="22">
        <f>+TABELLA!O35</f>
        <v>0</v>
      </c>
      <c r="D31" s="22">
        <f>+TABELLA!P35</f>
        <v>0</v>
      </c>
      <c r="E31" s="22"/>
      <c r="F31" s="41" t="str">
        <f>IF(TABELLA!B35="","",TABELLA!B35)</f>
        <v/>
      </c>
      <c r="G31" s="42" t="str">
        <f>IF(TABELLA!C35="","",TABELLA!C35)</f>
        <v/>
      </c>
      <c r="H31" s="206" t="str">
        <f t="shared" ref="H31:V31" si="36">IF(AND(G$3&gt;=$A31,G$3&lt;$B31),1,IF(AND(G$3&gt;=$C31,G$3&lt;$D31),1,""))</f>
        <v/>
      </c>
      <c r="I31" s="206" t="str">
        <f t="shared" si="36"/>
        <v/>
      </c>
      <c r="J31" s="206" t="str">
        <f t="shared" si="36"/>
        <v/>
      </c>
      <c r="K31" s="207" t="str">
        <f t="shared" si="36"/>
        <v/>
      </c>
      <c r="L31" s="208" t="str">
        <f t="shared" si="36"/>
        <v/>
      </c>
      <c r="M31" s="206" t="str">
        <f t="shared" si="36"/>
        <v/>
      </c>
      <c r="N31" s="206" t="str">
        <f t="shared" si="36"/>
        <v/>
      </c>
      <c r="O31" s="207" t="str">
        <f t="shared" si="36"/>
        <v/>
      </c>
      <c r="P31" s="208" t="str">
        <f t="shared" si="36"/>
        <v/>
      </c>
      <c r="Q31" s="206" t="str">
        <f t="shared" si="36"/>
        <v/>
      </c>
      <c r="R31" s="206" t="str">
        <f t="shared" si="36"/>
        <v/>
      </c>
      <c r="S31" s="207" t="str">
        <f t="shared" si="36"/>
        <v/>
      </c>
      <c r="T31" s="208" t="str">
        <f t="shared" si="36"/>
        <v/>
      </c>
      <c r="U31" s="206" t="str">
        <f t="shared" si="36"/>
        <v/>
      </c>
      <c r="V31" s="206" t="str">
        <f t="shared" si="36"/>
        <v/>
      </c>
      <c r="W31" s="207" t="str">
        <f t="shared" si="25"/>
        <v/>
      </c>
      <c r="X31" s="208" t="str">
        <f t="shared" si="22"/>
        <v/>
      </c>
      <c r="Y31" s="206" t="str">
        <f t="shared" si="22"/>
        <v/>
      </c>
      <c r="Z31" s="206" t="str">
        <f t="shared" si="22"/>
        <v/>
      </c>
      <c r="AA31" s="207" t="str">
        <f t="shared" si="22"/>
        <v/>
      </c>
      <c r="AB31" s="208" t="str">
        <f t="shared" si="22"/>
        <v/>
      </c>
      <c r="AC31" s="206" t="str">
        <f t="shared" si="22"/>
        <v/>
      </c>
      <c r="AD31" s="206" t="str">
        <f t="shared" si="22"/>
        <v/>
      </c>
      <c r="AE31" s="207" t="str">
        <f t="shared" si="22"/>
        <v/>
      </c>
      <c r="AF31" s="208" t="str">
        <f t="shared" si="22"/>
        <v/>
      </c>
      <c r="AG31" s="206" t="str">
        <f t="shared" si="22"/>
        <v/>
      </c>
      <c r="AH31" s="206" t="str">
        <f t="shared" si="22"/>
        <v/>
      </c>
      <c r="AI31" s="207" t="str">
        <f t="shared" si="22"/>
        <v/>
      </c>
      <c r="AJ31" s="208" t="str">
        <f t="shared" si="22"/>
        <v/>
      </c>
      <c r="AK31" s="206" t="str">
        <f t="shared" si="22"/>
        <v/>
      </c>
      <c r="AL31" s="206" t="str">
        <f t="shared" si="22"/>
        <v/>
      </c>
      <c r="AM31" s="207" t="str">
        <f t="shared" si="26"/>
        <v/>
      </c>
      <c r="AN31" s="208" t="str">
        <f t="shared" si="26"/>
        <v/>
      </c>
      <c r="AO31" s="206" t="str">
        <f t="shared" si="26"/>
        <v/>
      </c>
      <c r="AP31" s="206" t="str">
        <f t="shared" si="26"/>
        <v/>
      </c>
      <c r="AQ31" s="207" t="str">
        <f t="shared" si="26"/>
        <v/>
      </c>
      <c r="AR31" s="208" t="str">
        <f t="shared" si="26"/>
        <v/>
      </c>
      <c r="AS31" s="206" t="str">
        <f t="shared" si="26"/>
        <v/>
      </c>
      <c r="AT31" s="206" t="str">
        <f t="shared" si="26"/>
        <v/>
      </c>
      <c r="AU31" s="207" t="str">
        <f t="shared" si="26"/>
        <v/>
      </c>
      <c r="AV31" s="208" t="str">
        <f t="shared" si="26"/>
        <v/>
      </c>
      <c r="AW31" s="206" t="str">
        <f t="shared" si="26"/>
        <v/>
      </c>
      <c r="AX31" s="206" t="str">
        <f t="shared" si="26"/>
        <v/>
      </c>
      <c r="AY31" s="207" t="str">
        <f t="shared" si="26"/>
        <v/>
      </c>
      <c r="AZ31" s="208" t="str">
        <f t="shared" si="26"/>
        <v/>
      </c>
      <c r="BA31" s="206" t="str">
        <f t="shared" si="26"/>
        <v/>
      </c>
      <c r="BB31" s="206" t="str">
        <f t="shared" si="26"/>
        <v/>
      </c>
      <c r="BC31" s="207" t="str">
        <f t="shared" si="23"/>
        <v/>
      </c>
      <c r="BD31" s="208" t="str">
        <f t="shared" si="23"/>
        <v/>
      </c>
      <c r="BE31" s="206" t="str">
        <f t="shared" si="23"/>
        <v/>
      </c>
      <c r="BF31" s="206" t="str">
        <f t="shared" si="23"/>
        <v/>
      </c>
      <c r="BG31" s="207" t="str">
        <f t="shared" si="23"/>
        <v/>
      </c>
      <c r="BH31" s="208" t="str">
        <f t="shared" si="23"/>
        <v/>
      </c>
      <c r="BI31" s="206" t="str">
        <f t="shared" si="23"/>
        <v/>
      </c>
      <c r="BJ31" s="206" t="str">
        <f t="shared" si="23"/>
        <v/>
      </c>
      <c r="BK31" s="207" t="str">
        <f t="shared" si="23"/>
        <v/>
      </c>
      <c r="BL31" s="208" t="str">
        <f t="shared" si="23"/>
        <v/>
      </c>
      <c r="BM31" s="206" t="str">
        <f t="shared" si="23"/>
        <v/>
      </c>
      <c r="BN31" s="206" t="str">
        <f t="shared" si="23"/>
        <v/>
      </c>
      <c r="BO31" s="207" t="str">
        <f t="shared" si="23"/>
        <v/>
      </c>
      <c r="BP31" s="208" t="str">
        <f t="shared" si="27"/>
        <v/>
      </c>
      <c r="BQ31" s="206" t="str">
        <f t="shared" si="27"/>
        <v/>
      </c>
      <c r="BR31" s="206" t="str">
        <f t="shared" si="27"/>
        <v/>
      </c>
      <c r="BS31" s="207" t="str">
        <f t="shared" si="27"/>
        <v/>
      </c>
      <c r="BT31" s="208" t="str">
        <f t="shared" si="27"/>
        <v/>
      </c>
      <c r="BU31" s="206" t="str">
        <f t="shared" si="27"/>
        <v/>
      </c>
      <c r="BV31" s="206" t="str">
        <f t="shared" si="27"/>
        <v/>
      </c>
      <c r="BW31" s="207" t="str">
        <f t="shared" si="27"/>
        <v/>
      </c>
      <c r="BX31" s="208" t="str">
        <f t="shared" si="27"/>
        <v/>
      </c>
      <c r="BY31" s="206" t="str">
        <f t="shared" si="27"/>
        <v/>
      </c>
      <c r="BZ31" s="206" t="str">
        <f t="shared" si="27"/>
        <v/>
      </c>
      <c r="CA31" s="207" t="str">
        <f t="shared" si="27"/>
        <v/>
      </c>
      <c r="CB31" s="208" t="str">
        <f t="shared" si="27"/>
        <v/>
      </c>
      <c r="CC31" s="206" t="str">
        <f t="shared" si="27"/>
        <v/>
      </c>
      <c r="CD31" s="206" t="str">
        <f t="shared" si="27"/>
        <v/>
      </c>
      <c r="CE31" s="207" t="str">
        <f t="shared" si="27"/>
        <v/>
      </c>
    </row>
    <row r="32" spans="1:83" ht="18" customHeight="1">
      <c r="A32" s="22">
        <f>+TABELLA!M36</f>
        <v>0</v>
      </c>
      <c r="B32" s="22">
        <f>+TABELLA!N36</f>
        <v>0</v>
      </c>
      <c r="C32" s="22">
        <f>+TABELLA!O36</f>
        <v>0</v>
      </c>
      <c r="D32" s="22">
        <f>+TABELLA!P36</f>
        <v>0</v>
      </c>
      <c r="E32" s="22"/>
      <c r="F32" s="26" t="str">
        <f>IF(TABELLA!B36="","",TABELLA!B36)</f>
        <v/>
      </c>
      <c r="G32" s="27" t="str">
        <f>IF(TABELLA!C36="","",TABELLA!C36)</f>
        <v/>
      </c>
      <c r="H32" s="203" t="str">
        <f t="shared" ref="H32:V32" si="37">IF(AND(G$3&gt;=$A32,G$3&lt;$B32),1,IF(AND(G$3&gt;=$C32,G$3&lt;$D32),1,""))</f>
        <v/>
      </c>
      <c r="I32" s="203" t="str">
        <f t="shared" si="37"/>
        <v/>
      </c>
      <c r="J32" s="203" t="str">
        <f t="shared" si="37"/>
        <v/>
      </c>
      <c r="K32" s="204" t="str">
        <f t="shared" si="37"/>
        <v/>
      </c>
      <c r="L32" s="205" t="str">
        <f t="shared" si="37"/>
        <v/>
      </c>
      <c r="M32" s="203" t="str">
        <f t="shared" si="37"/>
        <v/>
      </c>
      <c r="N32" s="203" t="str">
        <f t="shared" si="37"/>
        <v/>
      </c>
      <c r="O32" s="204" t="str">
        <f t="shared" si="37"/>
        <v/>
      </c>
      <c r="P32" s="205" t="str">
        <f t="shared" si="37"/>
        <v/>
      </c>
      <c r="Q32" s="203" t="str">
        <f t="shared" si="37"/>
        <v/>
      </c>
      <c r="R32" s="203" t="str">
        <f t="shared" si="37"/>
        <v/>
      </c>
      <c r="S32" s="204" t="str">
        <f t="shared" si="37"/>
        <v/>
      </c>
      <c r="T32" s="205" t="str">
        <f t="shared" si="37"/>
        <v/>
      </c>
      <c r="U32" s="203" t="str">
        <f t="shared" si="37"/>
        <v/>
      </c>
      <c r="V32" s="203" t="str">
        <f t="shared" si="37"/>
        <v/>
      </c>
      <c r="W32" s="204" t="str">
        <f t="shared" si="25"/>
        <v/>
      </c>
      <c r="X32" s="205" t="str">
        <f t="shared" si="22"/>
        <v/>
      </c>
      <c r="Y32" s="203" t="str">
        <f t="shared" si="22"/>
        <v/>
      </c>
      <c r="Z32" s="203" t="str">
        <f t="shared" si="22"/>
        <v/>
      </c>
      <c r="AA32" s="204" t="str">
        <f t="shared" si="22"/>
        <v/>
      </c>
      <c r="AB32" s="205" t="str">
        <f t="shared" si="22"/>
        <v/>
      </c>
      <c r="AC32" s="203" t="str">
        <f t="shared" si="22"/>
        <v/>
      </c>
      <c r="AD32" s="203" t="str">
        <f t="shared" si="22"/>
        <v/>
      </c>
      <c r="AE32" s="204" t="str">
        <f t="shared" si="22"/>
        <v/>
      </c>
      <c r="AF32" s="205" t="str">
        <f t="shared" si="22"/>
        <v/>
      </c>
      <c r="AG32" s="203" t="str">
        <f t="shared" si="22"/>
        <v/>
      </c>
      <c r="AH32" s="203" t="str">
        <f t="shared" si="22"/>
        <v/>
      </c>
      <c r="AI32" s="204" t="str">
        <f t="shared" si="22"/>
        <v/>
      </c>
      <c r="AJ32" s="205" t="str">
        <f t="shared" si="22"/>
        <v/>
      </c>
      <c r="AK32" s="203" t="str">
        <f t="shared" si="22"/>
        <v/>
      </c>
      <c r="AL32" s="203" t="str">
        <f t="shared" si="22"/>
        <v/>
      </c>
      <c r="AM32" s="204" t="str">
        <f t="shared" si="26"/>
        <v/>
      </c>
      <c r="AN32" s="205" t="str">
        <f t="shared" si="26"/>
        <v/>
      </c>
      <c r="AO32" s="203" t="str">
        <f t="shared" si="26"/>
        <v/>
      </c>
      <c r="AP32" s="203" t="str">
        <f t="shared" si="26"/>
        <v/>
      </c>
      <c r="AQ32" s="204" t="str">
        <f t="shared" si="26"/>
        <v/>
      </c>
      <c r="AR32" s="205" t="str">
        <f t="shared" si="26"/>
        <v/>
      </c>
      <c r="AS32" s="203" t="str">
        <f t="shared" si="26"/>
        <v/>
      </c>
      <c r="AT32" s="203" t="str">
        <f t="shared" si="26"/>
        <v/>
      </c>
      <c r="AU32" s="204" t="str">
        <f t="shared" si="26"/>
        <v/>
      </c>
      <c r="AV32" s="205" t="str">
        <f t="shared" si="26"/>
        <v/>
      </c>
      <c r="AW32" s="203" t="str">
        <f t="shared" si="26"/>
        <v/>
      </c>
      <c r="AX32" s="203" t="str">
        <f t="shared" si="26"/>
        <v/>
      </c>
      <c r="AY32" s="204" t="str">
        <f t="shared" si="26"/>
        <v/>
      </c>
      <c r="AZ32" s="205" t="str">
        <f t="shared" si="26"/>
        <v/>
      </c>
      <c r="BA32" s="203" t="str">
        <f t="shared" si="26"/>
        <v/>
      </c>
      <c r="BB32" s="203" t="str">
        <f t="shared" si="26"/>
        <v/>
      </c>
      <c r="BC32" s="204" t="str">
        <f t="shared" si="23"/>
        <v/>
      </c>
      <c r="BD32" s="205" t="str">
        <f t="shared" si="23"/>
        <v/>
      </c>
      <c r="BE32" s="203" t="str">
        <f t="shared" si="23"/>
        <v/>
      </c>
      <c r="BF32" s="203" t="str">
        <f t="shared" si="23"/>
        <v/>
      </c>
      <c r="BG32" s="204" t="str">
        <f t="shared" si="23"/>
        <v/>
      </c>
      <c r="BH32" s="205" t="str">
        <f t="shared" si="23"/>
        <v/>
      </c>
      <c r="BI32" s="203" t="str">
        <f t="shared" si="23"/>
        <v/>
      </c>
      <c r="BJ32" s="203" t="str">
        <f t="shared" si="23"/>
        <v/>
      </c>
      <c r="BK32" s="204" t="str">
        <f t="shared" si="23"/>
        <v/>
      </c>
      <c r="BL32" s="205" t="str">
        <f t="shared" si="23"/>
        <v/>
      </c>
      <c r="BM32" s="203" t="str">
        <f t="shared" si="23"/>
        <v/>
      </c>
      <c r="BN32" s="203" t="str">
        <f t="shared" si="23"/>
        <v/>
      </c>
      <c r="BO32" s="204" t="str">
        <f t="shared" si="23"/>
        <v/>
      </c>
      <c r="BP32" s="205" t="str">
        <f t="shared" si="27"/>
        <v/>
      </c>
      <c r="BQ32" s="203" t="str">
        <f t="shared" si="27"/>
        <v/>
      </c>
      <c r="BR32" s="203" t="str">
        <f t="shared" si="27"/>
        <v/>
      </c>
      <c r="BS32" s="204" t="str">
        <f t="shared" si="27"/>
        <v/>
      </c>
      <c r="BT32" s="205" t="str">
        <f t="shared" si="27"/>
        <v/>
      </c>
      <c r="BU32" s="203" t="str">
        <f t="shared" si="27"/>
        <v/>
      </c>
      <c r="BV32" s="203" t="str">
        <f t="shared" si="27"/>
        <v/>
      </c>
      <c r="BW32" s="204" t="str">
        <f t="shared" si="27"/>
        <v/>
      </c>
      <c r="BX32" s="205" t="str">
        <f t="shared" si="27"/>
        <v/>
      </c>
      <c r="BY32" s="203" t="str">
        <f t="shared" si="27"/>
        <v/>
      </c>
      <c r="BZ32" s="203" t="str">
        <f t="shared" si="27"/>
        <v/>
      </c>
      <c r="CA32" s="204" t="str">
        <f t="shared" si="27"/>
        <v/>
      </c>
      <c r="CB32" s="205" t="str">
        <f t="shared" si="27"/>
        <v/>
      </c>
      <c r="CC32" s="203" t="str">
        <f t="shared" si="27"/>
        <v/>
      </c>
      <c r="CD32" s="203" t="str">
        <f t="shared" si="27"/>
        <v/>
      </c>
      <c r="CE32" s="204" t="str">
        <f t="shared" si="27"/>
        <v/>
      </c>
    </row>
    <row r="33" spans="1:87" ht="18" customHeight="1">
      <c r="A33" s="22">
        <f>+TABELLA!M37</f>
        <v>0</v>
      </c>
      <c r="B33" s="22">
        <f>+TABELLA!N37</f>
        <v>0</v>
      </c>
      <c r="C33" s="22">
        <f>+TABELLA!O37</f>
        <v>0</v>
      </c>
      <c r="D33" s="22">
        <f>+TABELLA!P37</f>
        <v>0</v>
      </c>
      <c r="E33" s="22"/>
      <c r="F33" s="41">
        <f>IF(TABELLA!B37="","",TABELLA!B37)</f>
        <v>4</v>
      </c>
      <c r="G33" s="42" t="str">
        <f>IF(TABELLA!C37="","",TABELLA!C37)</f>
        <v/>
      </c>
      <c r="H33" s="206" t="str">
        <f t="shared" ref="H33:V33" si="38">IF(AND(G$3&gt;=$A33,G$3&lt;$B33),1,IF(AND(G$3&gt;=$C33,G$3&lt;$D33),1,""))</f>
        <v/>
      </c>
      <c r="I33" s="206" t="str">
        <f t="shared" si="38"/>
        <v/>
      </c>
      <c r="J33" s="206" t="str">
        <f t="shared" si="38"/>
        <v/>
      </c>
      <c r="K33" s="207" t="str">
        <f t="shared" si="38"/>
        <v/>
      </c>
      <c r="L33" s="208" t="str">
        <f t="shared" si="38"/>
        <v/>
      </c>
      <c r="M33" s="206" t="str">
        <f t="shared" si="38"/>
        <v/>
      </c>
      <c r="N33" s="206" t="str">
        <f t="shared" si="38"/>
        <v/>
      </c>
      <c r="O33" s="207" t="str">
        <f t="shared" si="38"/>
        <v/>
      </c>
      <c r="P33" s="208" t="str">
        <f t="shared" si="38"/>
        <v/>
      </c>
      <c r="Q33" s="206" t="str">
        <f t="shared" si="38"/>
        <v/>
      </c>
      <c r="R33" s="206" t="str">
        <f t="shared" si="38"/>
        <v/>
      </c>
      <c r="S33" s="207" t="str">
        <f t="shared" si="38"/>
        <v/>
      </c>
      <c r="T33" s="208" t="str">
        <f t="shared" si="38"/>
        <v/>
      </c>
      <c r="U33" s="206" t="str">
        <f t="shared" si="38"/>
        <v/>
      </c>
      <c r="V33" s="206" t="str">
        <f t="shared" si="38"/>
        <v/>
      </c>
      <c r="W33" s="207" t="str">
        <f t="shared" si="25"/>
        <v/>
      </c>
      <c r="X33" s="208" t="str">
        <f t="shared" si="22"/>
        <v/>
      </c>
      <c r="Y33" s="206" t="str">
        <f t="shared" si="22"/>
        <v/>
      </c>
      <c r="Z33" s="206" t="str">
        <f t="shared" si="22"/>
        <v/>
      </c>
      <c r="AA33" s="207" t="str">
        <f t="shared" si="22"/>
        <v/>
      </c>
      <c r="AB33" s="208" t="str">
        <f t="shared" si="22"/>
        <v/>
      </c>
      <c r="AC33" s="206" t="str">
        <f t="shared" si="22"/>
        <v/>
      </c>
      <c r="AD33" s="206" t="str">
        <f t="shared" si="22"/>
        <v/>
      </c>
      <c r="AE33" s="207" t="str">
        <f t="shared" si="22"/>
        <v/>
      </c>
      <c r="AF33" s="208" t="str">
        <f t="shared" si="22"/>
        <v/>
      </c>
      <c r="AG33" s="206" t="str">
        <f t="shared" si="22"/>
        <v/>
      </c>
      <c r="AH33" s="206" t="str">
        <f t="shared" si="22"/>
        <v/>
      </c>
      <c r="AI33" s="207" t="str">
        <f t="shared" si="22"/>
        <v/>
      </c>
      <c r="AJ33" s="208" t="str">
        <f t="shared" si="22"/>
        <v/>
      </c>
      <c r="AK33" s="206" t="str">
        <f t="shared" si="22"/>
        <v/>
      </c>
      <c r="AL33" s="206" t="str">
        <f t="shared" si="22"/>
        <v/>
      </c>
      <c r="AM33" s="207" t="str">
        <f t="shared" si="26"/>
        <v/>
      </c>
      <c r="AN33" s="208" t="str">
        <f t="shared" si="26"/>
        <v/>
      </c>
      <c r="AO33" s="206" t="str">
        <f t="shared" si="26"/>
        <v/>
      </c>
      <c r="AP33" s="206" t="str">
        <f t="shared" si="26"/>
        <v/>
      </c>
      <c r="AQ33" s="207" t="str">
        <f t="shared" si="26"/>
        <v/>
      </c>
      <c r="AR33" s="208" t="str">
        <f t="shared" si="26"/>
        <v/>
      </c>
      <c r="AS33" s="206" t="str">
        <f t="shared" si="26"/>
        <v/>
      </c>
      <c r="AT33" s="206" t="str">
        <f t="shared" si="26"/>
        <v/>
      </c>
      <c r="AU33" s="207" t="str">
        <f t="shared" si="26"/>
        <v/>
      </c>
      <c r="AV33" s="208" t="str">
        <f t="shared" si="26"/>
        <v/>
      </c>
      <c r="AW33" s="206" t="str">
        <f t="shared" si="26"/>
        <v/>
      </c>
      <c r="AX33" s="206" t="str">
        <f t="shared" si="26"/>
        <v/>
      </c>
      <c r="AY33" s="207" t="str">
        <f t="shared" si="26"/>
        <v/>
      </c>
      <c r="AZ33" s="208" t="str">
        <f t="shared" si="26"/>
        <v/>
      </c>
      <c r="BA33" s="206" t="str">
        <f t="shared" si="26"/>
        <v/>
      </c>
      <c r="BB33" s="206" t="str">
        <f t="shared" si="26"/>
        <v/>
      </c>
      <c r="BC33" s="207" t="str">
        <f t="shared" si="23"/>
        <v/>
      </c>
      <c r="BD33" s="208" t="str">
        <f t="shared" si="23"/>
        <v/>
      </c>
      <c r="BE33" s="206" t="str">
        <f t="shared" si="23"/>
        <v/>
      </c>
      <c r="BF33" s="206" t="str">
        <f t="shared" si="23"/>
        <v/>
      </c>
      <c r="BG33" s="207" t="str">
        <f t="shared" si="23"/>
        <v/>
      </c>
      <c r="BH33" s="208" t="str">
        <f t="shared" si="23"/>
        <v/>
      </c>
      <c r="BI33" s="206" t="str">
        <f t="shared" si="23"/>
        <v/>
      </c>
      <c r="BJ33" s="206" t="str">
        <f t="shared" si="23"/>
        <v/>
      </c>
      <c r="BK33" s="207" t="str">
        <f t="shared" si="23"/>
        <v/>
      </c>
      <c r="BL33" s="208" t="str">
        <f t="shared" si="23"/>
        <v/>
      </c>
      <c r="BM33" s="206" t="str">
        <f t="shared" si="23"/>
        <v/>
      </c>
      <c r="BN33" s="206" t="str">
        <f t="shared" si="23"/>
        <v/>
      </c>
      <c r="BO33" s="207" t="str">
        <f t="shared" si="23"/>
        <v/>
      </c>
      <c r="BP33" s="208" t="str">
        <f t="shared" si="27"/>
        <v/>
      </c>
      <c r="BQ33" s="206" t="str">
        <f t="shared" si="27"/>
        <v/>
      </c>
      <c r="BR33" s="206" t="str">
        <f t="shared" si="27"/>
        <v/>
      </c>
      <c r="BS33" s="207" t="str">
        <f t="shared" si="27"/>
        <v/>
      </c>
      <c r="BT33" s="208" t="str">
        <f t="shared" si="27"/>
        <v/>
      </c>
      <c r="BU33" s="206" t="str">
        <f t="shared" si="27"/>
        <v/>
      </c>
      <c r="BV33" s="206" t="str">
        <f t="shared" si="27"/>
        <v/>
      </c>
      <c r="BW33" s="207" t="str">
        <f t="shared" si="27"/>
        <v/>
      </c>
      <c r="BX33" s="208" t="str">
        <f t="shared" si="27"/>
        <v/>
      </c>
      <c r="BY33" s="206" t="str">
        <f t="shared" si="27"/>
        <v/>
      </c>
      <c r="BZ33" s="206" t="str">
        <f t="shared" si="27"/>
        <v/>
      </c>
      <c r="CA33" s="207" t="str">
        <f t="shared" si="27"/>
        <v/>
      </c>
      <c r="CB33" s="208" t="str">
        <f t="shared" si="27"/>
        <v/>
      </c>
      <c r="CC33" s="206" t="str">
        <f t="shared" si="27"/>
        <v/>
      </c>
      <c r="CD33" s="206" t="str">
        <f t="shared" si="27"/>
        <v/>
      </c>
      <c r="CE33" s="207" t="str">
        <f t="shared" si="27"/>
        <v/>
      </c>
    </row>
    <row r="34" spans="1:87" ht="18" customHeight="1">
      <c r="A34" s="22">
        <f>+TABELLA!M38</f>
        <v>0</v>
      </c>
      <c r="B34" s="22">
        <f>+TABELLA!N38</f>
        <v>0</v>
      </c>
      <c r="C34" s="22">
        <f>+TABELLA!O38</f>
        <v>0</v>
      </c>
      <c r="D34" s="22">
        <f>+TABELLA!P38</f>
        <v>0</v>
      </c>
      <c r="E34" s="22"/>
      <c r="F34" s="26">
        <f>IF(TABELLA!B38="","",TABELLA!B38)</f>
        <v>4</v>
      </c>
      <c r="G34" s="27" t="str">
        <f>IF(TABELLA!C38="","",TABELLA!C38)</f>
        <v>GREGGIO MONICA</v>
      </c>
      <c r="H34" s="203" t="str">
        <f t="shared" ref="H34:V34" si="39">IF(AND(G$3&gt;=$A34,G$3&lt;$B34),1,IF(AND(G$3&gt;=$C34,G$3&lt;$D34),1,""))</f>
        <v/>
      </c>
      <c r="I34" s="203" t="str">
        <f t="shared" si="39"/>
        <v/>
      </c>
      <c r="J34" s="203" t="str">
        <f t="shared" si="39"/>
        <v/>
      </c>
      <c r="K34" s="204" t="str">
        <f t="shared" si="39"/>
        <v/>
      </c>
      <c r="L34" s="205" t="str">
        <f t="shared" si="39"/>
        <v/>
      </c>
      <c r="M34" s="203" t="str">
        <f t="shared" si="39"/>
        <v/>
      </c>
      <c r="N34" s="203" t="str">
        <f t="shared" si="39"/>
        <v/>
      </c>
      <c r="O34" s="204" t="str">
        <f t="shared" si="39"/>
        <v/>
      </c>
      <c r="P34" s="205" t="str">
        <f t="shared" si="39"/>
        <v/>
      </c>
      <c r="Q34" s="203" t="str">
        <f t="shared" si="39"/>
        <v/>
      </c>
      <c r="R34" s="203" t="str">
        <f t="shared" si="39"/>
        <v/>
      </c>
      <c r="S34" s="204" t="str">
        <f t="shared" si="39"/>
        <v/>
      </c>
      <c r="T34" s="205" t="str">
        <f t="shared" si="39"/>
        <v/>
      </c>
      <c r="U34" s="203" t="str">
        <f t="shared" si="39"/>
        <v/>
      </c>
      <c r="V34" s="203" t="str">
        <f t="shared" si="39"/>
        <v/>
      </c>
      <c r="W34" s="204" t="str">
        <f t="shared" si="25"/>
        <v/>
      </c>
      <c r="X34" s="205" t="str">
        <f t="shared" si="22"/>
        <v/>
      </c>
      <c r="Y34" s="203" t="str">
        <f t="shared" si="22"/>
        <v/>
      </c>
      <c r="Z34" s="203" t="str">
        <f t="shared" si="22"/>
        <v/>
      </c>
      <c r="AA34" s="204" t="str">
        <f t="shared" si="22"/>
        <v/>
      </c>
      <c r="AB34" s="205" t="str">
        <f t="shared" si="22"/>
        <v/>
      </c>
      <c r="AC34" s="203" t="str">
        <f t="shared" si="22"/>
        <v/>
      </c>
      <c r="AD34" s="203" t="str">
        <f t="shared" si="22"/>
        <v/>
      </c>
      <c r="AE34" s="204" t="str">
        <f t="shared" si="22"/>
        <v/>
      </c>
      <c r="AF34" s="205" t="str">
        <f t="shared" si="22"/>
        <v/>
      </c>
      <c r="AG34" s="203" t="str">
        <f t="shared" si="22"/>
        <v/>
      </c>
      <c r="AH34" s="203" t="str">
        <f t="shared" si="22"/>
        <v/>
      </c>
      <c r="AI34" s="204" t="str">
        <f t="shared" si="22"/>
        <v/>
      </c>
      <c r="AJ34" s="205" t="str">
        <f t="shared" si="22"/>
        <v/>
      </c>
      <c r="AK34" s="203" t="str">
        <f t="shared" si="22"/>
        <v/>
      </c>
      <c r="AL34" s="203" t="str">
        <f t="shared" si="22"/>
        <v/>
      </c>
      <c r="AM34" s="204" t="str">
        <f t="shared" si="26"/>
        <v/>
      </c>
      <c r="AN34" s="205" t="str">
        <f t="shared" si="26"/>
        <v/>
      </c>
      <c r="AO34" s="203" t="str">
        <f t="shared" si="26"/>
        <v/>
      </c>
      <c r="AP34" s="203" t="str">
        <f t="shared" si="26"/>
        <v/>
      </c>
      <c r="AQ34" s="204" t="str">
        <f t="shared" si="26"/>
        <v/>
      </c>
      <c r="AR34" s="205" t="str">
        <f t="shared" si="26"/>
        <v/>
      </c>
      <c r="AS34" s="203" t="str">
        <f t="shared" si="26"/>
        <v/>
      </c>
      <c r="AT34" s="203" t="str">
        <f t="shared" si="26"/>
        <v/>
      </c>
      <c r="AU34" s="204" t="str">
        <f t="shared" si="26"/>
        <v/>
      </c>
      <c r="AV34" s="205" t="str">
        <f t="shared" si="26"/>
        <v/>
      </c>
      <c r="AW34" s="203" t="str">
        <f t="shared" si="26"/>
        <v/>
      </c>
      <c r="AX34" s="203" t="str">
        <f t="shared" si="26"/>
        <v/>
      </c>
      <c r="AY34" s="204" t="str">
        <f t="shared" si="26"/>
        <v/>
      </c>
      <c r="AZ34" s="205" t="str">
        <f t="shared" si="26"/>
        <v/>
      </c>
      <c r="BA34" s="203" t="str">
        <f t="shared" si="26"/>
        <v/>
      </c>
      <c r="BB34" s="203" t="str">
        <f t="shared" si="26"/>
        <v/>
      </c>
      <c r="BC34" s="204" t="str">
        <f t="shared" si="23"/>
        <v/>
      </c>
      <c r="BD34" s="205" t="str">
        <f t="shared" si="23"/>
        <v/>
      </c>
      <c r="BE34" s="203" t="str">
        <f t="shared" si="23"/>
        <v/>
      </c>
      <c r="BF34" s="203" t="str">
        <f t="shared" si="23"/>
        <v/>
      </c>
      <c r="BG34" s="204" t="str">
        <f t="shared" si="23"/>
        <v/>
      </c>
      <c r="BH34" s="205" t="str">
        <f t="shared" si="23"/>
        <v/>
      </c>
      <c r="BI34" s="203" t="str">
        <f t="shared" si="23"/>
        <v/>
      </c>
      <c r="BJ34" s="203" t="str">
        <f t="shared" si="23"/>
        <v/>
      </c>
      <c r="BK34" s="204" t="str">
        <f t="shared" si="23"/>
        <v/>
      </c>
      <c r="BL34" s="205" t="str">
        <f t="shared" si="23"/>
        <v/>
      </c>
      <c r="BM34" s="203" t="str">
        <f t="shared" si="23"/>
        <v/>
      </c>
      <c r="BN34" s="203" t="str">
        <f t="shared" si="23"/>
        <v/>
      </c>
      <c r="BO34" s="204" t="str">
        <f t="shared" si="23"/>
        <v/>
      </c>
      <c r="BP34" s="205" t="str">
        <f t="shared" si="27"/>
        <v/>
      </c>
      <c r="BQ34" s="203" t="str">
        <f t="shared" si="27"/>
        <v/>
      </c>
      <c r="BR34" s="203" t="str">
        <f t="shared" si="27"/>
        <v/>
      </c>
      <c r="BS34" s="204" t="str">
        <f t="shared" si="27"/>
        <v/>
      </c>
      <c r="BT34" s="205" t="str">
        <f t="shared" si="27"/>
        <v/>
      </c>
      <c r="BU34" s="203" t="str">
        <f t="shared" si="27"/>
        <v/>
      </c>
      <c r="BV34" s="203" t="str">
        <f t="shared" si="27"/>
        <v/>
      </c>
      <c r="BW34" s="204" t="str">
        <f t="shared" si="27"/>
        <v/>
      </c>
      <c r="BX34" s="205" t="str">
        <f t="shared" si="27"/>
        <v/>
      </c>
      <c r="BY34" s="203" t="str">
        <f t="shared" si="27"/>
        <v/>
      </c>
      <c r="BZ34" s="203" t="str">
        <f t="shared" si="27"/>
        <v/>
      </c>
      <c r="CA34" s="204" t="str">
        <f t="shared" si="27"/>
        <v/>
      </c>
      <c r="CB34" s="205" t="str">
        <f t="shared" si="27"/>
        <v/>
      </c>
      <c r="CC34" s="203" t="str">
        <f t="shared" si="27"/>
        <v/>
      </c>
      <c r="CD34" s="203" t="str">
        <f t="shared" si="27"/>
        <v/>
      </c>
      <c r="CE34" s="204" t="str">
        <f t="shared" si="27"/>
        <v/>
      </c>
    </row>
    <row r="35" spans="1:87" ht="18" customHeight="1">
      <c r="A35" s="22">
        <f>+TABELLA!M39</f>
        <v>0</v>
      </c>
      <c r="B35" s="22">
        <f>+TABELLA!N39</f>
        <v>0</v>
      </c>
      <c r="C35" s="22">
        <f>+TABELLA!O39</f>
        <v>0</v>
      </c>
      <c r="D35" s="22">
        <f>+TABELLA!P39</f>
        <v>0</v>
      </c>
      <c r="E35" s="22"/>
      <c r="F35" s="41">
        <f>IF(TABELLA!B39="","",TABELLA!B39)</f>
        <v>4</v>
      </c>
      <c r="G35" s="42" t="str">
        <f>IF(TABELLA!C39="","",TABELLA!C39)</f>
        <v>RACCAGNI CRISTIANA</v>
      </c>
      <c r="H35" s="206" t="str">
        <f t="shared" ref="H35:V35" si="40">IF(AND(G$3&gt;=$A35,G$3&lt;$B35),1,IF(AND(G$3&gt;=$C35,G$3&lt;$D35),1,""))</f>
        <v/>
      </c>
      <c r="I35" s="206" t="str">
        <f t="shared" si="40"/>
        <v/>
      </c>
      <c r="J35" s="206" t="str">
        <f t="shared" si="40"/>
        <v/>
      </c>
      <c r="K35" s="207" t="str">
        <f t="shared" si="40"/>
        <v/>
      </c>
      <c r="L35" s="208" t="str">
        <f t="shared" si="40"/>
        <v/>
      </c>
      <c r="M35" s="206" t="str">
        <f t="shared" si="40"/>
        <v/>
      </c>
      <c r="N35" s="206" t="str">
        <f t="shared" si="40"/>
        <v/>
      </c>
      <c r="O35" s="207" t="str">
        <f t="shared" si="40"/>
        <v/>
      </c>
      <c r="P35" s="208" t="str">
        <f t="shared" si="40"/>
        <v/>
      </c>
      <c r="Q35" s="206" t="str">
        <f t="shared" si="40"/>
        <v/>
      </c>
      <c r="R35" s="206" t="str">
        <f t="shared" si="40"/>
        <v/>
      </c>
      <c r="S35" s="207" t="str">
        <f t="shared" si="40"/>
        <v/>
      </c>
      <c r="T35" s="208" t="str">
        <f t="shared" si="40"/>
        <v/>
      </c>
      <c r="U35" s="206" t="str">
        <f t="shared" si="40"/>
        <v/>
      </c>
      <c r="V35" s="206" t="str">
        <f t="shared" si="40"/>
        <v/>
      </c>
      <c r="W35" s="207" t="str">
        <f t="shared" si="25"/>
        <v/>
      </c>
      <c r="X35" s="208" t="str">
        <f t="shared" si="22"/>
        <v/>
      </c>
      <c r="Y35" s="206" t="str">
        <f t="shared" si="22"/>
        <v/>
      </c>
      <c r="Z35" s="206" t="str">
        <f t="shared" si="22"/>
        <v/>
      </c>
      <c r="AA35" s="207" t="str">
        <f t="shared" si="22"/>
        <v/>
      </c>
      <c r="AB35" s="208" t="str">
        <f t="shared" si="22"/>
        <v/>
      </c>
      <c r="AC35" s="206" t="str">
        <f t="shared" si="22"/>
        <v/>
      </c>
      <c r="AD35" s="206" t="str">
        <f t="shared" si="22"/>
        <v/>
      </c>
      <c r="AE35" s="207" t="str">
        <f t="shared" si="22"/>
        <v/>
      </c>
      <c r="AF35" s="208" t="str">
        <f t="shared" si="22"/>
        <v/>
      </c>
      <c r="AG35" s="206" t="str">
        <f t="shared" si="22"/>
        <v/>
      </c>
      <c r="AH35" s="206" t="str">
        <f t="shared" si="22"/>
        <v/>
      </c>
      <c r="AI35" s="207" t="str">
        <f t="shared" si="22"/>
        <v/>
      </c>
      <c r="AJ35" s="208" t="str">
        <f t="shared" si="22"/>
        <v/>
      </c>
      <c r="AK35" s="206" t="str">
        <f t="shared" si="22"/>
        <v/>
      </c>
      <c r="AL35" s="206" t="str">
        <f t="shared" si="22"/>
        <v/>
      </c>
      <c r="AM35" s="207" t="str">
        <f t="shared" si="26"/>
        <v/>
      </c>
      <c r="AN35" s="208" t="str">
        <f t="shared" si="26"/>
        <v/>
      </c>
      <c r="AO35" s="206" t="str">
        <f t="shared" si="26"/>
        <v/>
      </c>
      <c r="AP35" s="206" t="str">
        <f t="shared" si="26"/>
        <v/>
      </c>
      <c r="AQ35" s="207" t="str">
        <f t="shared" si="26"/>
        <v/>
      </c>
      <c r="AR35" s="208" t="str">
        <f t="shared" si="26"/>
        <v/>
      </c>
      <c r="AS35" s="206" t="str">
        <f t="shared" si="26"/>
        <v/>
      </c>
      <c r="AT35" s="206" t="str">
        <f t="shared" si="26"/>
        <v/>
      </c>
      <c r="AU35" s="207" t="str">
        <f t="shared" si="26"/>
        <v/>
      </c>
      <c r="AV35" s="208" t="str">
        <f t="shared" si="26"/>
        <v/>
      </c>
      <c r="AW35" s="206" t="str">
        <f t="shared" si="26"/>
        <v/>
      </c>
      <c r="AX35" s="206" t="str">
        <f t="shared" si="26"/>
        <v/>
      </c>
      <c r="AY35" s="207" t="str">
        <f t="shared" si="26"/>
        <v/>
      </c>
      <c r="AZ35" s="208" t="str">
        <f t="shared" si="26"/>
        <v/>
      </c>
      <c r="BA35" s="206" t="str">
        <f t="shared" si="26"/>
        <v/>
      </c>
      <c r="BB35" s="206" t="str">
        <f t="shared" si="26"/>
        <v/>
      </c>
      <c r="BC35" s="207" t="str">
        <f t="shared" si="23"/>
        <v/>
      </c>
      <c r="BD35" s="208" t="str">
        <f t="shared" si="23"/>
        <v/>
      </c>
      <c r="BE35" s="206" t="str">
        <f t="shared" si="23"/>
        <v/>
      </c>
      <c r="BF35" s="206" t="str">
        <f t="shared" si="23"/>
        <v/>
      </c>
      <c r="BG35" s="207" t="str">
        <f t="shared" si="23"/>
        <v/>
      </c>
      <c r="BH35" s="208" t="str">
        <f t="shared" si="23"/>
        <v/>
      </c>
      <c r="BI35" s="206" t="str">
        <f t="shared" si="23"/>
        <v/>
      </c>
      <c r="BJ35" s="206" t="str">
        <f t="shared" si="23"/>
        <v/>
      </c>
      <c r="BK35" s="207" t="str">
        <f t="shared" si="23"/>
        <v/>
      </c>
      <c r="BL35" s="208" t="str">
        <f t="shared" si="23"/>
        <v/>
      </c>
      <c r="BM35" s="206" t="str">
        <f t="shared" si="23"/>
        <v/>
      </c>
      <c r="BN35" s="206" t="str">
        <f t="shared" si="23"/>
        <v/>
      </c>
      <c r="BO35" s="207" t="str">
        <f t="shared" si="23"/>
        <v/>
      </c>
      <c r="BP35" s="208" t="str">
        <f t="shared" si="27"/>
        <v/>
      </c>
      <c r="BQ35" s="206" t="str">
        <f t="shared" si="27"/>
        <v/>
      </c>
      <c r="BR35" s="206" t="str">
        <f t="shared" si="27"/>
        <v/>
      </c>
      <c r="BS35" s="207" t="str">
        <f t="shared" si="27"/>
        <v/>
      </c>
      <c r="BT35" s="208" t="str">
        <f t="shared" si="27"/>
        <v/>
      </c>
      <c r="BU35" s="206" t="str">
        <f t="shared" si="27"/>
        <v/>
      </c>
      <c r="BV35" s="206" t="str">
        <f t="shared" si="27"/>
        <v/>
      </c>
      <c r="BW35" s="207" t="str">
        <f t="shared" si="27"/>
        <v/>
      </c>
      <c r="BX35" s="208" t="str">
        <f t="shared" si="27"/>
        <v/>
      </c>
      <c r="BY35" s="206" t="str">
        <f t="shared" si="27"/>
        <v/>
      </c>
      <c r="BZ35" s="206" t="str">
        <f t="shared" si="27"/>
        <v/>
      </c>
      <c r="CA35" s="207" t="str">
        <f t="shared" si="27"/>
        <v/>
      </c>
      <c r="CB35" s="208" t="str">
        <f t="shared" si="27"/>
        <v/>
      </c>
      <c r="CC35" s="206" t="str">
        <f t="shared" si="27"/>
        <v/>
      </c>
      <c r="CD35" s="206" t="str">
        <f t="shared" si="27"/>
        <v/>
      </c>
      <c r="CE35" s="207" t="str">
        <f t="shared" si="27"/>
        <v/>
      </c>
    </row>
    <row r="36" spans="1:87" ht="18" customHeight="1">
      <c r="A36" s="22">
        <f>+TABELLA!M40</f>
        <v>0</v>
      </c>
      <c r="B36" s="22">
        <f>+TABELLA!N40</f>
        <v>0</v>
      </c>
      <c r="C36" s="22">
        <f>+TABELLA!O40</f>
        <v>0</v>
      </c>
      <c r="D36" s="22">
        <f>+TABELLA!P40</f>
        <v>0</v>
      </c>
      <c r="E36" s="22"/>
      <c r="F36" s="26">
        <f>IF(TABELLA!B40="","",TABELLA!B40)</f>
        <v>4</v>
      </c>
      <c r="G36" s="27" t="str">
        <f>IF(TABELLA!C40="","",TABELLA!C40)</f>
        <v>LO BELLO ENRICHETTA</v>
      </c>
      <c r="H36" s="203" t="str">
        <f t="shared" ref="H36:V36" si="41">IF(AND(G$3&gt;=$A36,G$3&lt;$B36),1,IF(AND(G$3&gt;=$C36,G$3&lt;$D36),1,""))</f>
        <v/>
      </c>
      <c r="I36" s="203" t="str">
        <f t="shared" si="41"/>
        <v/>
      </c>
      <c r="J36" s="203" t="str">
        <f t="shared" si="41"/>
        <v/>
      </c>
      <c r="K36" s="204" t="str">
        <f t="shared" si="41"/>
        <v/>
      </c>
      <c r="L36" s="205" t="str">
        <f t="shared" si="41"/>
        <v/>
      </c>
      <c r="M36" s="203" t="str">
        <f t="shared" si="41"/>
        <v/>
      </c>
      <c r="N36" s="203" t="str">
        <f t="shared" si="41"/>
        <v/>
      </c>
      <c r="O36" s="204" t="str">
        <f t="shared" si="41"/>
        <v/>
      </c>
      <c r="P36" s="205" t="str">
        <f t="shared" si="41"/>
        <v/>
      </c>
      <c r="Q36" s="203" t="str">
        <f t="shared" si="41"/>
        <v/>
      </c>
      <c r="R36" s="203" t="str">
        <f t="shared" si="41"/>
        <v/>
      </c>
      <c r="S36" s="204" t="str">
        <f t="shared" si="41"/>
        <v/>
      </c>
      <c r="T36" s="205" t="str">
        <f t="shared" si="41"/>
        <v/>
      </c>
      <c r="U36" s="203" t="str">
        <f t="shared" si="41"/>
        <v/>
      </c>
      <c r="V36" s="203" t="str">
        <f t="shared" si="41"/>
        <v/>
      </c>
      <c r="W36" s="204" t="str">
        <f t="shared" si="25"/>
        <v/>
      </c>
      <c r="X36" s="205" t="str">
        <f t="shared" si="22"/>
        <v/>
      </c>
      <c r="Y36" s="203" t="str">
        <f t="shared" si="22"/>
        <v/>
      </c>
      <c r="Z36" s="203" t="str">
        <f t="shared" si="22"/>
        <v/>
      </c>
      <c r="AA36" s="204" t="str">
        <f t="shared" si="22"/>
        <v/>
      </c>
      <c r="AB36" s="205" t="str">
        <f t="shared" si="22"/>
        <v/>
      </c>
      <c r="AC36" s="203" t="str">
        <f t="shared" si="22"/>
        <v/>
      </c>
      <c r="AD36" s="203" t="str">
        <f t="shared" si="22"/>
        <v/>
      </c>
      <c r="AE36" s="204" t="str">
        <f t="shared" si="22"/>
        <v/>
      </c>
      <c r="AF36" s="205" t="str">
        <f t="shared" si="22"/>
        <v/>
      </c>
      <c r="AG36" s="203" t="str">
        <f t="shared" si="22"/>
        <v/>
      </c>
      <c r="AH36" s="203" t="str">
        <f t="shared" si="22"/>
        <v/>
      </c>
      <c r="AI36" s="204" t="str">
        <f t="shared" si="22"/>
        <v/>
      </c>
      <c r="AJ36" s="205" t="str">
        <f t="shared" si="22"/>
        <v/>
      </c>
      <c r="AK36" s="203" t="str">
        <f t="shared" si="22"/>
        <v/>
      </c>
      <c r="AL36" s="203" t="str">
        <f t="shared" si="22"/>
        <v/>
      </c>
      <c r="AM36" s="204" t="str">
        <f t="shared" si="26"/>
        <v/>
      </c>
      <c r="AN36" s="205" t="str">
        <f t="shared" si="26"/>
        <v/>
      </c>
      <c r="AO36" s="203" t="str">
        <f t="shared" si="26"/>
        <v/>
      </c>
      <c r="AP36" s="203" t="str">
        <f t="shared" si="26"/>
        <v/>
      </c>
      <c r="AQ36" s="204" t="str">
        <f t="shared" si="26"/>
        <v/>
      </c>
      <c r="AR36" s="205" t="str">
        <f t="shared" si="26"/>
        <v/>
      </c>
      <c r="AS36" s="203" t="str">
        <f t="shared" si="26"/>
        <v/>
      </c>
      <c r="AT36" s="203" t="str">
        <f t="shared" si="26"/>
        <v/>
      </c>
      <c r="AU36" s="204" t="str">
        <f t="shared" si="26"/>
        <v/>
      </c>
      <c r="AV36" s="205" t="str">
        <f t="shared" si="26"/>
        <v/>
      </c>
      <c r="AW36" s="203" t="str">
        <f t="shared" si="26"/>
        <v/>
      </c>
      <c r="AX36" s="203" t="str">
        <f t="shared" si="26"/>
        <v/>
      </c>
      <c r="AY36" s="204" t="str">
        <f t="shared" si="26"/>
        <v/>
      </c>
      <c r="AZ36" s="205" t="str">
        <f t="shared" si="26"/>
        <v/>
      </c>
      <c r="BA36" s="203" t="str">
        <f t="shared" si="26"/>
        <v/>
      </c>
      <c r="BB36" s="203" t="str">
        <f t="shared" si="26"/>
        <v/>
      </c>
      <c r="BC36" s="204" t="str">
        <f t="shared" si="23"/>
        <v/>
      </c>
      <c r="BD36" s="205" t="str">
        <f t="shared" si="23"/>
        <v/>
      </c>
      <c r="BE36" s="203" t="str">
        <f t="shared" si="23"/>
        <v/>
      </c>
      <c r="BF36" s="203" t="str">
        <f t="shared" si="23"/>
        <v/>
      </c>
      <c r="BG36" s="204" t="str">
        <f t="shared" si="23"/>
        <v/>
      </c>
      <c r="BH36" s="205" t="str">
        <f t="shared" si="23"/>
        <v/>
      </c>
      <c r="BI36" s="203" t="str">
        <f t="shared" si="23"/>
        <v/>
      </c>
      <c r="BJ36" s="203" t="str">
        <f t="shared" si="23"/>
        <v/>
      </c>
      <c r="BK36" s="204" t="str">
        <f t="shared" si="23"/>
        <v/>
      </c>
      <c r="BL36" s="205" t="str">
        <f t="shared" si="23"/>
        <v/>
      </c>
      <c r="BM36" s="203" t="str">
        <f t="shared" si="23"/>
        <v/>
      </c>
      <c r="BN36" s="203" t="str">
        <f t="shared" si="23"/>
        <v/>
      </c>
      <c r="BO36" s="204" t="str">
        <f t="shared" si="23"/>
        <v/>
      </c>
      <c r="BP36" s="205" t="str">
        <f t="shared" si="27"/>
        <v/>
      </c>
      <c r="BQ36" s="203" t="str">
        <f t="shared" si="27"/>
        <v/>
      </c>
      <c r="BR36" s="203" t="str">
        <f t="shared" si="27"/>
        <v/>
      </c>
      <c r="BS36" s="204" t="str">
        <f t="shared" si="27"/>
        <v/>
      </c>
      <c r="BT36" s="205" t="str">
        <f t="shared" si="27"/>
        <v/>
      </c>
      <c r="BU36" s="203" t="str">
        <f t="shared" si="27"/>
        <v/>
      </c>
      <c r="BV36" s="203" t="str">
        <f t="shared" si="27"/>
        <v/>
      </c>
      <c r="BW36" s="204" t="str">
        <f t="shared" si="27"/>
        <v/>
      </c>
      <c r="BX36" s="205" t="str">
        <f t="shared" si="27"/>
        <v/>
      </c>
      <c r="BY36" s="203" t="str">
        <f t="shared" si="27"/>
        <v/>
      </c>
      <c r="BZ36" s="203" t="str">
        <f t="shared" si="27"/>
        <v/>
      </c>
      <c r="CA36" s="204" t="str">
        <f t="shared" si="27"/>
        <v/>
      </c>
      <c r="CB36" s="205" t="str">
        <f t="shared" si="27"/>
        <v/>
      </c>
      <c r="CC36" s="203" t="str">
        <f t="shared" si="27"/>
        <v/>
      </c>
      <c r="CD36" s="203" t="str">
        <f t="shared" si="27"/>
        <v/>
      </c>
      <c r="CE36" s="204" t="str">
        <f t="shared" si="27"/>
        <v/>
      </c>
    </row>
    <row r="37" spans="1:87" ht="18" customHeight="1">
      <c r="A37" s="22">
        <f>+TABELLA!M41</f>
        <v>0</v>
      </c>
      <c r="B37" s="22">
        <f>+TABELLA!N41</f>
        <v>0</v>
      </c>
      <c r="C37" s="22">
        <f>+TABELLA!O41</f>
        <v>0</v>
      </c>
      <c r="D37" s="22">
        <f>+TABELLA!P41</f>
        <v>0</v>
      </c>
      <c r="E37" s="22"/>
      <c r="F37" s="41">
        <f>IF(TABELLA!B41="","",TABELLA!B41)</f>
        <v>4</v>
      </c>
      <c r="G37" s="42" t="str">
        <f>IF(TABELLA!C41="","",TABELLA!C41)</f>
        <v/>
      </c>
      <c r="H37" s="206" t="str">
        <f t="shared" ref="H37:V37" si="42">IF(AND(G$3&gt;=$A37,G$3&lt;$B37),1,IF(AND(G$3&gt;=$C37,G$3&lt;$D37),1,""))</f>
        <v/>
      </c>
      <c r="I37" s="206" t="str">
        <f t="shared" si="42"/>
        <v/>
      </c>
      <c r="J37" s="206" t="str">
        <f t="shared" si="42"/>
        <v/>
      </c>
      <c r="K37" s="207" t="str">
        <f t="shared" si="42"/>
        <v/>
      </c>
      <c r="L37" s="208" t="str">
        <f t="shared" si="42"/>
        <v/>
      </c>
      <c r="M37" s="206" t="str">
        <f t="shared" si="42"/>
        <v/>
      </c>
      <c r="N37" s="206" t="str">
        <f t="shared" si="42"/>
        <v/>
      </c>
      <c r="O37" s="207" t="str">
        <f t="shared" si="42"/>
        <v/>
      </c>
      <c r="P37" s="208" t="str">
        <f t="shared" si="42"/>
        <v/>
      </c>
      <c r="Q37" s="206" t="str">
        <f t="shared" si="42"/>
        <v/>
      </c>
      <c r="R37" s="206" t="str">
        <f t="shared" si="42"/>
        <v/>
      </c>
      <c r="S37" s="207" t="str">
        <f t="shared" si="42"/>
        <v/>
      </c>
      <c r="T37" s="208" t="str">
        <f t="shared" si="42"/>
        <v/>
      </c>
      <c r="U37" s="206" t="str">
        <f t="shared" si="42"/>
        <v/>
      </c>
      <c r="V37" s="206" t="str">
        <f t="shared" si="42"/>
        <v/>
      </c>
      <c r="W37" s="207" t="str">
        <f t="shared" ref="W37:AL45" si="43">IF(AND(V$3&gt;=$A37,V$3&lt;$B37),1,IF(AND(V$3&gt;=$C37,V$3&lt;$D37),1,""))</f>
        <v/>
      </c>
      <c r="X37" s="208" t="str">
        <f t="shared" si="43"/>
        <v/>
      </c>
      <c r="Y37" s="206" t="str">
        <f t="shared" si="43"/>
        <v/>
      </c>
      <c r="Z37" s="206" t="str">
        <f t="shared" si="43"/>
        <v/>
      </c>
      <c r="AA37" s="207" t="str">
        <f t="shared" si="43"/>
        <v/>
      </c>
      <c r="AB37" s="208" t="str">
        <f t="shared" si="43"/>
        <v/>
      </c>
      <c r="AC37" s="206" t="str">
        <f t="shared" si="43"/>
        <v/>
      </c>
      <c r="AD37" s="206" t="str">
        <f t="shared" si="43"/>
        <v/>
      </c>
      <c r="AE37" s="207" t="str">
        <f t="shared" si="43"/>
        <v/>
      </c>
      <c r="AF37" s="208" t="str">
        <f t="shared" si="43"/>
        <v/>
      </c>
      <c r="AG37" s="206" t="str">
        <f t="shared" si="43"/>
        <v/>
      </c>
      <c r="AH37" s="206" t="str">
        <f t="shared" si="43"/>
        <v/>
      </c>
      <c r="AI37" s="207" t="str">
        <f t="shared" si="43"/>
        <v/>
      </c>
      <c r="AJ37" s="208" t="str">
        <f t="shared" si="43"/>
        <v/>
      </c>
      <c r="AK37" s="206" t="str">
        <f t="shared" si="43"/>
        <v/>
      </c>
      <c r="AL37" s="206" t="str">
        <f t="shared" si="43"/>
        <v/>
      </c>
      <c r="AM37" s="207" t="str">
        <f t="shared" si="26"/>
        <v/>
      </c>
      <c r="AN37" s="208" t="str">
        <f t="shared" si="26"/>
        <v/>
      </c>
      <c r="AO37" s="206" t="str">
        <f t="shared" si="26"/>
        <v/>
      </c>
      <c r="AP37" s="206" t="str">
        <f t="shared" si="26"/>
        <v/>
      </c>
      <c r="AQ37" s="207" t="str">
        <f t="shared" si="26"/>
        <v/>
      </c>
      <c r="AR37" s="208" t="str">
        <f t="shared" si="26"/>
        <v/>
      </c>
      <c r="AS37" s="206" t="str">
        <f t="shared" si="26"/>
        <v/>
      </c>
      <c r="AT37" s="206" t="str">
        <f t="shared" si="26"/>
        <v/>
      </c>
      <c r="AU37" s="207" t="str">
        <f t="shared" si="26"/>
        <v/>
      </c>
      <c r="AV37" s="208" t="str">
        <f t="shared" si="26"/>
        <v/>
      </c>
      <c r="AW37" s="206" t="str">
        <f t="shared" si="26"/>
        <v/>
      </c>
      <c r="AX37" s="206" t="str">
        <f t="shared" si="26"/>
        <v/>
      </c>
      <c r="AY37" s="207" t="str">
        <f t="shared" si="26"/>
        <v/>
      </c>
      <c r="AZ37" s="208" t="str">
        <f t="shared" si="26"/>
        <v/>
      </c>
      <c r="BA37" s="206" t="str">
        <f t="shared" si="26"/>
        <v/>
      </c>
      <c r="BB37" s="206" t="str">
        <f t="shared" ref="BB37:BQ45" si="44">IF(AND(BA$3&gt;=$A37,BA$3&lt;$B37),1,IF(AND(BA$3&gt;=$C37,BA$3&lt;$D37),1,""))</f>
        <v/>
      </c>
      <c r="BC37" s="207" t="str">
        <f t="shared" si="44"/>
        <v/>
      </c>
      <c r="BD37" s="208" t="str">
        <f t="shared" si="44"/>
        <v/>
      </c>
      <c r="BE37" s="206" t="str">
        <f t="shared" si="44"/>
        <v/>
      </c>
      <c r="BF37" s="206" t="str">
        <f t="shared" si="44"/>
        <v/>
      </c>
      <c r="BG37" s="207" t="str">
        <f t="shared" si="44"/>
        <v/>
      </c>
      <c r="BH37" s="208" t="str">
        <f t="shared" si="44"/>
        <v/>
      </c>
      <c r="BI37" s="206" t="str">
        <f t="shared" si="44"/>
        <v/>
      </c>
      <c r="BJ37" s="206" t="str">
        <f t="shared" si="44"/>
        <v/>
      </c>
      <c r="BK37" s="207" t="str">
        <f t="shared" si="44"/>
        <v/>
      </c>
      <c r="BL37" s="208" t="str">
        <f t="shared" si="44"/>
        <v/>
      </c>
      <c r="BM37" s="206" t="str">
        <f t="shared" si="44"/>
        <v/>
      </c>
      <c r="BN37" s="206" t="str">
        <f t="shared" si="44"/>
        <v/>
      </c>
      <c r="BO37" s="207" t="str">
        <f t="shared" si="44"/>
        <v/>
      </c>
      <c r="BP37" s="208" t="str">
        <f t="shared" si="27"/>
        <v/>
      </c>
      <c r="BQ37" s="206" t="str">
        <f t="shared" si="27"/>
        <v/>
      </c>
      <c r="BR37" s="206" t="str">
        <f t="shared" si="27"/>
        <v/>
      </c>
      <c r="BS37" s="207" t="str">
        <f t="shared" si="27"/>
        <v/>
      </c>
      <c r="BT37" s="208" t="str">
        <f t="shared" si="27"/>
        <v/>
      </c>
      <c r="BU37" s="206" t="str">
        <f t="shared" si="27"/>
        <v/>
      </c>
      <c r="BV37" s="206" t="str">
        <f t="shared" si="27"/>
        <v/>
      </c>
      <c r="BW37" s="207" t="str">
        <f t="shared" si="27"/>
        <v/>
      </c>
      <c r="BX37" s="208" t="str">
        <f t="shared" si="27"/>
        <v/>
      </c>
      <c r="BY37" s="206" t="str">
        <f t="shared" si="27"/>
        <v/>
      </c>
      <c r="BZ37" s="206" t="str">
        <f t="shared" si="27"/>
        <v/>
      </c>
      <c r="CA37" s="207" t="str">
        <f t="shared" si="27"/>
        <v/>
      </c>
      <c r="CB37" s="208" t="str">
        <f t="shared" si="27"/>
        <v/>
      </c>
      <c r="CC37" s="206" t="str">
        <f t="shared" si="27"/>
        <v/>
      </c>
      <c r="CD37" s="206" t="str">
        <f t="shared" si="27"/>
        <v/>
      </c>
      <c r="CE37" s="207" t="str">
        <f t="shared" si="27"/>
        <v/>
      </c>
    </row>
    <row r="38" spans="1:87" ht="18" customHeight="1">
      <c r="A38" s="22">
        <f>+TABELLA!M42</f>
        <v>0</v>
      </c>
      <c r="B38" s="22">
        <f>+TABELLA!N42</f>
        <v>0</v>
      </c>
      <c r="C38" s="22">
        <f>+TABELLA!O42</f>
        <v>0</v>
      </c>
      <c r="D38" s="22">
        <f>+TABELLA!P42</f>
        <v>0</v>
      </c>
      <c r="E38" s="22"/>
      <c r="F38" s="26">
        <f>IF(TABELLA!B42="","",TABELLA!B42)</f>
        <v>4</v>
      </c>
      <c r="G38" s="27" t="str">
        <f>IF(TABELLA!C42="","",TABELLA!C42)</f>
        <v>BOLZONELLO MARCO</v>
      </c>
      <c r="H38" s="203" t="str">
        <f t="shared" ref="H38:V38" si="45">IF(AND(G$3&gt;=$A38,G$3&lt;$B38),1,IF(AND(G$3&gt;=$C38,G$3&lt;$D38),1,""))</f>
        <v/>
      </c>
      <c r="I38" s="203" t="str">
        <f t="shared" si="45"/>
        <v/>
      </c>
      <c r="J38" s="203" t="str">
        <f t="shared" si="45"/>
        <v/>
      </c>
      <c r="K38" s="204" t="str">
        <f t="shared" si="45"/>
        <v/>
      </c>
      <c r="L38" s="205" t="str">
        <f t="shared" si="45"/>
        <v/>
      </c>
      <c r="M38" s="203" t="str">
        <f t="shared" si="45"/>
        <v/>
      </c>
      <c r="N38" s="203" t="str">
        <f t="shared" si="45"/>
        <v/>
      </c>
      <c r="O38" s="204" t="str">
        <f t="shared" si="45"/>
        <v/>
      </c>
      <c r="P38" s="205" t="str">
        <f t="shared" si="45"/>
        <v/>
      </c>
      <c r="Q38" s="203" t="str">
        <f t="shared" si="45"/>
        <v/>
      </c>
      <c r="R38" s="203" t="str">
        <f t="shared" si="45"/>
        <v/>
      </c>
      <c r="S38" s="204" t="str">
        <f t="shared" si="45"/>
        <v/>
      </c>
      <c r="T38" s="205" t="str">
        <f t="shared" si="45"/>
        <v/>
      </c>
      <c r="U38" s="203" t="str">
        <f t="shared" si="45"/>
        <v/>
      </c>
      <c r="V38" s="203" t="str">
        <f t="shared" si="45"/>
        <v/>
      </c>
      <c r="W38" s="204" t="str">
        <f t="shared" ref="W38:W45" si="46">IF(AND(V$3&gt;=$A38,V$3&lt;$B38),1,IF(AND(V$3&gt;=$C38,V$3&lt;$D38),1,""))</f>
        <v/>
      </c>
      <c r="X38" s="205" t="str">
        <f t="shared" si="43"/>
        <v/>
      </c>
      <c r="Y38" s="203" t="str">
        <f t="shared" si="43"/>
        <v/>
      </c>
      <c r="Z38" s="203" t="str">
        <f t="shared" si="43"/>
        <v/>
      </c>
      <c r="AA38" s="204" t="str">
        <f t="shared" si="43"/>
        <v/>
      </c>
      <c r="AB38" s="205" t="str">
        <f t="shared" si="43"/>
        <v/>
      </c>
      <c r="AC38" s="203" t="str">
        <f t="shared" si="43"/>
        <v/>
      </c>
      <c r="AD38" s="203" t="str">
        <f t="shared" si="43"/>
        <v/>
      </c>
      <c r="AE38" s="204" t="str">
        <f t="shared" si="43"/>
        <v/>
      </c>
      <c r="AF38" s="205" t="str">
        <f t="shared" si="43"/>
        <v/>
      </c>
      <c r="AG38" s="203" t="str">
        <f t="shared" si="43"/>
        <v/>
      </c>
      <c r="AH38" s="203" t="str">
        <f t="shared" si="43"/>
        <v/>
      </c>
      <c r="AI38" s="204" t="str">
        <f t="shared" si="43"/>
        <v/>
      </c>
      <c r="AJ38" s="205" t="str">
        <f t="shared" si="43"/>
        <v/>
      </c>
      <c r="AK38" s="203" t="str">
        <f t="shared" si="43"/>
        <v/>
      </c>
      <c r="AL38" s="203" t="str">
        <f t="shared" si="43"/>
        <v/>
      </c>
      <c r="AM38" s="204" t="str">
        <f t="shared" ref="AM38:BB45" si="47">IF(AND(AL$3&gt;=$A38,AL$3&lt;$B38),1,IF(AND(AL$3&gt;=$C38,AL$3&lt;$D38),1,""))</f>
        <v/>
      </c>
      <c r="AN38" s="205" t="str">
        <f t="shared" si="47"/>
        <v/>
      </c>
      <c r="AO38" s="203" t="str">
        <f t="shared" si="47"/>
        <v/>
      </c>
      <c r="AP38" s="203" t="str">
        <f t="shared" si="47"/>
        <v/>
      </c>
      <c r="AQ38" s="204" t="str">
        <f t="shared" si="47"/>
        <v/>
      </c>
      <c r="AR38" s="205" t="str">
        <f t="shared" si="47"/>
        <v/>
      </c>
      <c r="AS38" s="203" t="str">
        <f t="shared" si="47"/>
        <v/>
      </c>
      <c r="AT38" s="203" t="str">
        <f t="shared" si="47"/>
        <v/>
      </c>
      <c r="AU38" s="204" t="str">
        <f t="shared" si="47"/>
        <v/>
      </c>
      <c r="AV38" s="205" t="str">
        <f t="shared" si="47"/>
        <v/>
      </c>
      <c r="AW38" s="203" t="str">
        <f t="shared" si="47"/>
        <v/>
      </c>
      <c r="AX38" s="203" t="str">
        <f t="shared" si="47"/>
        <v/>
      </c>
      <c r="AY38" s="204" t="str">
        <f t="shared" si="47"/>
        <v/>
      </c>
      <c r="AZ38" s="205" t="str">
        <f t="shared" si="47"/>
        <v/>
      </c>
      <c r="BA38" s="203" t="str">
        <f t="shared" si="47"/>
        <v/>
      </c>
      <c r="BB38" s="203" t="str">
        <f t="shared" si="47"/>
        <v/>
      </c>
      <c r="BC38" s="204" t="str">
        <f t="shared" si="44"/>
        <v/>
      </c>
      <c r="BD38" s="205" t="str">
        <f t="shared" si="44"/>
        <v/>
      </c>
      <c r="BE38" s="203" t="str">
        <f t="shared" si="44"/>
        <v/>
      </c>
      <c r="BF38" s="203" t="str">
        <f t="shared" si="44"/>
        <v/>
      </c>
      <c r="BG38" s="204" t="str">
        <f t="shared" si="44"/>
        <v/>
      </c>
      <c r="BH38" s="205" t="str">
        <f t="shared" si="44"/>
        <v/>
      </c>
      <c r="BI38" s="203" t="str">
        <f t="shared" si="44"/>
        <v/>
      </c>
      <c r="BJ38" s="203" t="str">
        <f t="shared" si="44"/>
        <v/>
      </c>
      <c r="BK38" s="204" t="str">
        <f t="shared" si="44"/>
        <v/>
      </c>
      <c r="BL38" s="205" t="str">
        <f t="shared" si="44"/>
        <v/>
      </c>
      <c r="BM38" s="203" t="str">
        <f t="shared" si="44"/>
        <v/>
      </c>
      <c r="BN38" s="203" t="str">
        <f t="shared" si="44"/>
        <v/>
      </c>
      <c r="BO38" s="204" t="str">
        <f t="shared" si="44"/>
        <v/>
      </c>
      <c r="BP38" s="205" t="str">
        <f t="shared" si="44"/>
        <v/>
      </c>
      <c r="BQ38" s="203" t="str">
        <f t="shared" si="44"/>
        <v/>
      </c>
      <c r="BR38" s="203" t="str">
        <f t="shared" ref="BP38:CE45" si="48">IF(AND(BQ$3&gt;=$A38,BQ$3&lt;$B38),1,IF(AND(BQ$3&gt;=$C38,BQ$3&lt;$D38),1,""))</f>
        <v/>
      </c>
      <c r="BS38" s="204" t="str">
        <f t="shared" si="48"/>
        <v/>
      </c>
      <c r="BT38" s="205" t="str">
        <f t="shared" si="48"/>
        <v/>
      </c>
      <c r="BU38" s="203" t="str">
        <f t="shared" si="48"/>
        <v/>
      </c>
      <c r="BV38" s="203" t="str">
        <f t="shared" si="48"/>
        <v/>
      </c>
      <c r="BW38" s="204" t="str">
        <f t="shared" si="48"/>
        <v/>
      </c>
      <c r="BX38" s="205" t="str">
        <f t="shared" si="48"/>
        <v/>
      </c>
      <c r="BY38" s="203" t="str">
        <f t="shared" si="48"/>
        <v/>
      </c>
      <c r="BZ38" s="203" t="str">
        <f t="shared" si="48"/>
        <v/>
      </c>
      <c r="CA38" s="204" t="str">
        <f t="shared" si="48"/>
        <v/>
      </c>
      <c r="CB38" s="205" t="str">
        <f t="shared" si="48"/>
        <v/>
      </c>
      <c r="CC38" s="203" t="str">
        <f t="shared" si="48"/>
        <v/>
      </c>
      <c r="CD38" s="203" t="str">
        <f t="shared" si="48"/>
        <v/>
      </c>
      <c r="CE38" s="204" t="str">
        <f t="shared" si="48"/>
        <v/>
      </c>
    </row>
    <row r="39" spans="1:87" ht="18" customHeight="1">
      <c r="A39" s="22">
        <f>+TABELLA!M43</f>
        <v>0</v>
      </c>
      <c r="B39" s="22">
        <f>+TABELLA!N43</f>
        <v>0</v>
      </c>
      <c r="C39" s="22">
        <f>+TABELLA!O43</f>
        <v>0</v>
      </c>
      <c r="D39" s="22">
        <f>+TABELLA!P43</f>
        <v>0</v>
      </c>
      <c r="E39" s="22"/>
      <c r="F39" s="41">
        <f>IF(TABELLA!B43="","",TABELLA!B43)</f>
        <v>4</v>
      </c>
      <c r="G39" s="42" t="str">
        <f>IF(TABELLA!C43="","",TABELLA!C43)</f>
        <v>MOCELLIN MAURIZIO</v>
      </c>
      <c r="H39" s="206" t="str">
        <f t="shared" ref="H39:V39" si="49">IF(AND(G$3&gt;=$A39,G$3&lt;$B39),1,IF(AND(G$3&gt;=$C39,G$3&lt;$D39),1,""))</f>
        <v/>
      </c>
      <c r="I39" s="206" t="str">
        <f t="shared" si="49"/>
        <v/>
      </c>
      <c r="J39" s="206" t="str">
        <f t="shared" si="49"/>
        <v/>
      </c>
      <c r="K39" s="207" t="str">
        <f t="shared" si="49"/>
        <v/>
      </c>
      <c r="L39" s="208" t="str">
        <f t="shared" si="49"/>
        <v/>
      </c>
      <c r="M39" s="206" t="str">
        <f t="shared" si="49"/>
        <v/>
      </c>
      <c r="N39" s="206" t="str">
        <f t="shared" si="49"/>
        <v/>
      </c>
      <c r="O39" s="207" t="str">
        <f t="shared" si="49"/>
        <v/>
      </c>
      <c r="P39" s="208" t="str">
        <f t="shared" si="49"/>
        <v/>
      </c>
      <c r="Q39" s="206" t="str">
        <f t="shared" si="49"/>
        <v/>
      </c>
      <c r="R39" s="206" t="str">
        <f t="shared" si="49"/>
        <v/>
      </c>
      <c r="S39" s="207" t="str">
        <f t="shared" si="49"/>
        <v/>
      </c>
      <c r="T39" s="208" t="str">
        <f t="shared" si="49"/>
        <v/>
      </c>
      <c r="U39" s="206" t="str">
        <f t="shared" si="49"/>
        <v/>
      </c>
      <c r="V39" s="206" t="str">
        <f t="shared" si="49"/>
        <v/>
      </c>
      <c r="W39" s="207" t="str">
        <f t="shared" si="46"/>
        <v/>
      </c>
      <c r="X39" s="208" t="str">
        <f t="shared" si="43"/>
        <v/>
      </c>
      <c r="Y39" s="206" t="str">
        <f t="shared" si="43"/>
        <v/>
      </c>
      <c r="Z39" s="206" t="str">
        <f t="shared" si="43"/>
        <v/>
      </c>
      <c r="AA39" s="207" t="str">
        <f t="shared" si="43"/>
        <v/>
      </c>
      <c r="AB39" s="208" t="str">
        <f t="shared" si="43"/>
        <v/>
      </c>
      <c r="AC39" s="206" t="str">
        <f t="shared" si="43"/>
        <v/>
      </c>
      <c r="AD39" s="206" t="str">
        <f t="shared" si="43"/>
        <v/>
      </c>
      <c r="AE39" s="207" t="str">
        <f t="shared" si="43"/>
        <v/>
      </c>
      <c r="AF39" s="208" t="str">
        <f t="shared" si="43"/>
        <v/>
      </c>
      <c r="AG39" s="206" t="str">
        <f t="shared" si="43"/>
        <v/>
      </c>
      <c r="AH39" s="206" t="str">
        <f t="shared" si="43"/>
        <v/>
      </c>
      <c r="AI39" s="207" t="str">
        <f t="shared" si="43"/>
        <v/>
      </c>
      <c r="AJ39" s="208" t="str">
        <f t="shared" si="43"/>
        <v/>
      </c>
      <c r="AK39" s="206" t="str">
        <f t="shared" si="43"/>
        <v/>
      </c>
      <c r="AL39" s="206" t="str">
        <f t="shared" si="43"/>
        <v/>
      </c>
      <c r="AM39" s="207" t="str">
        <f t="shared" si="47"/>
        <v/>
      </c>
      <c r="AN39" s="208" t="str">
        <f t="shared" si="47"/>
        <v/>
      </c>
      <c r="AO39" s="206" t="str">
        <f t="shared" si="47"/>
        <v/>
      </c>
      <c r="AP39" s="206" t="str">
        <f t="shared" si="47"/>
        <v/>
      </c>
      <c r="AQ39" s="207" t="str">
        <f t="shared" si="47"/>
        <v/>
      </c>
      <c r="AR39" s="208" t="str">
        <f t="shared" si="47"/>
        <v/>
      </c>
      <c r="AS39" s="206" t="str">
        <f t="shared" si="47"/>
        <v/>
      </c>
      <c r="AT39" s="206" t="str">
        <f t="shared" si="47"/>
        <v/>
      </c>
      <c r="AU39" s="207" t="str">
        <f t="shared" si="47"/>
        <v/>
      </c>
      <c r="AV39" s="208" t="str">
        <f t="shared" si="47"/>
        <v/>
      </c>
      <c r="AW39" s="206" t="str">
        <f t="shared" si="47"/>
        <v/>
      </c>
      <c r="AX39" s="206" t="str">
        <f t="shared" si="47"/>
        <v/>
      </c>
      <c r="AY39" s="207" t="str">
        <f t="shared" si="47"/>
        <v/>
      </c>
      <c r="AZ39" s="208" t="str">
        <f t="shared" si="47"/>
        <v/>
      </c>
      <c r="BA39" s="206" t="str">
        <f t="shared" si="47"/>
        <v/>
      </c>
      <c r="BB39" s="206" t="str">
        <f t="shared" si="47"/>
        <v/>
      </c>
      <c r="BC39" s="207" t="str">
        <f t="shared" si="44"/>
        <v/>
      </c>
      <c r="BD39" s="208" t="str">
        <f t="shared" si="44"/>
        <v/>
      </c>
      <c r="BE39" s="206" t="str">
        <f t="shared" si="44"/>
        <v/>
      </c>
      <c r="BF39" s="206" t="str">
        <f t="shared" si="44"/>
        <v/>
      </c>
      <c r="BG39" s="207" t="str">
        <f t="shared" si="44"/>
        <v/>
      </c>
      <c r="BH39" s="208" t="str">
        <f t="shared" si="44"/>
        <v/>
      </c>
      <c r="BI39" s="206" t="str">
        <f t="shared" si="44"/>
        <v/>
      </c>
      <c r="BJ39" s="206" t="str">
        <f t="shared" si="44"/>
        <v/>
      </c>
      <c r="BK39" s="207" t="str">
        <f t="shared" si="44"/>
        <v/>
      </c>
      <c r="BL39" s="208" t="str">
        <f t="shared" si="44"/>
        <v/>
      </c>
      <c r="BM39" s="206" t="str">
        <f t="shared" si="44"/>
        <v/>
      </c>
      <c r="BN39" s="206" t="str">
        <f t="shared" si="44"/>
        <v/>
      </c>
      <c r="BO39" s="207" t="str">
        <f t="shared" si="44"/>
        <v/>
      </c>
      <c r="BP39" s="208" t="str">
        <f t="shared" si="48"/>
        <v/>
      </c>
      <c r="BQ39" s="206" t="str">
        <f t="shared" si="48"/>
        <v/>
      </c>
      <c r="BR39" s="206" t="str">
        <f t="shared" si="48"/>
        <v/>
      </c>
      <c r="BS39" s="207" t="str">
        <f t="shared" si="48"/>
        <v/>
      </c>
      <c r="BT39" s="208" t="str">
        <f t="shared" si="48"/>
        <v/>
      </c>
      <c r="BU39" s="206" t="str">
        <f t="shared" si="48"/>
        <v/>
      </c>
      <c r="BV39" s="206" t="str">
        <f t="shared" si="48"/>
        <v/>
      </c>
      <c r="BW39" s="207" t="str">
        <f t="shared" si="48"/>
        <v/>
      </c>
      <c r="BX39" s="208" t="str">
        <f t="shared" si="48"/>
        <v/>
      </c>
      <c r="BY39" s="206" t="str">
        <f t="shared" si="48"/>
        <v/>
      </c>
      <c r="BZ39" s="206" t="str">
        <f t="shared" si="48"/>
        <v/>
      </c>
      <c r="CA39" s="207" t="str">
        <f t="shared" si="48"/>
        <v/>
      </c>
      <c r="CB39" s="208" t="str">
        <f t="shared" si="48"/>
        <v/>
      </c>
      <c r="CC39" s="206" t="str">
        <f t="shared" si="48"/>
        <v/>
      </c>
      <c r="CD39" s="206" t="str">
        <f t="shared" si="48"/>
        <v/>
      </c>
      <c r="CE39" s="207" t="str">
        <f t="shared" si="48"/>
        <v/>
      </c>
    </row>
    <row r="40" spans="1:87" ht="18" customHeight="1">
      <c r="A40" s="22">
        <f>+TABELLA!M44</f>
        <v>0</v>
      </c>
      <c r="B40" s="22">
        <f>+TABELLA!N44</f>
        <v>0</v>
      </c>
      <c r="C40" s="22">
        <f>+TABELLA!O44</f>
        <v>0</v>
      </c>
      <c r="D40" s="22">
        <f>+TABELLA!P44</f>
        <v>0</v>
      </c>
      <c r="E40" s="22"/>
      <c r="F40" s="26" t="str">
        <f>IF(TABELLA!B44="","",TABELLA!B44)</f>
        <v/>
      </c>
      <c r="G40" s="27" t="str">
        <f>IF(TABELLA!C44="","",TABELLA!C44)</f>
        <v/>
      </c>
      <c r="H40" s="203" t="str">
        <f t="shared" ref="H40:V40" si="50">IF(AND(G$3&gt;=$A40,G$3&lt;$B40),1,IF(AND(G$3&gt;=$C40,G$3&lt;$D40),1,""))</f>
        <v/>
      </c>
      <c r="I40" s="203" t="str">
        <f t="shared" si="50"/>
        <v/>
      </c>
      <c r="J40" s="203" t="str">
        <f t="shared" si="50"/>
        <v/>
      </c>
      <c r="K40" s="204" t="str">
        <f t="shared" si="50"/>
        <v/>
      </c>
      <c r="L40" s="205" t="str">
        <f t="shared" si="50"/>
        <v/>
      </c>
      <c r="M40" s="203" t="str">
        <f t="shared" si="50"/>
        <v/>
      </c>
      <c r="N40" s="203" t="str">
        <f t="shared" si="50"/>
        <v/>
      </c>
      <c r="O40" s="204" t="str">
        <f t="shared" si="50"/>
        <v/>
      </c>
      <c r="P40" s="205" t="str">
        <f t="shared" si="50"/>
        <v/>
      </c>
      <c r="Q40" s="203" t="str">
        <f t="shared" si="50"/>
        <v/>
      </c>
      <c r="R40" s="203" t="str">
        <f t="shared" si="50"/>
        <v/>
      </c>
      <c r="S40" s="204" t="str">
        <f t="shared" si="50"/>
        <v/>
      </c>
      <c r="T40" s="205" t="str">
        <f t="shared" si="50"/>
        <v/>
      </c>
      <c r="U40" s="203" t="str">
        <f t="shared" si="50"/>
        <v/>
      </c>
      <c r="V40" s="203" t="str">
        <f t="shared" si="50"/>
        <v/>
      </c>
      <c r="W40" s="204" t="str">
        <f t="shared" si="46"/>
        <v/>
      </c>
      <c r="X40" s="205" t="str">
        <f t="shared" si="43"/>
        <v/>
      </c>
      <c r="Y40" s="203" t="str">
        <f t="shared" si="43"/>
        <v/>
      </c>
      <c r="Z40" s="203" t="str">
        <f t="shared" si="43"/>
        <v/>
      </c>
      <c r="AA40" s="204" t="str">
        <f t="shared" si="43"/>
        <v/>
      </c>
      <c r="AB40" s="205" t="str">
        <f t="shared" si="43"/>
        <v/>
      </c>
      <c r="AC40" s="203" t="str">
        <f t="shared" si="43"/>
        <v/>
      </c>
      <c r="AD40" s="203" t="str">
        <f t="shared" si="43"/>
        <v/>
      </c>
      <c r="AE40" s="204" t="str">
        <f t="shared" si="43"/>
        <v/>
      </c>
      <c r="AF40" s="205" t="str">
        <f t="shared" si="43"/>
        <v/>
      </c>
      <c r="AG40" s="203" t="str">
        <f t="shared" si="43"/>
        <v/>
      </c>
      <c r="AH40" s="203" t="str">
        <f t="shared" si="43"/>
        <v/>
      </c>
      <c r="AI40" s="204" t="str">
        <f t="shared" si="43"/>
        <v/>
      </c>
      <c r="AJ40" s="205" t="str">
        <f t="shared" si="43"/>
        <v/>
      </c>
      <c r="AK40" s="203" t="str">
        <f t="shared" si="43"/>
        <v/>
      </c>
      <c r="AL40" s="203" t="str">
        <f t="shared" si="43"/>
        <v/>
      </c>
      <c r="AM40" s="204" t="str">
        <f t="shared" si="47"/>
        <v/>
      </c>
      <c r="AN40" s="205" t="str">
        <f t="shared" si="47"/>
        <v/>
      </c>
      <c r="AO40" s="203" t="str">
        <f t="shared" si="47"/>
        <v/>
      </c>
      <c r="AP40" s="203" t="str">
        <f t="shared" si="47"/>
        <v/>
      </c>
      <c r="AQ40" s="204" t="str">
        <f t="shared" si="47"/>
        <v/>
      </c>
      <c r="AR40" s="205" t="str">
        <f t="shared" si="47"/>
        <v/>
      </c>
      <c r="AS40" s="203" t="str">
        <f t="shared" si="47"/>
        <v/>
      </c>
      <c r="AT40" s="203" t="str">
        <f t="shared" si="47"/>
        <v/>
      </c>
      <c r="AU40" s="204" t="str">
        <f t="shared" si="47"/>
        <v/>
      </c>
      <c r="AV40" s="205" t="str">
        <f t="shared" si="47"/>
        <v/>
      </c>
      <c r="AW40" s="203" t="str">
        <f t="shared" si="47"/>
        <v/>
      </c>
      <c r="AX40" s="203" t="str">
        <f t="shared" si="47"/>
        <v/>
      </c>
      <c r="AY40" s="204" t="str">
        <f t="shared" si="47"/>
        <v/>
      </c>
      <c r="AZ40" s="205" t="str">
        <f t="shared" si="47"/>
        <v/>
      </c>
      <c r="BA40" s="203" t="str">
        <f t="shared" si="47"/>
        <v/>
      </c>
      <c r="BB40" s="203" t="str">
        <f t="shared" si="47"/>
        <v/>
      </c>
      <c r="BC40" s="204" t="str">
        <f t="shared" si="44"/>
        <v/>
      </c>
      <c r="BD40" s="205" t="str">
        <f t="shared" si="44"/>
        <v/>
      </c>
      <c r="BE40" s="203" t="str">
        <f t="shared" si="44"/>
        <v/>
      </c>
      <c r="BF40" s="203" t="str">
        <f t="shared" si="44"/>
        <v/>
      </c>
      <c r="BG40" s="204" t="str">
        <f t="shared" si="44"/>
        <v/>
      </c>
      <c r="BH40" s="205" t="str">
        <f t="shared" si="44"/>
        <v/>
      </c>
      <c r="BI40" s="203" t="str">
        <f t="shared" si="44"/>
        <v/>
      </c>
      <c r="BJ40" s="203" t="str">
        <f t="shared" si="44"/>
        <v/>
      </c>
      <c r="BK40" s="204" t="str">
        <f t="shared" si="44"/>
        <v/>
      </c>
      <c r="BL40" s="205" t="str">
        <f t="shared" si="44"/>
        <v/>
      </c>
      <c r="BM40" s="203" t="str">
        <f t="shared" si="44"/>
        <v/>
      </c>
      <c r="BN40" s="203" t="str">
        <f t="shared" si="44"/>
        <v/>
      </c>
      <c r="BO40" s="204" t="str">
        <f t="shared" si="44"/>
        <v/>
      </c>
      <c r="BP40" s="205" t="str">
        <f t="shared" si="48"/>
        <v/>
      </c>
      <c r="BQ40" s="203" t="str">
        <f t="shared" si="48"/>
        <v/>
      </c>
      <c r="BR40" s="203" t="str">
        <f t="shared" si="48"/>
        <v/>
      </c>
      <c r="BS40" s="204" t="str">
        <f t="shared" si="48"/>
        <v/>
      </c>
      <c r="BT40" s="205" t="str">
        <f t="shared" si="48"/>
        <v/>
      </c>
      <c r="BU40" s="203" t="str">
        <f t="shared" si="48"/>
        <v/>
      </c>
      <c r="BV40" s="203" t="str">
        <f t="shared" si="48"/>
        <v/>
      </c>
      <c r="BW40" s="204" t="str">
        <f t="shared" si="48"/>
        <v/>
      </c>
      <c r="BX40" s="205" t="str">
        <f t="shared" si="48"/>
        <v/>
      </c>
      <c r="BY40" s="203" t="str">
        <f t="shared" si="48"/>
        <v/>
      </c>
      <c r="BZ40" s="203" t="str">
        <f t="shared" si="48"/>
        <v/>
      </c>
      <c r="CA40" s="204" t="str">
        <f t="shared" si="48"/>
        <v/>
      </c>
      <c r="CB40" s="205" t="str">
        <f t="shared" si="48"/>
        <v/>
      </c>
      <c r="CC40" s="203" t="str">
        <f t="shared" si="48"/>
        <v/>
      </c>
      <c r="CD40" s="203" t="str">
        <f t="shared" si="48"/>
        <v/>
      </c>
      <c r="CE40" s="204" t="str">
        <f t="shared" si="48"/>
        <v/>
      </c>
    </row>
    <row r="41" spans="1:87" ht="18" customHeight="1">
      <c r="A41" s="22">
        <f>+TABELLA!M45</f>
        <v>0</v>
      </c>
      <c r="B41" s="22">
        <f>+TABELLA!N45</f>
        <v>0</v>
      </c>
      <c r="C41" s="22">
        <f>+TABELLA!O45</f>
        <v>0</v>
      </c>
      <c r="D41" s="22">
        <f>+TABELLA!P45</f>
        <v>0</v>
      </c>
      <c r="E41" s="22"/>
      <c r="F41" s="41">
        <f>IF(TABELLA!B45="","",TABELLA!B45)</f>
        <v>9</v>
      </c>
      <c r="G41" s="42" t="str">
        <f>IF(TABELLA!C45="","",TABELLA!C45)</f>
        <v>CANELLA PAOLO</v>
      </c>
      <c r="H41" s="206" t="str">
        <f t="shared" ref="H41:V41" si="51">IF(AND(G$3&gt;=$A41,G$3&lt;$B41),1,IF(AND(G$3&gt;=$C41,G$3&lt;$D41),1,""))</f>
        <v/>
      </c>
      <c r="I41" s="206" t="str">
        <f t="shared" si="51"/>
        <v/>
      </c>
      <c r="J41" s="206" t="str">
        <f t="shared" si="51"/>
        <v/>
      </c>
      <c r="K41" s="207" t="str">
        <f t="shared" si="51"/>
        <v/>
      </c>
      <c r="L41" s="208" t="str">
        <f t="shared" si="51"/>
        <v/>
      </c>
      <c r="M41" s="206" t="str">
        <f t="shared" si="51"/>
        <v/>
      </c>
      <c r="N41" s="206" t="str">
        <f t="shared" si="51"/>
        <v/>
      </c>
      <c r="O41" s="207" t="str">
        <f t="shared" si="51"/>
        <v/>
      </c>
      <c r="P41" s="208" t="str">
        <f t="shared" si="51"/>
        <v/>
      </c>
      <c r="Q41" s="206" t="str">
        <f t="shared" si="51"/>
        <v/>
      </c>
      <c r="R41" s="206" t="str">
        <f t="shared" si="51"/>
        <v/>
      </c>
      <c r="S41" s="207" t="str">
        <f t="shared" si="51"/>
        <v/>
      </c>
      <c r="T41" s="208" t="str">
        <f t="shared" si="51"/>
        <v/>
      </c>
      <c r="U41" s="206" t="str">
        <f t="shared" si="51"/>
        <v/>
      </c>
      <c r="V41" s="206" t="str">
        <f t="shared" si="51"/>
        <v/>
      </c>
      <c r="W41" s="207" t="str">
        <f t="shared" si="46"/>
        <v/>
      </c>
      <c r="X41" s="208" t="str">
        <f t="shared" si="43"/>
        <v/>
      </c>
      <c r="Y41" s="206" t="str">
        <f t="shared" si="43"/>
        <v/>
      </c>
      <c r="Z41" s="206" t="str">
        <f t="shared" si="43"/>
        <v/>
      </c>
      <c r="AA41" s="207" t="str">
        <f t="shared" si="43"/>
        <v/>
      </c>
      <c r="AB41" s="208" t="str">
        <f t="shared" si="43"/>
        <v/>
      </c>
      <c r="AC41" s="206" t="str">
        <f t="shared" si="43"/>
        <v/>
      </c>
      <c r="AD41" s="206" t="str">
        <f t="shared" si="43"/>
        <v/>
      </c>
      <c r="AE41" s="207" t="str">
        <f t="shared" si="43"/>
        <v/>
      </c>
      <c r="AF41" s="208" t="str">
        <f t="shared" si="43"/>
        <v/>
      </c>
      <c r="AG41" s="206" t="str">
        <f t="shared" si="43"/>
        <v/>
      </c>
      <c r="AH41" s="206" t="str">
        <f t="shared" si="43"/>
        <v/>
      </c>
      <c r="AI41" s="207" t="str">
        <f t="shared" si="43"/>
        <v/>
      </c>
      <c r="AJ41" s="208" t="str">
        <f t="shared" si="43"/>
        <v/>
      </c>
      <c r="AK41" s="206" t="str">
        <f t="shared" si="43"/>
        <v/>
      </c>
      <c r="AL41" s="206" t="str">
        <f t="shared" si="43"/>
        <v/>
      </c>
      <c r="AM41" s="207" t="str">
        <f t="shared" si="47"/>
        <v/>
      </c>
      <c r="AN41" s="208" t="str">
        <f t="shared" si="47"/>
        <v/>
      </c>
      <c r="AO41" s="206" t="str">
        <f t="shared" si="47"/>
        <v/>
      </c>
      <c r="AP41" s="206" t="str">
        <f t="shared" si="47"/>
        <v/>
      </c>
      <c r="AQ41" s="207" t="str">
        <f t="shared" si="47"/>
        <v/>
      </c>
      <c r="AR41" s="208" t="str">
        <f t="shared" si="47"/>
        <v/>
      </c>
      <c r="AS41" s="206" t="str">
        <f t="shared" si="47"/>
        <v/>
      </c>
      <c r="AT41" s="206" t="str">
        <f t="shared" si="47"/>
        <v/>
      </c>
      <c r="AU41" s="207" t="str">
        <f t="shared" si="47"/>
        <v/>
      </c>
      <c r="AV41" s="208" t="str">
        <f t="shared" si="47"/>
        <v/>
      </c>
      <c r="AW41" s="206" t="str">
        <f t="shared" si="47"/>
        <v/>
      </c>
      <c r="AX41" s="206" t="str">
        <f t="shared" si="47"/>
        <v/>
      </c>
      <c r="AY41" s="207" t="str">
        <f t="shared" si="47"/>
        <v/>
      </c>
      <c r="AZ41" s="208" t="str">
        <f t="shared" si="47"/>
        <v/>
      </c>
      <c r="BA41" s="206" t="str">
        <f t="shared" si="47"/>
        <v/>
      </c>
      <c r="BB41" s="206" t="str">
        <f t="shared" si="47"/>
        <v/>
      </c>
      <c r="BC41" s="207" t="str">
        <f t="shared" si="44"/>
        <v/>
      </c>
      <c r="BD41" s="208" t="str">
        <f t="shared" si="44"/>
        <v/>
      </c>
      <c r="BE41" s="206" t="str">
        <f t="shared" si="44"/>
        <v/>
      </c>
      <c r="BF41" s="206" t="str">
        <f t="shared" si="44"/>
        <v/>
      </c>
      <c r="BG41" s="207" t="str">
        <f t="shared" si="44"/>
        <v/>
      </c>
      <c r="BH41" s="208" t="str">
        <f t="shared" si="44"/>
        <v/>
      </c>
      <c r="BI41" s="206" t="str">
        <f t="shared" si="44"/>
        <v/>
      </c>
      <c r="BJ41" s="206" t="str">
        <f t="shared" si="44"/>
        <v/>
      </c>
      <c r="BK41" s="207" t="str">
        <f t="shared" si="44"/>
        <v/>
      </c>
      <c r="BL41" s="208" t="str">
        <f t="shared" si="44"/>
        <v/>
      </c>
      <c r="BM41" s="206" t="str">
        <f t="shared" si="44"/>
        <v/>
      </c>
      <c r="BN41" s="206" t="str">
        <f t="shared" si="44"/>
        <v/>
      </c>
      <c r="BO41" s="207" t="str">
        <f t="shared" si="44"/>
        <v/>
      </c>
      <c r="BP41" s="208" t="str">
        <f t="shared" si="48"/>
        <v/>
      </c>
      <c r="BQ41" s="206" t="str">
        <f t="shared" si="48"/>
        <v/>
      </c>
      <c r="BR41" s="206" t="str">
        <f t="shared" si="48"/>
        <v/>
      </c>
      <c r="BS41" s="207" t="str">
        <f t="shared" si="48"/>
        <v/>
      </c>
      <c r="BT41" s="208" t="str">
        <f t="shared" si="48"/>
        <v/>
      </c>
      <c r="BU41" s="206" t="str">
        <f t="shared" si="48"/>
        <v/>
      </c>
      <c r="BV41" s="206" t="str">
        <f t="shared" si="48"/>
        <v/>
      </c>
      <c r="BW41" s="207" t="str">
        <f t="shared" si="48"/>
        <v/>
      </c>
      <c r="BX41" s="208" t="str">
        <f t="shared" si="48"/>
        <v/>
      </c>
      <c r="BY41" s="206" t="str">
        <f t="shared" si="48"/>
        <v/>
      </c>
      <c r="BZ41" s="206" t="str">
        <f t="shared" si="48"/>
        <v/>
      </c>
      <c r="CA41" s="207" t="str">
        <f t="shared" si="48"/>
        <v/>
      </c>
      <c r="CB41" s="208" t="str">
        <f t="shared" si="48"/>
        <v/>
      </c>
      <c r="CC41" s="206" t="str">
        <f t="shared" si="48"/>
        <v/>
      </c>
      <c r="CD41" s="206" t="str">
        <f t="shared" si="48"/>
        <v/>
      </c>
      <c r="CE41" s="207" t="str">
        <f t="shared" si="48"/>
        <v/>
      </c>
    </row>
    <row r="42" spans="1:87" ht="18" customHeight="1">
      <c r="A42" s="22">
        <f>+TABELLA!M46</f>
        <v>0</v>
      </c>
      <c r="B42" s="22">
        <f>+TABELLA!N46</f>
        <v>0</v>
      </c>
      <c r="C42" s="22">
        <f>+TABELLA!O46</f>
        <v>0</v>
      </c>
      <c r="D42" s="22">
        <f>+TABELLA!P46</f>
        <v>0</v>
      </c>
      <c r="E42" s="22"/>
      <c r="F42" s="26" t="str">
        <f>IF(TABELLA!B46="","",TABELLA!B46)</f>
        <v/>
      </c>
      <c r="G42" s="27" t="str">
        <f>IF(TABELLA!C46="","",TABELLA!C46)</f>
        <v/>
      </c>
      <c r="H42" s="203" t="str">
        <f t="shared" ref="H42:V42" si="52">IF(AND(G$3&gt;=$A42,G$3&lt;$B42),1,IF(AND(G$3&gt;=$C42,G$3&lt;$D42),1,""))</f>
        <v/>
      </c>
      <c r="I42" s="203" t="str">
        <f t="shared" si="52"/>
        <v/>
      </c>
      <c r="J42" s="203" t="str">
        <f t="shared" si="52"/>
        <v/>
      </c>
      <c r="K42" s="204" t="str">
        <f t="shared" si="52"/>
        <v/>
      </c>
      <c r="L42" s="205" t="str">
        <f t="shared" si="52"/>
        <v/>
      </c>
      <c r="M42" s="203" t="str">
        <f t="shared" si="52"/>
        <v/>
      </c>
      <c r="N42" s="203" t="str">
        <f t="shared" si="52"/>
        <v/>
      </c>
      <c r="O42" s="204" t="str">
        <f t="shared" si="52"/>
        <v/>
      </c>
      <c r="P42" s="205" t="str">
        <f t="shared" si="52"/>
        <v/>
      </c>
      <c r="Q42" s="203" t="str">
        <f t="shared" si="52"/>
        <v/>
      </c>
      <c r="R42" s="203" t="str">
        <f t="shared" si="52"/>
        <v/>
      </c>
      <c r="S42" s="204" t="str">
        <f t="shared" si="52"/>
        <v/>
      </c>
      <c r="T42" s="205" t="str">
        <f t="shared" si="52"/>
        <v/>
      </c>
      <c r="U42" s="203" t="str">
        <f t="shared" si="52"/>
        <v/>
      </c>
      <c r="V42" s="203" t="str">
        <f t="shared" si="52"/>
        <v/>
      </c>
      <c r="W42" s="204" t="str">
        <f t="shared" si="46"/>
        <v/>
      </c>
      <c r="X42" s="205" t="str">
        <f t="shared" si="43"/>
        <v/>
      </c>
      <c r="Y42" s="203" t="str">
        <f t="shared" si="43"/>
        <v/>
      </c>
      <c r="Z42" s="203" t="str">
        <f t="shared" si="43"/>
        <v/>
      </c>
      <c r="AA42" s="204" t="str">
        <f t="shared" si="43"/>
        <v/>
      </c>
      <c r="AB42" s="205" t="str">
        <f t="shared" si="43"/>
        <v/>
      </c>
      <c r="AC42" s="203" t="str">
        <f t="shared" si="43"/>
        <v/>
      </c>
      <c r="AD42" s="203" t="str">
        <f t="shared" si="43"/>
        <v/>
      </c>
      <c r="AE42" s="204" t="str">
        <f t="shared" si="43"/>
        <v/>
      </c>
      <c r="AF42" s="205" t="str">
        <f t="shared" si="43"/>
        <v/>
      </c>
      <c r="AG42" s="203" t="str">
        <f t="shared" si="43"/>
        <v/>
      </c>
      <c r="AH42" s="203" t="str">
        <f t="shared" si="43"/>
        <v/>
      </c>
      <c r="AI42" s="204" t="str">
        <f t="shared" si="43"/>
        <v/>
      </c>
      <c r="AJ42" s="205" t="str">
        <f t="shared" si="43"/>
        <v/>
      </c>
      <c r="AK42" s="203" t="str">
        <f t="shared" si="43"/>
        <v/>
      </c>
      <c r="AL42" s="203" t="str">
        <f t="shared" si="43"/>
        <v/>
      </c>
      <c r="AM42" s="204" t="str">
        <f t="shared" si="47"/>
        <v/>
      </c>
      <c r="AN42" s="205" t="str">
        <f t="shared" si="47"/>
        <v/>
      </c>
      <c r="AO42" s="203" t="str">
        <f t="shared" si="47"/>
        <v/>
      </c>
      <c r="AP42" s="203" t="str">
        <f t="shared" si="47"/>
        <v/>
      </c>
      <c r="AQ42" s="204" t="str">
        <f t="shared" si="47"/>
        <v/>
      </c>
      <c r="AR42" s="205" t="str">
        <f t="shared" si="47"/>
        <v/>
      </c>
      <c r="AS42" s="203" t="str">
        <f t="shared" si="47"/>
        <v/>
      </c>
      <c r="AT42" s="203" t="str">
        <f t="shared" si="47"/>
        <v/>
      </c>
      <c r="AU42" s="204" t="str">
        <f t="shared" si="47"/>
        <v/>
      </c>
      <c r="AV42" s="205" t="str">
        <f t="shared" si="47"/>
        <v/>
      </c>
      <c r="AW42" s="203" t="str">
        <f t="shared" si="47"/>
        <v/>
      </c>
      <c r="AX42" s="203" t="str">
        <f t="shared" si="47"/>
        <v/>
      </c>
      <c r="AY42" s="204" t="str">
        <f t="shared" si="47"/>
        <v/>
      </c>
      <c r="AZ42" s="205" t="str">
        <f t="shared" si="47"/>
        <v/>
      </c>
      <c r="BA42" s="203" t="str">
        <f t="shared" si="47"/>
        <v/>
      </c>
      <c r="BB42" s="203" t="str">
        <f t="shared" si="47"/>
        <v/>
      </c>
      <c r="BC42" s="204" t="str">
        <f t="shared" si="44"/>
        <v/>
      </c>
      <c r="BD42" s="205" t="str">
        <f t="shared" si="44"/>
        <v/>
      </c>
      <c r="BE42" s="203" t="str">
        <f t="shared" si="44"/>
        <v/>
      </c>
      <c r="BF42" s="203" t="str">
        <f t="shared" si="44"/>
        <v/>
      </c>
      <c r="BG42" s="204" t="str">
        <f t="shared" si="44"/>
        <v/>
      </c>
      <c r="BH42" s="205" t="str">
        <f t="shared" si="44"/>
        <v/>
      </c>
      <c r="BI42" s="203" t="str">
        <f t="shared" si="44"/>
        <v/>
      </c>
      <c r="BJ42" s="203" t="str">
        <f t="shared" si="44"/>
        <v/>
      </c>
      <c r="BK42" s="204" t="str">
        <f t="shared" si="44"/>
        <v/>
      </c>
      <c r="BL42" s="205" t="str">
        <f t="shared" si="44"/>
        <v/>
      </c>
      <c r="BM42" s="203" t="str">
        <f t="shared" si="44"/>
        <v/>
      </c>
      <c r="BN42" s="203" t="str">
        <f t="shared" si="44"/>
        <v/>
      </c>
      <c r="BO42" s="204" t="str">
        <f t="shared" si="44"/>
        <v/>
      </c>
      <c r="BP42" s="205" t="str">
        <f t="shared" si="48"/>
        <v/>
      </c>
      <c r="BQ42" s="203" t="str">
        <f t="shared" si="48"/>
        <v/>
      </c>
      <c r="BR42" s="203" t="str">
        <f t="shared" si="48"/>
        <v/>
      </c>
      <c r="BS42" s="204" t="str">
        <f t="shared" si="48"/>
        <v/>
      </c>
      <c r="BT42" s="205" t="str">
        <f t="shared" si="48"/>
        <v/>
      </c>
      <c r="BU42" s="203" t="str">
        <f t="shared" si="48"/>
        <v/>
      </c>
      <c r="BV42" s="203" t="str">
        <f t="shared" si="48"/>
        <v/>
      </c>
      <c r="BW42" s="204" t="str">
        <f t="shared" si="48"/>
        <v/>
      </c>
      <c r="BX42" s="205" t="str">
        <f t="shared" si="48"/>
        <v/>
      </c>
      <c r="BY42" s="203" t="str">
        <f t="shared" si="48"/>
        <v/>
      </c>
      <c r="BZ42" s="203" t="str">
        <f t="shared" si="48"/>
        <v/>
      </c>
      <c r="CA42" s="204" t="str">
        <f t="shared" si="48"/>
        <v/>
      </c>
      <c r="CB42" s="205" t="str">
        <f t="shared" si="48"/>
        <v/>
      </c>
      <c r="CC42" s="203" t="str">
        <f t="shared" si="48"/>
        <v/>
      </c>
      <c r="CD42" s="203" t="str">
        <f t="shared" si="48"/>
        <v/>
      </c>
      <c r="CE42" s="204" t="str">
        <f t="shared" si="48"/>
        <v/>
      </c>
    </row>
    <row r="43" spans="1:87" ht="18" customHeight="1">
      <c r="A43" s="22">
        <f>+TABELLA!M47</f>
        <v>0</v>
      </c>
      <c r="B43" s="22">
        <f>+TABELLA!N47</f>
        <v>0</v>
      </c>
      <c r="C43" s="22">
        <f>+TABELLA!O47</f>
        <v>0</v>
      </c>
      <c r="D43" s="22">
        <f>+TABELLA!P47</f>
        <v>0</v>
      </c>
      <c r="E43" s="22"/>
      <c r="F43" s="41" t="str">
        <f>IF(TABELLA!B47="","",TABELLA!B47)</f>
        <v/>
      </c>
      <c r="G43" s="42" t="str">
        <f>IF(TABELLA!C47="","",TABELLA!C47)</f>
        <v/>
      </c>
      <c r="H43" s="206" t="str">
        <f t="shared" ref="H43:V43" si="53">IF(AND(G$3&gt;=$A43,G$3&lt;$B43),1,IF(AND(G$3&gt;=$C43,G$3&lt;$D43),1,""))</f>
        <v/>
      </c>
      <c r="I43" s="206" t="str">
        <f t="shared" si="53"/>
        <v/>
      </c>
      <c r="J43" s="206" t="str">
        <f t="shared" si="53"/>
        <v/>
      </c>
      <c r="K43" s="207" t="str">
        <f t="shared" si="53"/>
        <v/>
      </c>
      <c r="L43" s="208" t="str">
        <f t="shared" si="53"/>
        <v/>
      </c>
      <c r="M43" s="206" t="str">
        <f t="shared" si="53"/>
        <v/>
      </c>
      <c r="N43" s="206" t="str">
        <f t="shared" si="53"/>
        <v/>
      </c>
      <c r="O43" s="207" t="str">
        <f t="shared" si="53"/>
        <v/>
      </c>
      <c r="P43" s="208" t="str">
        <f t="shared" si="53"/>
        <v/>
      </c>
      <c r="Q43" s="206" t="str">
        <f t="shared" si="53"/>
        <v/>
      </c>
      <c r="R43" s="206" t="str">
        <f t="shared" si="53"/>
        <v/>
      </c>
      <c r="S43" s="207" t="str">
        <f t="shared" si="53"/>
        <v/>
      </c>
      <c r="T43" s="208" t="str">
        <f t="shared" si="53"/>
        <v/>
      </c>
      <c r="U43" s="206" t="str">
        <f t="shared" si="53"/>
        <v/>
      </c>
      <c r="V43" s="206" t="str">
        <f t="shared" si="53"/>
        <v/>
      </c>
      <c r="W43" s="207" t="str">
        <f t="shared" si="46"/>
        <v/>
      </c>
      <c r="X43" s="208" t="str">
        <f t="shared" si="43"/>
        <v/>
      </c>
      <c r="Y43" s="206" t="str">
        <f t="shared" si="43"/>
        <v/>
      </c>
      <c r="Z43" s="206" t="str">
        <f t="shared" si="43"/>
        <v/>
      </c>
      <c r="AA43" s="207" t="str">
        <f t="shared" si="43"/>
        <v/>
      </c>
      <c r="AB43" s="208" t="str">
        <f t="shared" si="43"/>
        <v/>
      </c>
      <c r="AC43" s="206" t="str">
        <f t="shared" si="43"/>
        <v/>
      </c>
      <c r="AD43" s="206" t="str">
        <f t="shared" si="43"/>
        <v/>
      </c>
      <c r="AE43" s="207" t="str">
        <f t="shared" si="43"/>
        <v/>
      </c>
      <c r="AF43" s="208" t="str">
        <f t="shared" si="43"/>
        <v/>
      </c>
      <c r="AG43" s="206" t="str">
        <f t="shared" si="43"/>
        <v/>
      </c>
      <c r="AH43" s="206" t="str">
        <f t="shared" si="43"/>
        <v/>
      </c>
      <c r="AI43" s="207" t="str">
        <f t="shared" si="43"/>
        <v/>
      </c>
      <c r="AJ43" s="208" t="str">
        <f t="shared" si="43"/>
        <v/>
      </c>
      <c r="AK43" s="206" t="str">
        <f t="shared" si="43"/>
        <v/>
      </c>
      <c r="AL43" s="206" t="str">
        <f t="shared" si="43"/>
        <v/>
      </c>
      <c r="AM43" s="207" t="str">
        <f t="shared" si="47"/>
        <v/>
      </c>
      <c r="AN43" s="208" t="str">
        <f t="shared" si="47"/>
        <v/>
      </c>
      <c r="AO43" s="206" t="str">
        <f t="shared" si="47"/>
        <v/>
      </c>
      <c r="AP43" s="206" t="str">
        <f t="shared" si="47"/>
        <v/>
      </c>
      <c r="AQ43" s="207" t="str">
        <f t="shared" si="47"/>
        <v/>
      </c>
      <c r="AR43" s="208" t="str">
        <f t="shared" si="47"/>
        <v/>
      </c>
      <c r="AS43" s="206" t="str">
        <f t="shared" si="47"/>
        <v/>
      </c>
      <c r="AT43" s="206" t="str">
        <f t="shared" si="47"/>
        <v/>
      </c>
      <c r="AU43" s="207" t="str">
        <f t="shared" si="47"/>
        <v/>
      </c>
      <c r="AV43" s="208" t="str">
        <f t="shared" si="47"/>
        <v/>
      </c>
      <c r="AW43" s="206" t="str">
        <f t="shared" si="47"/>
        <v/>
      </c>
      <c r="AX43" s="206" t="str">
        <f t="shared" si="47"/>
        <v/>
      </c>
      <c r="AY43" s="207" t="str">
        <f t="shared" si="47"/>
        <v/>
      </c>
      <c r="AZ43" s="208" t="str">
        <f t="shared" si="47"/>
        <v/>
      </c>
      <c r="BA43" s="206" t="str">
        <f t="shared" si="47"/>
        <v/>
      </c>
      <c r="BB43" s="206" t="str">
        <f t="shared" si="47"/>
        <v/>
      </c>
      <c r="BC43" s="207" t="str">
        <f t="shared" si="44"/>
        <v/>
      </c>
      <c r="BD43" s="208" t="str">
        <f t="shared" si="44"/>
        <v/>
      </c>
      <c r="BE43" s="206" t="str">
        <f t="shared" si="44"/>
        <v/>
      </c>
      <c r="BF43" s="206" t="str">
        <f t="shared" si="44"/>
        <v/>
      </c>
      <c r="BG43" s="207" t="str">
        <f t="shared" si="44"/>
        <v/>
      </c>
      <c r="BH43" s="208" t="str">
        <f t="shared" si="44"/>
        <v/>
      </c>
      <c r="BI43" s="206" t="str">
        <f t="shared" si="44"/>
        <v/>
      </c>
      <c r="BJ43" s="206" t="str">
        <f t="shared" si="44"/>
        <v/>
      </c>
      <c r="BK43" s="207" t="str">
        <f t="shared" si="44"/>
        <v/>
      </c>
      <c r="BL43" s="208" t="str">
        <f t="shared" si="44"/>
        <v/>
      </c>
      <c r="BM43" s="206" t="str">
        <f t="shared" si="44"/>
        <v/>
      </c>
      <c r="BN43" s="206" t="str">
        <f t="shared" si="44"/>
        <v/>
      </c>
      <c r="BO43" s="207" t="str">
        <f t="shared" si="44"/>
        <v/>
      </c>
      <c r="BP43" s="208" t="str">
        <f t="shared" si="48"/>
        <v/>
      </c>
      <c r="BQ43" s="206" t="str">
        <f t="shared" si="48"/>
        <v/>
      </c>
      <c r="BR43" s="206" t="str">
        <f t="shared" si="48"/>
        <v/>
      </c>
      <c r="BS43" s="207" t="str">
        <f t="shared" si="48"/>
        <v/>
      </c>
      <c r="BT43" s="208" t="str">
        <f t="shared" si="48"/>
        <v/>
      </c>
      <c r="BU43" s="206" t="str">
        <f t="shared" si="48"/>
        <v/>
      </c>
      <c r="BV43" s="206" t="str">
        <f t="shared" si="48"/>
        <v/>
      </c>
      <c r="BW43" s="207" t="str">
        <f t="shared" si="48"/>
        <v/>
      </c>
      <c r="BX43" s="208" t="str">
        <f t="shared" si="48"/>
        <v/>
      </c>
      <c r="BY43" s="206" t="str">
        <f t="shared" si="48"/>
        <v/>
      </c>
      <c r="BZ43" s="206" t="str">
        <f t="shared" si="48"/>
        <v/>
      </c>
      <c r="CA43" s="207" t="str">
        <f t="shared" si="48"/>
        <v/>
      </c>
      <c r="CB43" s="208" t="str">
        <f t="shared" si="48"/>
        <v/>
      </c>
      <c r="CC43" s="206" t="str">
        <f t="shared" si="48"/>
        <v/>
      </c>
      <c r="CD43" s="206" t="str">
        <f t="shared" si="48"/>
        <v/>
      </c>
      <c r="CE43" s="207" t="str">
        <f t="shared" si="48"/>
        <v/>
      </c>
    </row>
    <row r="44" spans="1:87" ht="18" customHeight="1">
      <c r="A44" s="22">
        <f>+TABELLA!M48</f>
        <v>0</v>
      </c>
      <c r="B44" s="22">
        <f>+TABELLA!N48</f>
        <v>0</v>
      </c>
      <c r="C44" s="22">
        <f>+TABELLA!O48</f>
        <v>0</v>
      </c>
      <c r="D44" s="22">
        <f>+TABELLA!P48</f>
        <v>0</v>
      </c>
      <c r="E44" s="22"/>
      <c r="F44" s="26" t="str">
        <f>IF(TABELLA!B48="","",TABELLA!B48)</f>
        <v/>
      </c>
      <c r="G44" s="27" t="str">
        <f>IF(TABELLA!C48="","",TABELLA!C48)</f>
        <v/>
      </c>
      <c r="H44" s="203" t="str">
        <f t="shared" ref="H44:V44" si="54">IF(AND(G$3&gt;=$A44,G$3&lt;$B44),1,IF(AND(G$3&gt;=$C44,G$3&lt;$D44),1,""))</f>
        <v/>
      </c>
      <c r="I44" s="203" t="str">
        <f t="shared" si="54"/>
        <v/>
      </c>
      <c r="J44" s="203" t="str">
        <f t="shared" si="54"/>
        <v/>
      </c>
      <c r="K44" s="204" t="str">
        <f t="shared" si="54"/>
        <v/>
      </c>
      <c r="L44" s="205" t="str">
        <f t="shared" si="54"/>
        <v/>
      </c>
      <c r="M44" s="203" t="str">
        <f t="shared" si="54"/>
        <v/>
      </c>
      <c r="N44" s="203" t="str">
        <f t="shared" si="54"/>
        <v/>
      </c>
      <c r="O44" s="204" t="str">
        <f t="shared" si="54"/>
        <v/>
      </c>
      <c r="P44" s="205" t="str">
        <f t="shared" si="54"/>
        <v/>
      </c>
      <c r="Q44" s="203" t="str">
        <f t="shared" si="54"/>
        <v/>
      </c>
      <c r="R44" s="203" t="str">
        <f t="shared" si="54"/>
        <v/>
      </c>
      <c r="S44" s="204" t="str">
        <f t="shared" si="54"/>
        <v/>
      </c>
      <c r="T44" s="205" t="str">
        <f t="shared" si="54"/>
        <v/>
      </c>
      <c r="U44" s="203" t="str">
        <f t="shared" si="54"/>
        <v/>
      </c>
      <c r="V44" s="203" t="str">
        <f t="shared" si="54"/>
        <v/>
      </c>
      <c r="W44" s="204" t="str">
        <f t="shared" si="46"/>
        <v/>
      </c>
      <c r="X44" s="205" t="str">
        <f t="shared" si="43"/>
        <v/>
      </c>
      <c r="Y44" s="203" t="str">
        <f t="shared" si="43"/>
        <v/>
      </c>
      <c r="Z44" s="203" t="str">
        <f t="shared" si="43"/>
        <v/>
      </c>
      <c r="AA44" s="204" t="str">
        <f t="shared" si="43"/>
        <v/>
      </c>
      <c r="AB44" s="205" t="str">
        <f t="shared" si="43"/>
        <v/>
      </c>
      <c r="AC44" s="203" t="str">
        <f t="shared" si="43"/>
        <v/>
      </c>
      <c r="AD44" s="203" t="str">
        <f t="shared" si="43"/>
        <v/>
      </c>
      <c r="AE44" s="204" t="str">
        <f t="shared" si="43"/>
        <v/>
      </c>
      <c r="AF44" s="205" t="str">
        <f t="shared" si="43"/>
        <v/>
      </c>
      <c r="AG44" s="203" t="str">
        <f t="shared" si="43"/>
        <v/>
      </c>
      <c r="AH44" s="203" t="str">
        <f t="shared" si="43"/>
        <v/>
      </c>
      <c r="AI44" s="204" t="str">
        <f t="shared" si="43"/>
        <v/>
      </c>
      <c r="AJ44" s="205" t="str">
        <f t="shared" si="43"/>
        <v/>
      </c>
      <c r="AK44" s="203" t="str">
        <f t="shared" si="43"/>
        <v/>
      </c>
      <c r="AL44" s="203" t="str">
        <f t="shared" si="43"/>
        <v/>
      </c>
      <c r="AM44" s="204" t="str">
        <f t="shared" si="47"/>
        <v/>
      </c>
      <c r="AN44" s="205" t="str">
        <f t="shared" si="47"/>
        <v/>
      </c>
      <c r="AO44" s="203" t="str">
        <f t="shared" si="47"/>
        <v/>
      </c>
      <c r="AP44" s="203" t="str">
        <f t="shared" si="47"/>
        <v/>
      </c>
      <c r="AQ44" s="204" t="str">
        <f t="shared" si="47"/>
        <v/>
      </c>
      <c r="AR44" s="205" t="str">
        <f t="shared" si="47"/>
        <v/>
      </c>
      <c r="AS44" s="203" t="str">
        <f t="shared" si="47"/>
        <v/>
      </c>
      <c r="AT44" s="203" t="str">
        <f t="shared" si="47"/>
        <v/>
      </c>
      <c r="AU44" s="204" t="str">
        <f t="shared" si="47"/>
        <v/>
      </c>
      <c r="AV44" s="205" t="str">
        <f t="shared" si="47"/>
        <v/>
      </c>
      <c r="AW44" s="203" t="str">
        <f t="shared" si="47"/>
        <v/>
      </c>
      <c r="AX44" s="203" t="str">
        <f t="shared" si="47"/>
        <v/>
      </c>
      <c r="AY44" s="204" t="str">
        <f t="shared" si="47"/>
        <v/>
      </c>
      <c r="AZ44" s="205" t="str">
        <f t="shared" si="47"/>
        <v/>
      </c>
      <c r="BA44" s="203" t="str">
        <f t="shared" si="47"/>
        <v/>
      </c>
      <c r="BB44" s="203" t="str">
        <f t="shared" si="47"/>
        <v/>
      </c>
      <c r="BC44" s="204" t="str">
        <f t="shared" si="44"/>
        <v/>
      </c>
      <c r="BD44" s="205" t="str">
        <f t="shared" si="44"/>
        <v/>
      </c>
      <c r="BE44" s="203" t="str">
        <f t="shared" si="44"/>
        <v/>
      </c>
      <c r="BF44" s="203" t="str">
        <f t="shared" si="44"/>
        <v/>
      </c>
      <c r="BG44" s="204" t="str">
        <f t="shared" si="44"/>
        <v/>
      </c>
      <c r="BH44" s="205" t="str">
        <f t="shared" si="44"/>
        <v/>
      </c>
      <c r="BI44" s="203" t="str">
        <f t="shared" si="44"/>
        <v/>
      </c>
      <c r="BJ44" s="203" t="str">
        <f t="shared" si="44"/>
        <v/>
      </c>
      <c r="BK44" s="204" t="str">
        <f t="shared" si="44"/>
        <v/>
      </c>
      <c r="BL44" s="205" t="str">
        <f t="shared" si="44"/>
        <v/>
      </c>
      <c r="BM44" s="203" t="str">
        <f t="shared" si="44"/>
        <v/>
      </c>
      <c r="BN44" s="203" t="str">
        <f t="shared" si="44"/>
        <v/>
      </c>
      <c r="BO44" s="204" t="str">
        <f t="shared" si="44"/>
        <v/>
      </c>
      <c r="BP44" s="205" t="str">
        <f t="shared" si="48"/>
        <v/>
      </c>
      <c r="BQ44" s="203" t="str">
        <f t="shared" si="48"/>
        <v/>
      </c>
      <c r="BR44" s="203" t="str">
        <f t="shared" si="48"/>
        <v/>
      </c>
      <c r="BS44" s="204" t="str">
        <f t="shared" si="48"/>
        <v/>
      </c>
      <c r="BT44" s="205" t="str">
        <f t="shared" si="48"/>
        <v/>
      </c>
      <c r="BU44" s="203" t="str">
        <f t="shared" si="48"/>
        <v/>
      </c>
      <c r="BV44" s="203" t="str">
        <f t="shared" si="48"/>
        <v/>
      </c>
      <c r="BW44" s="204" t="str">
        <f t="shared" si="48"/>
        <v/>
      </c>
      <c r="BX44" s="205" t="str">
        <f t="shared" si="48"/>
        <v/>
      </c>
      <c r="BY44" s="203" t="str">
        <f t="shared" si="48"/>
        <v/>
      </c>
      <c r="BZ44" s="203" t="str">
        <f t="shared" si="48"/>
        <v/>
      </c>
      <c r="CA44" s="204" t="str">
        <f t="shared" si="48"/>
        <v/>
      </c>
      <c r="CB44" s="205" t="str">
        <f t="shared" si="48"/>
        <v/>
      </c>
      <c r="CC44" s="203" t="str">
        <f t="shared" si="48"/>
        <v/>
      </c>
      <c r="CD44" s="203" t="str">
        <f t="shared" si="48"/>
        <v/>
      </c>
      <c r="CE44" s="204" t="str">
        <f t="shared" si="48"/>
        <v/>
      </c>
    </row>
    <row r="45" spans="1:87" ht="18" customHeight="1">
      <c r="A45" s="22">
        <f>+TABELLA!M49</f>
        <v>0</v>
      </c>
      <c r="B45" s="22">
        <f>+TABELLA!N49</f>
        <v>0</v>
      </c>
      <c r="C45" s="22">
        <f>+TABELLA!O49</f>
        <v>0</v>
      </c>
      <c r="D45" s="22">
        <f>+TABELLA!P49</f>
        <v>0</v>
      </c>
      <c r="E45" s="22"/>
      <c r="F45" s="41" t="str">
        <f>IF(TABELLA!B49="","",TABELLA!B49)</f>
        <v/>
      </c>
      <c r="G45" s="42" t="str">
        <f>IF(TABELLA!C49="","",TABELLA!C49)</f>
        <v/>
      </c>
      <c r="H45" s="206" t="str">
        <f t="shared" ref="H45:V45" si="55">IF(AND(G$3&gt;=$A45,G$3&lt;$B45),1,IF(AND(G$3&gt;=$C45,G$3&lt;$D45),1,""))</f>
        <v/>
      </c>
      <c r="I45" s="206" t="str">
        <f t="shared" si="55"/>
        <v/>
      </c>
      <c r="J45" s="206" t="str">
        <f t="shared" si="55"/>
        <v/>
      </c>
      <c r="K45" s="207" t="str">
        <f t="shared" si="55"/>
        <v/>
      </c>
      <c r="L45" s="208" t="str">
        <f t="shared" si="55"/>
        <v/>
      </c>
      <c r="M45" s="206" t="str">
        <f t="shared" si="55"/>
        <v/>
      </c>
      <c r="N45" s="206" t="str">
        <f t="shared" si="55"/>
        <v/>
      </c>
      <c r="O45" s="207" t="str">
        <f t="shared" si="55"/>
        <v/>
      </c>
      <c r="P45" s="208" t="str">
        <f t="shared" si="55"/>
        <v/>
      </c>
      <c r="Q45" s="206" t="str">
        <f t="shared" si="55"/>
        <v/>
      </c>
      <c r="R45" s="206" t="str">
        <f t="shared" si="55"/>
        <v/>
      </c>
      <c r="S45" s="207" t="str">
        <f t="shared" si="55"/>
        <v/>
      </c>
      <c r="T45" s="208" t="str">
        <f t="shared" si="55"/>
        <v/>
      </c>
      <c r="U45" s="206" t="str">
        <f t="shared" si="55"/>
        <v/>
      </c>
      <c r="V45" s="206" t="str">
        <f t="shared" si="55"/>
        <v/>
      </c>
      <c r="W45" s="207" t="str">
        <f t="shared" si="46"/>
        <v/>
      </c>
      <c r="X45" s="208" t="str">
        <f t="shared" si="43"/>
        <v/>
      </c>
      <c r="Y45" s="206" t="str">
        <f t="shared" si="43"/>
        <v/>
      </c>
      <c r="Z45" s="206" t="str">
        <f t="shared" si="43"/>
        <v/>
      </c>
      <c r="AA45" s="207" t="str">
        <f t="shared" si="43"/>
        <v/>
      </c>
      <c r="AB45" s="208" t="str">
        <f t="shared" si="43"/>
        <v/>
      </c>
      <c r="AC45" s="206" t="str">
        <f t="shared" si="43"/>
        <v/>
      </c>
      <c r="AD45" s="206" t="str">
        <f t="shared" si="43"/>
        <v/>
      </c>
      <c r="AE45" s="207" t="str">
        <f t="shared" si="43"/>
        <v/>
      </c>
      <c r="AF45" s="208" t="str">
        <f t="shared" si="43"/>
        <v/>
      </c>
      <c r="AG45" s="206" t="str">
        <f t="shared" si="43"/>
        <v/>
      </c>
      <c r="AH45" s="206" t="str">
        <f t="shared" si="43"/>
        <v/>
      </c>
      <c r="AI45" s="207" t="str">
        <f t="shared" si="43"/>
        <v/>
      </c>
      <c r="AJ45" s="208" t="str">
        <f t="shared" si="43"/>
        <v/>
      </c>
      <c r="AK45" s="206" t="str">
        <f t="shared" si="43"/>
        <v/>
      </c>
      <c r="AL45" s="206" t="str">
        <f t="shared" si="43"/>
        <v/>
      </c>
      <c r="AM45" s="207" t="str">
        <f t="shared" si="47"/>
        <v/>
      </c>
      <c r="AN45" s="208" t="str">
        <f t="shared" si="47"/>
        <v/>
      </c>
      <c r="AO45" s="206" t="str">
        <f t="shared" si="47"/>
        <v/>
      </c>
      <c r="AP45" s="206" t="str">
        <f t="shared" si="47"/>
        <v/>
      </c>
      <c r="AQ45" s="207" t="str">
        <f t="shared" si="47"/>
        <v/>
      </c>
      <c r="AR45" s="208" t="str">
        <f t="shared" si="47"/>
        <v/>
      </c>
      <c r="AS45" s="206" t="str">
        <f t="shared" si="47"/>
        <v/>
      </c>
      <c r="AT45" s="206" t="str">
        <f t="shared" si="47"/>
        <v/>
      </c>
      <c r="AU45" s="207" t="str">
        <f t="shared" si="47"/>
        <v/>
      </c>
      <c r="AV45" s="208" t="str">
        <f t="shared" si="47"/>
        <v/>
      </c>
      <c r="AW45" s="206" t="str">
        <f t="shared" si="47"/>
        <v/>
      </c>
      <c r="AX45" s="206" t="str">
        <f t="shared" si="47"/>
        <v/>
      </c>
      <c r="AY45" s="207" t="str">
        <f t="shared" si="47"/>
        <v/>
      </c>
      <c r="AZ45" s="208" t="str">
        <f t="shared" si="47"/>
        <v/>
      </c>
      <c r="BA45" s="206" t="str">
        <f t="shared" si="47"/>
        <v/>
      </c>
      <c r="BB45" s="206" t="str">
        <f t="shared" si="47"/>
        <v/>
      </c>
      <c r="BC45" s="207" t="str">
        <f t="shared" si="44"/>
        <v/>
      </c>
      <c r="BD45" s="208" t="str">
        <f t="shared" si="44"/>
        <v/>
      </c>
      <c r="BE45" s="206" t="str">
        <f t="shared" si="44"/>
        <v/>
      </c>
      <c r="BF45" s="206" t="str">
        <f t="shared" si="44"/>
        <v/>
      </c>
      <c r="BG45" s="207" t="str">
        <f t="shared" si="44"/>
        <v/>
      </c>
      <c r="BH45" s="208" t="str">
        <f t="shared" si="44"/>
        <v/>
      </c>
      <c r="BI45" s="206" t="str">
        <f t="shared" si="44"/>
        <v/>
      </c>
      <c r="BJ45" s="206" t="str">
        <f t="shared" si="44"/>
        <v/>
      </c>
      <c r="BK45" s="207" t="str">
        <f t="shared" si="44"/>
        <v/>
      </c>
      <c r="BL45" s="208" t="str">
        <f t="shared" si="44"/>
        <v/>
      </c>
      <c r="BM45" s="206" t="str">
        <f t="shared" si="44"/>
        <v/>
      </c>
      <c r="BN45" s="206" t="str">
        <f t="shared" si="44"/>
        <v/>
      </c>
      <c r="BO45" s="207" t="str">
        <f t="shared" si="44"/>
        <v/>
      </c>
      <c r="BP45" s="208" t="str">
        <f t="shared" si="48"/>
        <v/>
      </c>
      <c r="BQ45" s="206" t="str">
        <f t="shared" si="48"/>
        <v/>
      </c>
      <c r="BR45" s="206" t="str">
        <f t="shared" si="48"/>
        <v/>
      </c>
      <c r="BS45" s="207" t="str">
        <f t="shared" si="48"/>
        <v/>
      </c>
      <c r="BT45" s="208" t="str">
        <f t="shared" si="48"/>
        <v/>
      </c>
      <c r="BU45" s="206" t="str">
        <f t="shared" si="48"/>
        <v/>
      </c>
      <c r="BV45" s="206" t="str">
        <f t="shared" si="48"/>
        <v/>
      </c>
      <c r="BW45" s="207" t="str">
        <f t="shared" si="48"/>
        <v/>
      </c>
      <c r="BX45" s="208" t="str">
        <f t="shared" si="48"/>
        <v/>
      </c>
      <c r="BY45" s="206" t="str">
        <f t="shared" si="48"/>
        <v/>
      </c>
      <c r="BZ45" s="206" t="str">
        <f t="shared" si="48"/>
        <v/>
      </c>
      <c r="CA45" s="207" t="str">
        <f t="shared" si="48"/>
        <v/>
      </c>
      <c r="CB45" s="208" t="str">
        <f t="shared" si="48"/>
        <v/>
      </c>
      <c r="CC45" s="206" t="str">
        <f t="shared" si="48"/>
        <v/>
      </c>
      <c r="CD45" s="206" t="str">
        <f t="shared" si="48"/>
        <v/>
      </c>
      <c r="CE45" s="207" t="str">
        <f t="shared" si="48"/>
        <v/>
      </c>
    </row>
    <row r="46" spans="1:87" ht="20.100000000000001" customHeight="1">
      <c r="F46" s="9">
        <v>1</v>
      </c>
      <c r="G46" s="10" t="s">
        <v>80</v>
      </c>
      <c r="H46" s="177">
        <f t="shared" ref="H46:W54" si="56">SUMIF($F$6:$F$45,$F46,H$6:H$45)</f>
        <v>0</v>
      </c>
      <c r="I46" s="178">
        <f t="shared" si="56"/>
        <v>0</v>
      </c>
      <c r="J46" s="178">
        <f t="shared" si="56"/>
        <v>0</v>
      </c>
      <c r="K46" s="179">
        <f t="shared" si="56"/>
        <v>0</v>
      </c>
      <c r="L46" s="177">
        <f t="shared" si="56"/>
        <v>0</v>
      </c>
      <c r="M46" s="178">
        <f t="shared" si="56"/>
        <v>0</v>
      </c>
      <c r="N46" s="178">
        <f t="shared" si="56"/>
        <v>0</v>
      </c>
      <c r="O46" s="179">
        <f t="shared" si="56"/>
        <v>0</v>
      </c>
      <c r="P46" s="177">
        <f t="shared" si="56"/>
        <v>0</v>
      </c>
      <c r="Q46" s="178">
        <f t="shared" si="56"/>
        <v>0</v>
      </c>
      <c r="R46" s="178">
        <f t="shared" si="56"/>
        <v>0</v>
      </c>
      <c r="S46" s="179">
        <f t="shared" si="56"/>
        <v>0</v>
      </c>
      <c r="T46" s="177">
        <f t="shared" si="56"/>
        <v>0</v>
      </c>
      <c r="U46" s="178">
        <f t="shared" si="56"/>
        <v>0</v>
      </c>
      <c r="V46" s="178">
        <f t="shared" si="56"/>
        <v>0</v>
      </c>
      <c r="W46" s="179">
        <f t="shared" si="56"/>
        <v>0</v>
      </c>
      <c r="X46" s="177">
        <f t="shared" ref="X46:AM54" si="57">SUMIF($F$6:$F$45,$F46,X$6:X$45)</f>
        <v>0</v>
      </c>
      <c r="Y46" s="178">
        <f t="shared" si="57"/>
        <v>0</v>
      </c>
      <c r="Z46" s="178">
        <f t="shared" si="57"/>
        <v>0</v>
      </c>
      <c r="AA46" s="179">
        <f t="shared" si="57"/>
        <v>0</v>
      </c>
      <c r="AB46" s="177">
        <f t="shared" si="57"/>
        <v>0</v>
      </c>
      <c r="AC46" s="178">
        <f t="shared" si="57"/>
        <v>0</v>
      </c>
      <c r="AD46" s="178">
        <f t="shared" si="57"/>
        <v>0</v>
      </c>
      <c r="AE46" s="179">
        <f t="shared" si="57"/>
        <v>0</v>
      </c>
      <c r="AF46" s="177">
        <f t="shared" si="57"/>
        <v>0</v>
      </c>
      <c r="AG46" s="178">
        <f t="shared" si="57"/>
        <v>0</v>
      </c>
      <c r="AH46" s="178">
        <f t="shared" si="57"/>
        <v>0</v>
      </c>
      <c r="AI46" s="179">
        <f t="shared" si="57"/>
        <v>0</v>
      </c>
      <c r="AJ46" s="177">
        <f t="shared" si="57"/>
        <v>0</v>
      </c>
      <c r="AK46" s="178">
        <f t="shared" si="57"/>
        <v>0</v>
      </c>
      <c r="AL46" s="178">
        <f t="shared" si="57"/>
        <v>0</v>
      </c>
      <c r="AM46" s="179">
        <f t="shared" si="57"/>
        <v>0</v>
      </c>
      <c r="AN46" s="177">
        <f t="shared" ref="AN46:BC54" si="58">SUMIF($F$6:$F$45,$F46,AN$6:AN$45)</f>
        <v>0</v>
      </c>
      <c r="AO46" s="178">
        <f t="shared" si="58"/>
        <v>0</v>
      </c>
      <c r="AP46" s="178">
        <f t="shared" si="58"/>
        <v>0</v>
      </c>
      <c r="AQ46" s="179">
        <f t="shared" si="58"/>
        <v>0</v>
      </c>
      <c r="AR46" s="177">
        <f t="shared" si="58"/>
        <v>0</v>
      </c>
      <c r="AS46" s="178">
        <f t="shared" si="58"/>
        <v>0</v>
      </c>
      <c r="AT46" s="178">
        <f t="shared" si="58"/>
        <v>0</v>
      </c>
      <c r="AU46" s="179">
        <f t="shared" si="58"/>
        <v>0</v>
      </c>
      <c r="AV46" s="177">
        <f t="shared" si="58"/>
        <v>0</v>
      </c>
      <c r="AW46" s="178">
        <f t="shared" si="58"/>
        <v>0</v>
      </c>
      <c r="AX46" s="178">
        <f t="shared" si="58"/>
        <v>0</v>
      </c>
      <c r="AY46" s="179">
        <f t="shared" si="58"/>
        <v>0</v>
      </c>
      <c r="AZ46" s="177">
        <f t="shared" si="58"/>
        <v>0</v>
      </c>
      <c r="BA46" s="178">
        <f t="shared" si="58"/>
        <v>0</v>
      </c>
      <c r="BB46" s="178">
        <f t="shared" si="58"/>
        <v>0</v>
      </c>
      <c r="BC46" s="179">
        <f t="shared" si="58"/>
        <v>0</v>
      </c>
      <c r="BD46" s="177">
        <f t="shared" ref="BD46:BS54" si="59">SUMIF($F$6:$F$45,$F46,BD$6:BD$45)</f>
        <v>0</v>
      </c>
      <c r="BE46" s="178">
        <f t="shared" si="59"/>
        <v>0</v>
      </c>
      <c r="BF46" s="178">
        <f t="shared" si="59"/>
        <v>0</v>
      </c>
      <c r="BG46" s="179">
        <f t="shared" si="59"/>
        <v>0</v>
      </c>
      <c r="BH46" s="177">
        <f t="shared" si="59"/>
        <v>0</v>
      </c>
      <c r="BI46" s="178">
        <f t="shared" si="59"/>
        <v>0</v>
      </c>
      <c r="BJ46" s="178">
        <f t="shared" si="59"/>
        <v>0</v>
      </c>
      <c r="BK46" s="179">
        <f t="shared" si="59"/>
        <v>0</v>
      </c>
      <c r="BL46" s="177">
        <f t="shared" si="59"/>
        <v>0</v>
      </c>
      <c r="BM46" s="178">
        <f t="shared" si="59"/>
        <v>0</v>
      </c>
      <c r="BN46" s="178">
        <f t="shared" si="59"/>
        <v>0</v>
      </c>
      <c r="BO46" s="179">
        <f t="shared" si="59"/>
        <v>0</v>
      </c>
      <c r="BP46" s="177">
        <f t="shared" si="59"/>
        <v>0</v>
      </c>
      <c r="BQ46" s="178">
        <f t="shared" si="59"/>
        <v>0</v>
      </c>
      <c r="BR46" s="178">
        <f t="shared" si="59"/>
        <v>0</v>
      </c>
      <c r="BS46" s="179">
        <f t="shared" si="59"/>
        <v>0</v>
      </c>
      <c r="BT46" s="177">
        <f t="shared" ref="BT46:CE54" si="60">SUMIF($F$6:$F$45,$F46,BT$6:BT$45)</f>
        <v>0</v>
      </c>
      <c r="BU46" s="178">
        <f t="shared" si="60"/>
        <v>0</v>
      </c>
      <c r="BV46" s="178">
        <f t="shared" si="60"/>
        <v>0</v>
      </c>
      <c r="BW46" s="179">
        <f t="shared" si="60"/>
        <v>0</v>
      </c>
      <c r="BX46" s="177">
        <f t="shared" si="60"/>
        <v>0</v>
      </c>
      <c r="BY46" s="178">
        <f t="shared" si="60"/>
        <v>0</v>
      </c>
      <c r="BZ46" s="178">
        <f t="shared" si="60"/>
        <v>0</v>
      </c>
      <c r="CA46" s="179">
        <f t="shared" si="60"/>
        <v>0</v>
      </c>
      <c r="CB46" s="177">
        <f t="shared" si="60"/>
        <v>0</v>
      </c>
      <c r="CC46" s="178">
        <f t="shared" si="60"/>
        <v>0</v>
      </c>
      <c r="CD46" s="178">
        <f t="shared" si="60"/>
        <v>0</v>
      </c>
      <c r="CE46" s="179">
        <f t="shared" si="60"/>
        <v>0</v>
      </c>
      <c r="CF46" s="13"/>
      <c r="CG46" s="13"/>
      <c r="CH46" s="13"/>
      <c r="CI46" s="13"/>
    </row>
    <row r="47" spans="1:87" ht="20.100000000000001" customHeight="1">
      <c r="F47" s="3">
        <v>2</v>
      </c>
      <c r="G47" s="4" t="s">
        <v>11</v>
      </c>
      <c r="H47" s="180">
        <f t="shared" si="56"/>
        <v>0</v>
      </c>
      <c r="I47" s="181">
        <f t="shared" si="56"/>
        <v>0</v>
      </c>
      <c r="J47" s="181">
        <f t="shared" si="56"/>
        <v>0</v>
      </c>
      <c r="K47" s="182">
        <f t="shared" si="56"/>
        <v>0</v>
      </c>
      <c r="L47" s="180">
        <f t="shared" si="56"/>
        <v>0</v>
      </c>
      <c r="M47" s="181">
        <f t="shared" si="56"/>
        <v>0</v>
      </c>
      <c r="N47" s="181">
        <f t="shared" si="56"/>
        <v>0</v>
      </c>
      <c r="O47" s="182">
        <f t="shared" si="56"/>
        <v>0</v>
      </c>
      <c r="P47" s="180">
        <f t="shared" si="56"/>
        <v>0</v>
      </c>
      <c r="Q47" s="181">
        <f t="shared" si="56"/>
        <v>0</v>
      </c>
      <c r="R47" s="181">
        <f t="shared" si="56"/>
        <v>0</v>
      </c>
      <c r="S47" s="182">
        <f t="shared" si="56"/>
        <v>0</v>
      </c>
      <c r="T47" s="180">
        <f t="shared" si="56"/>
        <v>0</v>
      </c>
      <c r="U47" s="181">
        <f t="shared" si="56"/>
        <v>0</v>
      </c>
      <c r="V47" s="181">
        <f t="shared" si="56"/>
        <v>0</v>
      </c>
      <c r="W47" s="182">
        <f t="shared" si="56"/>
        <v>0</v>
      </c>
      <c r="X47" s="180">
        <f t="shared" si="57"/>
        <v>0</v>
      </c>
      <c r="Y47" s="181">
        <f t="shared" si="57"/>
        <v>0</v>
      </c>
      <c r="Z47" s="181">
        <f t="shared" si="57"/>
        <v>0</v>
      </c>
      <c r="AA47" s="182">
        <f t="shared" si="57"/>
        <v>0</v>
      </c>
      <c r="AB47" s="180">
        <f t="shared" si="57"/>
        <v>0</v>
      </c>
      <c r="AC47" s="181">
        <f t="shared" si="57"/>
        <v>0</v>
      </c>
      <c r="AD47" s="181">
        <f t="shared" si="57"/>
        <v>0</v>
      </c>
      <c r="AE47" s="182">
        <f t="shared" si="57"/>
        <v>0</v>
      </c>
      <c r="AF47" s="180">
        <f t="shared" si="57"/>
        <v>0</v>
      </c>
      <c r="AG47" s="181">
        <f t="shared" si="57"/>
        <v>0</v>
      </c>
      <c r="AH47" s="181">
        <f t="shared" si="57"/>
        <v>0</v>
      </c>
      <c r="AI47" s="182">
        <f t="shared" si="57"/>
        <v>0</v>
      </c>
      <c r="AJ47" s="180">
        <f t="shared" si="57"/>
        <v>0</v>
      </c>
      <c r="AK47" s="181">
        <f t="shared" si="57"/>
        <v>0</v>
      </c>
      <c r="AL47" s="181">
        <f t="shared" si="57"/>
        <v>0</v>
      </c>
      <c r="AM47" s="182">
        <f t="shared" si="57"/>
        <v>0</v>
      </c>
      <c r="AN47" s="180">
        <f t="shared" si="58"/>
        <v>0</v>
      </c>
      <c r="AO47" s="181">
        <f t="shared" si="58"/>
        <v>0</v>
      </c>
      <c r="AP47" s="181">
        <f t="shared" si="58"/>
        <v>0</v>
      </c>
      <c r="AQ47" s="182">
        <f t="shared" si="58"/>
        <v>0</v>
      </c>
      <c r="AR47" s="180">
        <f t="shared" si="58"/>
        <v>0</v>
      </c>
      <c r="AS47" s="181">
        <f t="shared" si="58"/>
        <v>0</v>
      </c>
      <c r="AT47" s="181">
        <f t="shared" si="58"/>
        <v>0</v>
      </c>
      <c r="AU47" s="182">
        <f t="shared" si="58"/>
        <v>0</v>
      </c>
      <c r="AV47" s="180">
        <f t="shared" si="58"/>
        <v>0</v>
      </c>
      <c r="AW47" s="181">
        <f t="shared" si="58"/>
        <v>0</v>
      </c>
      <c r="AX47" s="181">
        <f t="shared" si="58"/>
        <v>0</v>
      </c>
      <c r="AY47" s="182">
        <f t="shared" si="58"/>
        <v>0</v>
      </c>
      <c r="AZ47" s="180">
        <f t="shared" si="58"/>
        <v>0</v>
      </c>
      <c r="BA47" s="181">
        <f t="shared" si="58"/>
        <v>0</v>
      </c>
      <c r="BB47" s="181">
        <f t="shared" si="58"/>
        <v>0</v>
      </c>
      <c r="BC47" s="182">
        <f t="shared" si="58"/>
        <v>0</v>
      </c>
      <c r="BD47" s="180">
        <f t="shared" si="59"/>
        <v>0</v>
      </c>
      <c r="BE47" s="181">
        <f t="shared" si="59"/>
        <v>0</v>
      </c>
      <c r="BF47" s="181">
        <f t="shared" si="59"/>
        <v>0</v>
      </c>
      <c r="BG47" s="182">
        <f t="shared" si="59"/>
        <v>0</v>
      </c>
      <c r="BH47" s="180">
        <f t="shared" si="59"/>
        <v>0</v>
      </c>
      <c r="BI47" s="181">
        <f t="shared" si="59"/>
        <v>0</v>
      </c>
      <c r="BJ47" s="181">
        <f t="shared" si="59"/>
        <v>0</v>
      </c>
      <c r="BK47" s="182">
        <f t="shared" si="59"/>
        <v>0</v>
      </c>
      <c r="BL47" s="180">
        <f t="shared" si="59"/>
        <v>0</v>
      </c>
      <c r="BM47" s="181">
        <f t="shared" si="59"/>
        <v>0</v>
      </c>
      <c r="BN47" s="181">
        <f t="shared" si="59"/>
        <v>0</v>
      </c>
      <c r="BO47" s="182">
        <f t="shared" si="59"/>
        <v>0</v>
      </c>
      <c r="BP47" s="180">
        <f t="shared" si="59"/>
        <v>0</v>
      </c>
      <c r="BQ47" s="181">
        <f t="shared" si="59"/>
        <v>0</v>
      </c>
      <c r="BR47" s="181">
        <f t="shared" si="59"/>
        <v>0</v>
      </c>
      <c r="BS47" s="182">
        <f t="shared" si="59"/>
        <v>0</v>
      </c>
      <c r="BT47" s="180">
        <f t="shared" si="60"/>
        <v>0</v>
      </c>
      <c r="BU47" s="181">
        <f t="shared" si="60"/>
        <v>0</v>
      </c>
      <c r="BV47" s="181">
        <f t="shared" si="60"/>
        <v>0</v>
      </c>
      <c r="BW47" s="182">
        <f t="shared" si="60"/>
        <v>0</v>
      </c>
      <c r="BX47" s="180">
        <f t="shared" si="60"/>
        <v>0</v>
      </c>
      <c r="BY47" s="181">
        <f t="shared" si="60"/>
        <v>0</v>
      </c>
      <c r="BZ47" s="181">
        <f t="shared" si="60"/>
        <v>0</v>
      </c>
      <c r="CA47" s="182">
        <f t="shared" si="60"/>
        <v>0</v>
      </c>
      <c r="CB47" s="180">
        <f t="shared" si="60"/>
        <v>0</v>
      </c>
      <c r="CC47" s="181">
        <f t="shared" si="60"/>
        <v>0</v>
      </c>
      <c r="CD47" s="181">
        <f t="shared" si="60"/>
        <v>0</v>
      </c>
      <c r="CE47" s="182">
        <f t="shared" si="60"/>
        <v>0</v>
      </c>
      <c r="CF47" s="13"/>
      <c r="CG47" s="13"/>
      <c r="CH47" s="13"/>
      <c r="CI47" s="13"/>
    </row>
    <row r="48" spans="1:87" ht="20.100000000000001" customHeight="1">
      <c r="F48" s="198">
        <v>3</v>
      </c>
      <c r="G48" s="199" t="s">
        <v>12</v>
      </c>
      <c r="H48" s="219">
        <f t="shared" si="56"/>
        <v>0</v>
      </c>
      <c r="I48" s="220">
        <f t="shared" si="56"/>
        <v>0</v>
      </c>
      <c r="J48" s="220">
        <f t="shared" si="56"/>
        <v>0</v>
      </c>
      <c r="K48" s="221">
        <f t="shared" si="56"/>
        <v>0</v>
      </c>
      <c r="L48" s="219">
        <f t="shared" si="56"/>
        <v>0</v>
      </c>
      <c r="M48" s="220">
        <f t="shared" si="56"/>
        <v>0</v>
      </c>
      <c r="N48" s="220">
        <f t="shared" si="56"/>
        <v>0</v>
      </c>
      <c r="O48" s="221">
        <f t="shared" si="56"/>
        <v>0</v>
      </c>
      <c r="P48" s="219">
        <f t="shared" si="56"/>
        <v>0</v>
      </c>
      <c r="Q48" s="220">
        <f t="shared" si="56"/>
        <v>0</v>
      </c>
      <c r="R48" s="220">
        <f t="shared" si="56"/>
        <v>0</v>
      </c>
      <c r="S48" s="221">
        <f t="shared" si="56"/>
        <v>0</v>
      </c>
      <c r="T48" s="219">
        <f t="shared" si="56"/>
        <v>0</v>
      </c>
      <c r="U48" s="220">
        <f t="shared" si="56"/>
        <v>0</v>
      </c>
      <c r="V48" s="220">
        <f t="shared" si="56"/>
        <v>0</v>
      </c>
      <c r="W48" s="221">
        <f t="shared" si="56"/>
        <v>0</v>
      </c>
      <c r="X48" s="219">
        <f t="shared" si="57"/>
        <v>0</v>
      </c>
      <c r="Y48" s="220">
        <f t="shared" si="57"/>
        <v>0</v>
      </c>
      <c r="Z48" s="220">
        <f t="shared" si="57"/>
        <v>0</v>
      </c>
      <c r="AA48" s="221">
        <f t="shared" si="57"/>
        <v>0</v>
      </c>
      <c r="AB48" s="219">
        <f t="shared" si="57"/>
        <v>0</v>
      </c>
      <c r="AC48" s="220">
        <f t="shared" si="57"/>
        <v>0</v>
      </c>
      <c r="AD48" s="220">
        <f t="shared" si="57"/>
        <v>0</v>
      </c>
      <c r="AE48" s="221">
        <f t="shared" si="57"/>
        <v>0</v>
      </c>
      <c r="AF48" s="219">
        <f t="shared" si="57"/>
        <v>0</v>
      </c>
      <c r="AG48" s="220">
        <f t="shared" si="57"/>
        <v>0</v>
      </c>
      <c r="AH48" s="220">
        <f t="shared" si="57"/>
        <v>0</v>
      </c>
      <c r="AI48" s="221">
        <f t="shared" si="57"/>
        <v>0</v>
      </c>
      <c r="AJ48" s="219">
        <f t="shared" si="57"/>
        <v>0</v>
      </c>
      <c r="AK48" s="220">
        <f t="shared" si="57"/>
        <v>0</v>
      </c>
      <c r="AL48" s="220">
        <f t="shared" si="57"/>
        <v>0</v>
      </c>
      <c r="AM48" s="221">
        <f t="shared" si="57"/>
        <v>0</v>
      </c>
      <c r="AN48" s="219">
        <f t="shared" si="58"/>
        <v>0</v>
      </c>
      <c r="AO48" s="220">
        <f t="shared" si="58"/>
        <v>0</v>
      </c>
      <c r="AP48" s="220">
        <f t="shared" si="58"/>
        <v>0</v>
      </c>
      <c r="AQ48" s="221">
        <f t="shared" si="58"/>
        <v>0</v>
      </c>
      <c r="AR48" s="219">
        <f t="shared" si="58"/>
        <v>0</v>
      </c>
      <c r="AS48" s="220">
        <f t="shared" si="58"/>
        <v>0</v>
      </c>
      <c r="AT48" s="220">
        <f t="shared" si="58"/>
        <v>0</v>
      </c>
      <c r="AU48" s="221">
        <f t="shared" si="58"/>
        <v>0</v>
      </c>
      <c r="AV48" s="219">
        <f t="shared" si="58"/>
        <v>0</v>
      </c>
      <c r="AW48" s="220">
        <f t="shared" si="58"/>
        <v>0</v>
      </c>
      <c r="AX48" s="220">
        <f t="shared" si="58"/>
        <v>0</v>
      </c>
      <c r="AY48" s="221">
        <f t="shared" si="58"/>
        <v>0</v>
      </c>
      <c r="AZ48" s="219">
        <f t="shared" si="58"/>
        <v>0</v>
      </c>
      <c r="BA48" s="220">
        <f t="shared" si="58"/>
        <v>0</v>
      </c>
      <c r="BB48" s="220">
        <f t="shared" si="58"/>
        <v>0</v>
      </c>
      <c r="BC48" s="221">
        <f t="shared" si="58"/>
        <v>0</v>
      </c>
      <c r="BD48" s="219">
        <f t="shared" si="59"/>
        <v>0</v>
      </c>
      <c r="BE48" s="220">
        <f t="shared" si="59"/>
        <v>0</v>
      </c>
      <c r="BF48" s="220">
        <f t="shared" si="59"/>
        <v>0</v>
      </c>
      <c r="BG48" s="221">
        <f t="shared" si="59"/>
        <v>0</v>
      </c>
      <c r="BH48" s="219">
        <f t="shared" si="59"/>
        <v>0</v>
      </c>
      <c r="BI48" s="220">
        <f t="shared" si="59"/>
        <v>0</v>
      </c>
      <c r="BJ48" s="220">
        <f t="shared" si="59"/>
        <v>0</v>
      </c>
      <c r="BK48" s="221">
        <f t="shared" si="59"/>
        <v>0</v>
      </c>
      <c r="BL48" s="219">
        <f t="shared" si="59"/>
        <v>0</v>
      </c>
      <c r="BM48" s="220">
        <f t="shared" si="59"/>
        <v>0</v>
      </c>
      <c r="BN48" s="220">
        <f t="shared" si="59"/>
        <v>0</v>
      </c>
      <c r="BO48" s="221">
        <f t="shared" si="59"/>
        <v>0</v>
      </c>
      <c r="BP48" s="219">
        <f t="shared" si="59"/>
        <v>0</v>
      </c>
      <c r="BQ48" s="220">
        <f t="shared" si="59"/>
        <v>0</v>
      </c>
      <c r="BR48" s="220">
        <f t="shared" si="59"/>
        <v>0</v>
      </c>
      <c r="BS48" s="221">
        <f t="shared" si="59"/>
        <v>0</v>
      </c>
      <c r="BT48" s="219">
        <f t="shared" si="60"/>
        <v>0</v>
      </c>
      <c r="BU48" s="220">
        <f t="shared" si="60"/>
        <v>0</v>
      </c>
      <c r="BV48" s="220">
        <f t="shared" si="60"/>
        <v>0</v>
      </c>
      <c r="BW48" s="221">
        <f t="shared" si="60"/>
        <v>0</v>
      </c>
      <c r="BX48" s="219">
        <f t="shared" si="60"/>
        <v>0</v>
      </c>
      <c r="BY48" s="220">
        <f t="shared" si="60"/>
        <v>0</v>
      </c>
      <c r="BZ48" s="220">
        <f t="shared" si="60"/>
        <v>0</v>
      </c>
      <c r="CA48" s="221">
        <f t="shared" si="60"/>
        <v>0</v>
      </c>
      <c r="CB48" s="219">
        <f t="shared" si="60"/>
        <v>0</v>
      </c>
      <c r="CC48" s="220">
        <f t="shared" si="60"/>
        <v>0</v>
      </c>
      <c r="CD48" s="220">
        <f t="shared" si="60"/>
        <v>0</v>
      </c>
      <c r="CE48" s="221">
        <f t="shared" si="60"/>
        <v>0</v>
      </c>
      <c r="CF48" s="13"/>
      <c r="CG48" s="13"/>
      <c r="CH48" s="13"/>
      <c r="CI48" s="13"/>
    </row>
    <row r="49" spans="1:87" ht="20.100000000000001" customHeight="1">
      <c r="B49" s="28"/>
      <c r="F49" s="1">
        <v>4</v>
      </c>
      <c r="G49" s="2" t="s">
        <v>81</v>
      </c>
      <c r="H49" s="214">
        <f t="shared" si="56"/>
        <v>0</v>
      </c>
      <c r="I49" s="215">
        <f t="shared" si="56"/>
        <v>0</v>
      </c>
      <c r="J49" s="215">
        <f t="shared" si="56"/>
        <v>0</v>
      </c>
      <c r="K49" s="216">
        <f t="shared" si="56"/>
        <v>0</v>
      </c>
      <c r="L49" s="214">
        <f t="shared" si="56"/>
        <v>0</v>
      </c>
      <c r="M49" s="215">
        <f t="shared" si="56"/>
        <v>0</v>
      </c>
      <c r="N49" s="215">
        <f t="shared" si="56"/>
        <v>0</v>
      </c>
      <c r="O49" s="216">
        <f t="shared" si="56"/>
        <v>0</v>
      </c>
      <c r="P49" s="214">
        <f t="shared" si="56"/>
        <v>0</v>
      </c>
      <c r="Q49" s="215">
        <f t="shared" si="56"/>
        <v>0</v>
      </c>
      <c r="R49" s="215">
        <f t="shared" si="56"/>
        <v>0</v>
      </c>
      <c r="S49" s="216">
        <f t="shared" si="56"/>
        <v>0</v>
      </c>
      <c r="T49" s="214">
        <f t="shared" si="56"/>
        <v>0</v>
      </c>
      <c r="U49" s="215">
        <f t="shared" si="56"/>
        <v>0</v>
      </c>
      <c r="V49" s="215">
        <f t="shared" si="56"/>
        <v>0</v>
      </c>
      <c r="W49" s="216">
        <f t="shared" si="56"/>
        <v>0</v>
      </c>
      <c r="X49" s="214">
        <f t="shared" si="57"/>
        <v>0</v>
      </c>
      <c r="Y49" s="215">
        <f t="shared" si="57"/>
        <v>0</v>
      </c>
      <c r="Z49" s="215">
        <f t="shared" si="57"/>
        <v>0</v>
      </c>
      <c r="AA49" s="216">
        <f t="shared" si="57"/>
        <v>0</v>
      </c>
      <c r="AB49" s="214">
        <f t="shared" si="57"/>
        <v>0</v>
      </c>
      <c r="AC49" s="215">
        <f t="shared" si="57"/>
        <v>0</v>
      </c>
      <c r="AD49" s="215">
        <f t="shared" si="57"/>
        <v>0</v>
      </c>
      <c r="AE49" s="216">
        <f t="shared" si="57"/>
        <v>0</v>
      </c>
      <c r="AF49" s="214">
        <f t="shared" si="57"/>
        <v>0</v>
      </c>
      <c r="AG49" s="215">
        <f t="shared" si="57"/>
        <v>0</v>
      </c>
      <c r="AH49" s="215">
        <f t="shared" si="57"/>
        <v>0</v>
      </c>
      <c r="AI49" s="216">
        <f t="shared" si="57"/>
        <v>0</v>
      </c>
      <c r="AJ49" s="214">
        <f t="shared" si="57"/>
        <v>0</v>
      </c>
      <c r="AK49" s="215">
        <f t="shared" si="57"/>
        <v>0</v>
      </c>
      <c r="AL49" s="215">
        <f t="shared" si="57"/>
        <v>0</v>
      </c>
      <c r="AM49" s="216">
        <f t="shared" si="57"/>
        <v>0</v>
      </c>
      <c r="AN49" s="214">
        <f t="shared" si="58"/>
        <v>0</v>
      </c>
      <c r="AO49" s="215">
        <f t="shared" si="58"/>
        <v>0</v>
      </c>
      <c r="AP49" s="215">
        <f t="shared" si="58"/>
        <v>0</v>
      </c>
      <c r="AQ49" s="216">
        <f t="shared" si="58"/>
        <v>0</v>
      </c>
      <c r="AR49" s="214">
        <f t="shared" si="58"/>
        <v>0</v>
      </c>
      <c r="AS49" s="215">
        <f t="shared" si="58"/>
        <v>0</v>
      </c>
      <c r="AT49" s="215">
        <f t="shared" si="58"/>
        <v>0</v>
      </c>
      <c r="AU49" s="216">
        <f t="shared" si="58"/>
        <v>0</v>
      </c>
      <c r="AV49" s="214">
        <f t="shared" si="58"/>
        <v>0</v>
      </c>
      <c r="AW49" s="215">
        <f t="shared" si="58"/>
        <v>0</v>
      </c>
      <c r="AX49" s="215">
        <f t="shared" si="58"/>
        <v>0</v>
      </c>
      <c r="AY49" s="216">
        <f t="shared" si="58"/>
        <v>0</v>
      </c>
      <c r="AZ49" s="214">
        <f t="shared" si="58"/>
        <v>0</v>
      </c>
      <c r="BA49" s="215">
        <f t="shared" si="58"/>
        <v>0</v>
      </c>
      <c r="BB49" s="215">
        <f t="shared" si="58"/>
        <v>0</v>
      </c>
      <c r="BC49" s="216">
        <f t="shared" si="58"/>
        <v>0</v>
      </c>
      <c r="BD49" s="214">
        <f t="shared" si="59"/>
        <v>0</v>
      </c>
      <c r="BE49" s="215">
        <f t="shared" si="59"/>
        <v>0</v>
      </c>
      <c r="BF49" s="215">
        <f t="shared" si="59"/>
        <v>0</v>
      </c>
      <c r="BG49" s="216">
        <f t="shared" si="59"/>
        <v>0</v>
      </c>
      <c r="BH49" s="214">
        <f t="shared" si="59"/>
        <v>0</v>
      </c>
      <c r="BI49" s="215">
        <f t="shared" si="59"/>
        <v>0</v>
      </c>
      <c r="BJ49" s="215">
        <f t="shared" si="59"/>
        <v>0</v>
      </c>
      <c r="BK49" s="216">
        <f t="shared" si="59"/>
        <v>0</v>
      </c>
      <c r="BL49" s="214">
        <f t="shared" si="59"/>
        <v>0</v>
      </c>
      <c r="BM49" s="215">
        <f t="shared" si="59"/>
        <v>0</v>
      </c>
      <c r="BN49" s="215">
        <f t="shared" si="59"/>
        <v>0</v>
      </c>
      <c r="BO49" s="216">
        <f t="shared" si="59"/>
        <v>0</v>
      </c>
      <c r="BP49" s="214">
        <f t="shared" si="59"/>
        <v>0</v>
      </c>
      <c r="BQ49" s="215">
        <f t="shared" si="59"/>
        <v>0</v>
      </c>
      <c r="BR49" s="215">
        <f t="shared" si="59"/>
        <v>0</v>
      </c>
      <c r="BS49" s="216">
        <f t="shared" si="59"/>
        <v>0</v>
      </c>
      <c r="BT49" s="214">
        <f t="shared" si="60"/>
        <v>0</v>
      </c>
      <c r="BU49" s="215">
        <f t="shared" si="60"/>
        <v>0</v>
      </c>
      <c r="BV49" s="215">
        <f t="shared" si="60"/>
        <v>0</v>
      </c>
      <c r="BW49" s="216">
        <f t="shared" si="60"/>
        <v>0</v>
      </c>
      <c r="BX49" s="214">
        <f t="shared" si="60"/>
        <v>0</v>
      </c>
      <c r="BY49" s="215">
        <f t="shared" si="60"/>
        <v>0</v>
      </c>
      <c r="BZ49" s="215">
        <f t="shared" si="60"/>
        <v>0</v>
      </c>
      <c r="CA49" s="216">
        <f t="shared" si="60"/>
        <v>0</v>
      </c>
      <c r="CB49" s="214">
        <f t="shared" si="60"/>
        <v>0</v>
      </c>
      <c r="CC49" s="215">
        <f t="shared" si="60"/>
        <v>0</v>
      </c>
      <c r="CD49" s="215">
        <f t="shared" si="60"/>
        <v>0</v>
      </c>
      <c r="CE49" s="216">
        <f t="shared" si="60"/>
        <v>0</v>
      </c>
      <c r="CF49" s="13"/>
      <c r="CG49" s="13"/>
      <c r="CH49" s="13"/>
      <c r="CI49" s="13"/>
    </row>
    <row r="50" spans="1:87" ht="20.100000000000001" customHeight="1">
      <c r="F50" s="217">
        <v>8</v>
      </c>
      <c r="G50" s="218" t="s">
        <v>14</v>
      </c>
      <c r="H50" s="183">
        <f t="shared" si="56"/>
        <v>0</v>
      </c>
      <c r="I50" s="184">
        <f t="shared" si="56"/>
        <v>0</v>
      </c>
      <c r="J50" s="184">
        <f t="shared" si="56"/>
        <v>0</v>
      </c>
      <c r="K50" s="185">
        <f t="shared" si="56"/>
        <v>0</v>
      </c>
      <c r="L50" s="183">
        <f t="shared" si="56"/>
        <v>0</v>
      </c>
      <c r="M50" s="184">
        <f t="shared" si="56"/>
        <v>0</v>
      </c>
      <c r="N50" s="184">
        <f t="shared" si="56"/>
        <v>0</v>
      </c>
      <c r="O50" s="185">
        <f t="shared" si="56"/>
        <v>0</v>
      </c>
      <c r="P50" s="183">
        <f t="shared" si="56"/>
        <v>0</v>
      </c>
      <c r="Q50" s="184">
        <f t="shared" si="56"/>
        <v>0</v>
      </c>
      <c r="R50" s="184">
        <f t="shared" si="56"/>
        <v>0</v>
      </c>
      <c r="S50" s="185">
        <f t="shared" si="56"/>
        <v>0</v>
      </c>
      <c r="T50" s="183">
        <f t="shared" si="56"/>
        <v>0</v>
      </c>
      <c r="U50" s="184">
        <f t="shared" si="56"/>
        <v>0</v>
      </c>
      <c r="V50" s="184">
        <f t="shared" si="56"/>
        <v>0</v>
      </c>
      <c r="W50" s="185">
        <f t="shared" si="56"/>
        <v>0</v>
      </c>
      <c r="X50" s="183">
        <f t="shared" si="57"/>
        <v>0</v>
      </c>
      <c r="Y50" s="184">
        <f t="shared" si="57"/>
        <v>0</v>
      </c>
      <c r="Z50" s="184">
        <f t="shared" si="57"/>
        <v>0</v>
      </c>
      <c r="AA50" s="185">
        <f t="shared" si="57"/>
        <v>0</v>
      </c>
      <c r="AB50" s="183">
        <f t="shared" si="57"/>
        <v>0</v>
      </c>
      <c r="AC50" s="184">
        <f t="shared" si="57"/>
        <v>0</v>
      </c>
      <c r="AD50" s="184">
        <f t="shared" si="57"/>
        <v>0</v>
      </c>
      <c r="AE50" s="185">
        <f t="shared" si="57"/>
        <v>0</v>
      </c>
      <c r="AF50" s="183">
        <f t="shared" si="57"/>
        <v>0</v>
      </c>
      <c r="AG50" s="184">
        <f t="shared" si="57"/>
        <v>0</v>
      </c>
      <c r="AH50" s="184">
        <f t="shared" si="57"/>
        <v>0</v>
      </c>
      <c r="AI50" s="185">
        <f t="shared" si="57"/>
        <v>0</v>
      </c>
      <c r="AJ50" s="183">
        <f t="shared" si="57"/>
        <v>0</v>
      </c>
      <c r="AK50" s="184">
        <f t="shared" si="57"/>
        <v>0</v>
      </c>
      <c r="AL50" s="184">
        <f t="shared" si="57"/>
        <v>0</v>
      </c>
      <c r="AM50" s="185">
        <f t="shared" si="57"/>
        <v>0</v>
      </c>
      <c r="AN50" s="183">
        <f t="shared" si="58"/>
        <v>0</v>
      </c>
      <c r="AO50" s="184">
        <f t="shared" si="58"/>
        <v>0</v>
      </c>
      <c r="AP50" s="184">
        <f t="shared" si="58"/>
        <v>0</v>
      </c>
      <c r="AQ50" s="185">
        <f t="shared" si="58"/>
        <v>0</v>
      </c>
      <c r="AR50" s="183">
        <f t="shared" si="58"/>
        <v>0</v>
      </c>
      <c r="AS50" s="184">
        <f t="shared" si="58"/>
        <v>0</v>
      </c>
      <c r="AT50" s="184">
        <f t="shared" si="58"/>
        <v>0</v>
      </c>
      <c r="AU50" s="185">
        <f t="shared" si="58"/>
        <v>0</v>
      </c>
      <c r="AV50" s="183">
        <f t="shared" si="58"/>
        <v>0</v>
      </c>
      <c r="AW50" s="184">
        <f t="shared" si="58"/>
        <v>0</v>
      </c>
      <c r="AX50" s="184">
        <f t="shared" si="58"/>
        <v>0</v>
      </c>
      <c r="AY50" s="185">
        <f t="shared" si="58"/>
        <v>0</v>
      </c>
      <c r="AZ50" s="183">
        <f t="shared" si="58"/>
        <v>0</v>
      </c>
      <c r="BA50" s="184">
        <f t="shared" si="58"/>
        <v>0</v>
      </c>
      <c r="BB50" s="184">
        <f t="shared" si="58"/>
        <v>0</v>
      </c>
      <c r="BC50" s="185">
        <f t="shared" si="58"/>
        <v>0</v>
      </c>
      <c r="BD50" s="183">
        <f t="shared" si="59"/>
        <v>0</v>
      </c>
      <c r="BE50" s="184">
        <f t="shared" si="59"/>
        <v>0</v>
      </c>
      <c r="BF50" s="184">
        <f t="shared" si="59"/>
        <v>0</v>
      </c>
      <c r="BG50" s="185">
        <f t="shared" si="59"/>
        <v>0</v>
      </c>
      <c r="BH50" s="183">
        <f t="shared" si="59"/>
        <v>0</v>
      </c>
      <c r="BI50" s="184">
        <f t="shared" si="59"/>
        <v>0</v>
      </c>
      <c r="BJ50" s="184">
        <f t="shared" si="59"/>
        <v>0</v>
      </c>
      <c r="BK50" s="185">
        <f t="shared" si="59"/>
        <v>0</v>
      </c>
      <c r="BL50" s="183">
        <f t="shared" si="59"/>
        <v>0</v>
      </c>
      <c r="BM50" s="184">
        <f t="shared" si="59"/>
        <v>0</v>
      </c>
      <c r="BN50" s="184">
        <f t="shared" si="59"/>
        <v>0</v>
      </c>
      <c r="BO50" s="185">
        <f t="shared" si="59"/>
        <v>0</v>
      </c>
      <c r="BP50" s="183">
        <f t="shared" si="59"/>
        <v>0</v>
      </c>
      <c r="BQ50" s="184">
        <f t="shared" si="59"/>
        <v>0</v>
      </c>
      <c r="BR50" s="184">
        <f t="shared" si="59"/>
        <v>0</v>
      </c>
      <c r="BS50" s="185">
        <f t="shared" si="59"/>
        <v>0</v>
      </c>
      <c r="BT50" s="183">
        <f t="shared" si="60"/>
        <v>0</v>
      </c>
      <c r="BU50" s="184">
        <f t="shared" si="60"/>
        <v>0</v>
      </c>
      <c r="BV50" s="184">
        <f t="shared" si="60"/>
        <v>0</v>
      </c>
      <c r="BW50" s="185">
        <f t="shared" si="60"/>
        <v>0</v>
      </c>
      <c r="BX50" s="183">
        <f t="shared" si="60"/>
        <v>0</v>
      </c>
      <c r="BY50" s="184">
        <f t="shared" si="60"/>
        <v>0</v>
      </c>
      <c r="BZ50" s="184">
        <f t="shared" si="60"/>
        <v>0</v>
      </c>
      <c r="CA50" s="185">
        <f t="shared" si="60"/>
        <v>0</v>
      </c>
      <c r="CB50" s="183">
        <f t="shared" si="60"/>
        <v>0</v>
      </c>
      <c r="CC50" s="184">
        <f t="shared" si="60"/>
        <v>0</v>
      </c>
      <c r="CD50" s="184">
        <f t="shared" si="60"/>
        <v>0</v>
      </c>
      <c r="CE50" s="185">
        <f t="shared" si="60"/>
        <v>0</v>
      </c>
      <c r="CF50" s="13"/>
      <c r="CG50" s="13"/>
      <c r="CH50" s="13"/>
      <c r="CI50" s="13"/>
    </row>
    <row r="51" spans="1:87" ht="20.100000000000001" customHeight="1">
      <c r="F51" s="5">
        <v>9</v>
      </c>
      <c r="G51" s="6" t="s">
        <v>82</v>
      </c>
      <c r="H51" s="186">
        <f t="shared" si="56"/>
        <v>0</v>
      </c>
      <c r="I51" s="187">
        <f t="shared" si="56"/>
        <v>0</v>
      </c>
      <c r="J51" s="187">
        <f t="shared" si="56"/>
        <v>0</v>
      </c>
      <c r="K51" s="188">
        <f t="shared" si="56"/>
        <v>0</v>
      </c>
      <c r="L51" s="186">
        <f t="shared" si="56"/>
        <v>0</v>
      </c>
      <c r="M51" s="187">
        <f t="shared" si="56"/>
        <v>0</v>
      </c>
      <c r="N51" s="187">
        <f t="shared" si="56"/>
        <v>0</v>
      </c>
      <c r="O51" s="188">
        <f t="shared" si="56"/>
        <v>0</v>
      </c>
      <c r="P51" s="186">
        <f t="shared" si="56"/>
        <v>0</v>
      </c>
      <c r="Q51" s="187">
        <f t="shared" si="56"/>
        <v>0</v>
      </c>
      <c r="R51" s="187">
        <f t="shared" si="56"/>
        <v>0</v>
      </c>
      <c r="S51" s="188">
        <f t="shared" si="56"/>
        <v>0</v>
      </c>
      <c r="T51" s="186">
        <f t="shared" si="56"/>
        <v>0</v>
      </c>
      <c r="U51" s="187">
        <f t="shared" si="56"/>
        <v>0</v>
      </c>
      <c r="V51" s="187">
        <f t="shared" si="56"/>
        <v>0</v>
      </c>
      <c r="W51" s="188">
        <f t="shared" si="56"/>
        <v>0</v>
      </c>
      <c r="X51" s="186">
        <f t="shared" si="57"/>
        <v>0</v>
      </c>
      <c r="Y51" s="187">
        <f t="shared" si="57"/>
        <v>0</v>
      </c>
      <c r="Z51" s="187">
        <f t="shared" si="57"/>
        <v>0</v>
      </c>
      <c r="AA51" s="188">
        <f t="shared" si="57"/>
        <v>0</v>
      </c>
      <c r="AB51" s="186">
        <f t="shared" si="57"/>
        <v>0</v>
      </c>
      <c r="AC51" s="187">
        <f t="shared" si="57"/>
        <v>0</v>
      </c>
      <c r="AD51" s="187">
        <f t="shared" si="57"/>
        <v>0</v>
      </c>
      <c r="AE51" s="188">
        <f t="shared" si="57"/>
        <v>0</v>
      </c>
      <c r="AF51" s="186">
        <f t="shared" si="57"/>
        <v>0</v>
      </c>
      <c r="AG51" s="187">
        <f t="shared" si="57"/>
        <v>0</v>
      </c>
      <c r="AH51" s="187">
        <f t="shared" si="57"/>
        <v>0</v>
      </c>
      <c r="AI51" s="188">
        <f t="shared" si="57"/>
        <v>0</v>
      </c>
      <c r="AJ51" s="186">
        <f t="shared" si="57"/>
        <v>0</v>
      </c>
      <c r="AK51" s="187">
        <f t="shared" si="57"/>
        <v>0</v>
      </c>
      <c r="AL51" s="187">
        <f t="shared" si="57"/>
        <v>0</v>
      </c>
      <c r="AM51" s="188">
        <f t="shared" si="57"/>
        <v>0</v>
      </c>
      <c r="AN51" s="186">
        <f t="shared" si="58"/>
        <v>0</v>
      </c>
      <c r="AO51" s="187">
        <f t="shared" si="58"/>
        <v>0</v>
      </c>
      <c r="AP51" s="187">
        <f t="shared" si="58"/>
        <v>0</v>
      </c>
      <c r="AQ51" s="188">
        <f t="shared" si="58"/>
        <v>0</v>
      </c>
      <c r="AR51" s="186">
        <f t="shared" si="58"/>
        <v>0</v>
      </c>
      <c r="AS51" s="187">
        <f t="shared" si="58"/>
        <v>0</v>
      </c>
      <c r="AT51" s="187">
        <f t="shared" si="58"/>
        <v>0</v>
      </c>
      <c r="AU51" s="188">
        <f t="shared" si="58"/>
        <v>0</v>
      </c>
      <c r="AV51" s="186">
        <f t="shared" si="58"/>
        <v>0</v>
      </c>
      <c r="AW51" s="187">
        <f t="shared" si="58"/>
        <v>0</v>
      </c>
      <c r="AX51" s="187">
        <f t="shared" si="58"/>
        <v>0</v>
      </c>
      <c r="AY51" s="188">
        <f t="shared" si="58"/>
        <v>0</v>
      </c>
      <c r="AZ51" s="186">
        <f t="shared" si="58"/>
        <v>0</v>
      </c>
      <c r="BA51" s="187">
        <f t="shared" si="58"/>
        <v>0</v>
      </c>
      <c r="BB51" s="187">
        <f t="shared" si="58"/>
        <v>0</v>
      </c>
      <c r="BC51" s="188">
        <f t="shared" si="58"/>
        <v>0</v>
      </c>
      <c r="BD51" s="186">
        <f t="shared" si="59"/>
        <v>0</v>
      </c>
      <c r="BE51" s="187">
        <f t="shared" si="59"/>
        <v>0</v>
      </c>
      <c r="BF51" s="187">
        <f t="shared" si="59"/>
        <v>0</v>
      </c>
      <c r="BG51" s="188">
        <f t="shared" si="59"/>
        <v>0</v>
      </c>
      <c r="BH51" s="186">
        <f t="shared" si="59"/>
        <v>0</v>
      </c>
      <c r="BI51" s="187">
        <f t="shared" si="59"/>
        <v>0</v>
      </c>
      <c r="BJ51" s="187">
        <f t="shared" si="59"/>
        <v>0</v>
      </c>
      <c r="BK51" s="188">
        <f t="shared" si="59"/>
        <v>0</v>
      </c>
      <c r="BL51" s="186">
        <f t="shared" si="59"/>
        <v>0</v>
      </c>
      <c r="BM51" s="187">
        <f t="shared" si="59"/>
        <v>0</v>
      </c>
      <c r="BN51" s="187">
        <f t="shared" si="59"/>
        <v>0</v>
      </c>
      <c r="BO51" s="188">
        <f t="shared" si="59"/>
        <v>0</v>
      </c>
      <c r="BP51" s="186">
        <f t="shared" si="59"/>
        <v>0</v>
      </c>
      <c r="BQ51" s="187">
        <f t="shared" si="59"/>
        <v>0</v>
      </c>
      <c r="BR51" s="187">
        <f t="shared" si="59"/>
        <v>0</v>
      </c>
      <c r="BS51" s="188">
        <f t="shared" si="59"/>
        <v>0</v>
      </c>
      <c r="BT51" s="186">
        <f t="shared" si="60"/>
        <v>0</v>
      </c>
      <c r="BU51" s="187">
        <f t="shared" si="60"/>
        <v>0</v>
      </c>
      <c r="BV51" s="187">
        <f t="shared" si="60"/>
        <v>0</v>
      </c>
      <c r="BW51" s="188">
        <f t="shared" si="60"/>
        <v>0</v>
      </c>
      <c r="BX51" s="186">
        <f t="shared" si="60"/>
        <v>0</v>
      </c>
      <c r="BY51" s="187">
        <f t="shared" si="60"/>
        <v>0</v>
      </c>
      <c r="BZ51" s="187">
        <f t="shared" si="60"/>
        <v>0</v>
      </c>
      <c r="CA51" s="188">
        <f t="shared" si="60"/>
        <v>0</v>
      </c>
      <c r="CB51" s="186">
        <f t="shared" si="60"/>
        <v>0</v>
      </c>
      <c r="CC51" s="187">
        <f t="shared" si="60"/>
        <v>0</v>
      </c>
      <c r="CD51" s="187">
        <f t="shared" si="60"/>
        <v>0</v>
      </c>
      <c r="CE51" s="188">
        <f t="shared" si="60"/>
        <v>0</v>
      </c>
      <c r="CF51" s="13"/>
      <c r="CG51" s="13"/>
      <c r="CH51" s="13"/>
      <c r="CI51" s="13"/>
    </row>
    <row r="52" spans="1:87" ht="20.100000000000001" customHeight="1">
      <c r="F52" s="212">
        <v>10</v>
      </c>
      <c r="G52" s="213" t="s">
        <v>16</v>
      </c>
      <c r="H52" s="209">
        <f t="shared" si="56"/>
        <v>0</v>
      </c>
      <c r="I52" s="210">
        <f t="shared" si="56"/>
        <v>0</v>
      </c>
      <c r="J52" s="210">
        <f t="shared" si="56"/>
        <v>0</v>
      </c>
      <c r="K52" s="211">
        <f t="shared" si="56"/>
        <v>0</v>
      </c>
      <c r="L52" s="209">
        <f t="shared" si="56"/>
        <v>0</v>
      </c>
      <c r="M52" s="210">
        <f t="shared" si="56"/>
        <v>0</v>
      </c>
      <c r="N52" s="210">
        <f t="shared" si="56"/>
        <v>0</v>
      </c>
      <c r="O52" s="211">
        <f t="shared" si="56"/>
        <v>0</v>
      </c>
      <c r="P52" s="209">
        <f t="shared" si="56"/>
        <v>0</v>
      </c>
      <c r="Q52" s="210">
        <f t="shared" si="56"/>
        <v>0</v>
      </c>
      <c r="R52" s="210">
        <f t="shared" si="56"/>
        <v>0</v>
      </c>
      <c r="S52" s="211">
        <f t="shared" si="56"/>
        <v>0</v>
      </c>
      <c r="T52" s="209">
        <f t="shared" si="56"/>
        <v>1</v>
      </c>
      <c r="U52" s="210">
        <f t="shared" si="56"/>
        <v>1</v>
      </c>
      <c r="V52" s="210">
        <f t="shared" si="56"/>
        <v>1</v>
      </c>
      <c r="W52" s="211">
        <f t="shared" si="56"/>
        <v>1</v>
      </c>
      <c r="X52" s="209">
        <f t="shared" si="57"/>
        <v>2</v>
      </c>
      <c r="Y52" s="210">
        <f t="shared" si="57"/>
        <v>2</v>
      </c>
      <c r="Z52" s="210">
        <f t="shared" si="57"/>
        <v>3</v>
      </c>
      <c r="AA52" s="211">
        <f t="shared" si="57"/>
        <v>3</v>
      </c>
      <c r="AB52" s="209">
        <f t="shared" si="57"/>
        <v>3</v>
      </c>
      <c r="AC52" s="210">
        <f t="shared" si="57"/>
        <v>3</v>
      </c>
      <c r="AD52" s="210">
        <f t="shared" si="57"/>
        <v>3</v>
      </c>
      <c r="AE52" s="211">
        <f t="shared" si="57"/>
        <v>3</v>
      </c>
      <c r="AF52" s="209">
        <f t="shared" si="57"/>
        <v>3</v>
      </c>
      <c r="AG52" s="210">
        <f t="shared" si="57"/>
        <v>3</v>
      </c>
      <c r="AH52" s="210">
        <f t="shared" si="57"/>
        <v>3</v>
      </c>
      <c r="AI52" s="211">
        <f t="shared" si="57"/>
        <v>3</v>
      </c>
      <c r="AJ52" s="209">
        <f t="shared" si="57"/>
        <v>2</v>
      </c>
      <c r="AK52" s="210">
        <f t="shared" si="57"/>
        <v>3</v>
      </c>
      <c r="AL52" s="210">
        <f t="shared" si="57"/>
        <v>3</v>
      </c>
      <c r="AM52" s="211">
        <f t="shared" si="57"/>
        <v>3</v>
      </c>
      <c r="AN52" s="209">
        <f t="shared" si="58"/>
        <v>2</v>
      </c>
      <c r="AO52" s="210">
        <f t="shared" si="58"/>
        <v>2</v>
      </c>
      <c r="AP52" s="210">
        <f t="shared" si="58"/>
        <v>2</v>
      </c>
      <c r="AQ52" s="211">
        <f t="shared" si="58"/>
        <v>2</v>
      </c>
      <c r="AR52" s="209">
        <f t="shared" si="58"/>
        <v>2</v>
      </c>
      <c r="AS52" s="210">
        <f t="shared" si="58"/>
        <v>2</v>
      </c>
      <c r="AT52" s="210">
        <f t="shared" si="58"/>
        <v>2</v>
      </c>
      <c r="AU52" s="211">
        <f t="shared" si="58"/>
        <v>2</v>
      </c>
      <c r="AV52" s="209">
        <f t="shared" si="58"/>
        <v>2</v>
      </c>
      <c r="AW52" s="210">
        <f t="shared" si="58"/>
        <v>2</v>
      </c>
      <c r="AX52" s="210">
        <f t="shared" si="58"/>
        <v>2</v>
      </c>
      <c r="AY52" s="211">
        <f t="shared" si="58"/>
        <v>2</v>
      </c>
      <c r="AZ52" s="209">
        <f t="shared" si="58"/>
        <v>3</v>
      </c>
      <c r="BA52" s="210">
        <f t="shared" si="58"/>
        <v>2</v>
      </c>
      <c r="BB52" s="210">
        <f t="shared" si="58"/>
        <v>3</v>
      </c>
      <c r="BC52" s="211">
        <f t="shared" si="58"/>
        <v>3</v>
      </c>
      <c r="BD52" s="209">
        <f t="shared" si="59"/>
        <v>2</v>
      </c>
      <c r="BE52" s="210">
        <f t="shared" si="59"/>
        <v>3</v>
      </c>
      <c r="BF52" s="210">
        <f t="shared" si="59"/>
        <v>3</v>
      </c>
      <c r="BG52" s="211">
        <f t="shared" si="59"/>
        <v>3</v>
      </c>
      <c r="BH52" s="209">
        <f t="shared" si="59"/>
        <v>3</v>
      </c>
      <c r="BI52" s="210">
        <f t="shared" si="59"/>
        <v>3</v>
      </c>
      <c r="BJ52" s="210">
        <f t="shared" si="59"/>
        <v>3</v>
      </c>
      <c r="BK52" s="211">
        <f t="shared" si="59"/>
        <v>3</v>
      </c>
      <c r="BL52" s="209">
        <f t="shared" si="59"/>
        <v>3</v>
      </c>
      <c r="BM52" s="210">
        <f t="shared" si="59"/>
        <v>3</v>
      </c>
      <c r="BN52" s="210">
        <f t="shared" si="59"/>
        <v>3</v>
      </c>
      <c r="BO52" s="211">
        <f t="shared" si="59"/>
        <v>3</v>
      </c>
      <c r="BP52" s="209">
        <f t="shared" si="59"/>
        <v>2</v>
      </c>
      <c r="BQ52" s="210">
        <f t="shared" si="59"/>
        <v>2</v>
      </c>
      <c r="BR52" s="210">
        <f t="shared" si="59"/>
        <v>2</v>
      </c>
      <c r="BS52" s="211">
        <f t="shared" si="59"/>
        <v>0</v>
      </c>
      <c r="BT52" s="209">
        <f t="shared" si="60"/>
        <v>0</v>
      </c>
      <c r="BU52" s="210">
        <f t="shared" si="60"/>
        <v>0</v>
      </c>
      <c r="BV52" s="210">
        <f t="shared" si="60"/>
        <v>0</v>
      </c>
      <c r="BW52" s="211">
        <f t="shared" si="60"/>
        <v>0</v>
      </c>
      <c r="BX52" s="209">
        <f t="shared" si="60"/>
        <v>0</v>
      </c>
      <c r="BY52" s="210">
        <f t="shared" si="60"/>
        <v>0</v>
      </c>
      <c r="BZ52" s="210">
        <f t="shared" si="60"/>
        <v>0</v>
      </c>
      <c r="CA52" s="211">
        <f t="shared" si="60"/>
        <v>0</v>
      </c>
      <c r="CB52" s="209">
        <f t="shared" si="60"/>
        <v>0</v>
      </c>
      <c r="CC52" s="210">
        <f t="shared" si="60"/>
        <v>0</v>
      </c>
      <c r="CD52" s="210">
        <f t="shared" si="60"/>
        <v>0</v>
      </c>
      <c r="CE52" s="211">
        <f t="shared" si="60"/>
        <v>0</v>
      </c>
      <c r="CF52" s="13"/>
      <c r="CG52" s="13"/>
      <c r="CH52" s="13"/>
      <c r="CI52" s="13"/>
    </row>
    <row r="53" spans="1:87" ht="20.100000000000001" customHeight="1">
      <c r="F53" s="7">
        <v>12</v>
      </c>
      <c r="G53" s="8" t="s">
        <v>17</v>
      </c>
      <c r="H53" s="189">
        <f t="shared" si="56"/>
        <v>0</v>
      </c>
      <c r="I53" s="190">
        <f t="shared" si="56"/>
        <v>0</v>
      </c>
      <c r="J53" s="190">
        <f t="shared" si="56"/>
        <v>0</v>
      </c>
      <c r="K53" s="191">
        <f t="shared" si="56"/>
        <v>0</v>
      </c>
      <c r="L53" s="189">
        <f t="shared" si="56"/>
        <v>0</v>
      </c>
      <c r="M53" s="190">
        <f t="shared" si="56"/>
        <v>0</v>
      </c>
      <c r="N53" s="190">
        <f t="shared" si="56"/>
        <v>0</v>
      </c>
      <c r="O53" s="191">
        <f t="shared" si="56"/>
        <v>0</v>
      </c>
      <c r="P53" s="189">
        <f t="shared" si="56"/>
        <v>0</v>
      </c>
      <c r="Q53" s="190">
        <f t="shared" si="56"/>
        <v>0</v>
      </c>
      <c r="R53" s="190">
        <f t="shared" si="56"/>
        <v>0</v>
      </c>
      <c r="S53" s="191">
        <f t="shared" si="56"/>
        <v>0</v>
      </c>
      <c r="T53" s="189">
        <f t="shared" si="56"/>
        <v>0</v>
      </c>
      <c r="U53" s="190">
        <f t="shared" si="56"/>
        <v>0</v>
      </c>
      <c r="V53" s="190">
        <f t="shared" si="56"/>
        <v>0</v>
      </c>
      <c r="W53" s="191">
        <f t="shared" si="56"/>
        <v>0</v>
      </c>
      <c r="X53" s="189">
        <f t="shared" si="57"/>
        <v>0</v>
      </c>
      <c r="Y53" s="190">
        <f t="shared" si="57"/>
        <v>0</v>
      </c>
      <c r="Z53" s="190">
        <f t="shared" si="57"/>
        <v>0</v>
      </c>
      <c r="AA53" s="191">
        <f t="shared" si="57"/>
        <v>0</v>
      </c>
      <c r="AB53" s="189">
        <f t="shared" si="57"/>
        <v>0</v>
      </c>
      <c r="AC53" s="190">
        <f t="shared" si="57"/>
        <v>0</v>
      </c>
      <c r="AD53" s="190">
        <f t="shared" si="57"/>
        <v>0</v>
      </c>
      <c r="AE53" s="191">
        <f t="shared" si="57"/>
        <v>0</v>
      </c>
      <c r="AF53" s="189">
        <f t="shared" si="57"/>
        <v>0</v>
      </c>
      <c r="AG53" s="190">
        <f t="shared" si="57"/>
        <v>0</v>
      </c>
      <c r="AH53" s="190">
        <f t="shared" si="57"/>
        <v>0</v>
      </c>
      <c r="AI53" s="191">
        <f t="shared" si="57"/>
        <v>0</v>
      </c>
      <c r="AJ53" s="189">
        <f t="shared" si="57"/>
        <v>0</v>
      </c>
      <c r="AK53" s="190">
        <f t="shared" si="57"/>
        <v>0</v>
      </c>
      <c r="AL53" s="190">
        <f t="shared" si="57"/>
        <v>0</v>
      </c>
      <c r="AM53" s="191">
        <f t="shared" si="57"/>
        <v>0</v>
      </c>
      <c r="AN53" s="189">
        <f t="shared" si="58"/>
        <v>0</v>
      </c>
      <c r="AO53" s="190">
        <f t="shared" si="58"/>
        <v>0</v>
      </c>
      <c r="AP53" s="190">
        <f t="shared" si="58"/>
        <v>0</v>
      </c>
      <c r="AQ53" s="191">
        <f t="shared" si="58"/>
        <v>0</v>
      </c>
      <c r="AR53" s="189">
        <f t="shared" si="58"/>
        <v>0</v>
      </c>
      <c r="AS53" s="190">
        <f t="shared" si="58"/>
        <v>0</v>
      </c>
      <c r="AT53" s="190">
        <f t="shared" si="58"/>
        <v>0</v>
      </c>
      <c r="AU53" s="191">
        <f t="shared" si="58"/>
        <v>0</v>
      </c>
      <c r="AV53" s="189">
        <f t="shared" si="58"/>
        <v>0</v>
      </c>
      <c r="AW53" s="190">
        <f t="shared" si="58"/>
        <v>0</v>
      </c>
      <c r="AX53" s="190">
        <f t="shared" si="58"/>
        <v>0</v>
      </c>
      <c r="AY53" s="191">
        <f t="shared" si="58"/>
        <v>0</v>
      </c>
      <c r="AZ53" s="189">
        <f t="shared" si="58"/>
        <v>0</v>
      </c>
      <c r="BA53" s="190">
        <f t="shared" si="58"/>
        <v>0</v>
      </c>
      <c r="BB53" s="190">
        <f t="shared" si="58"/>
        <v>0</v>
      </c>
      <c r="BC53" s="191">
        <f t="shared" si="58"/>
        <v>0</v>
      </c>
      <c r="BD53" s="189">
        <f t="shared" si="59"/>
        <v>0</v>
      </c>
      <c r="BE53" s="190">
        <f t="shared" si="59"/>
        <v>0</v>
      </c>
      <c r="BF53" s="190">
        <f t="shared" si="59"/>
        <v>0</v>
      </c>
      <c r="BG53" s="191">
        <f t="shared" si="59"/>
        <v>0</v>
      </c>
      <c r="BH53" s="189">
        <f t="shared" si="59"/>
        <v>0</v>
      </c>
      <c r="BI53" s="190">
        <f t="shared" si="59"/>
        <v>0</v>
      </c>
      <c r="BJ53" s="190">
        <f t="shared" si="59"/>
        <v>0</v>
      </c>
      <c r="BK53" s="191">
        <f t="shared" si="59"/>
        <v>0</v>
      </c>
      <c r="BL53" s="189">
        <f t="shared" si="59"/>
        <v>0</v>
      </c>
      <c r="BM53" s="190">
        <f t="shared" si="59"/>
        <v>0</v>
      </c>
      <c r="BN53" s="190">
        <f t="shared" si="59"/>
        <v>0</v>
      </c>
      <c r="BO53" s="191">
        <f t="shared" si="59"/>
        <v>0</v>
      </c>
      <c r="BP53" s="189">
        <f t="shared" si="59"/>
        <v>0</v>
      </c>
      <c r="BQ53" s="190">
        <f t="shared" si="59"/>
        <v>0</v>
      </c>
      <c r="BR53" s="190">
        <f t="shared" si="59"/>
        <v>0</v>
      </c>
      <c r="BS53" s="191">
        <f t="shared" si="59"/>
        <v>0</v>
      </c>
      <c r="BT53" s="189">
        <f t="shared" si="60"/>
        <v>0</v>
      </c>
      <c r="BU53" s="190">
        <f t="shared" si="60"/>
        <v>0</v>
      </c>
      <c r="BV53" s="190">
        <f t="shared" si="60"/>
        <v>0</v>
      </c>
      <c r="BW53" s="191">
        <f t="shared" si="60"/>
        <v>0</v>
      </c>
      <c r="BX53" s="189">
        <f t="shared" si="60"/>
        <v>0</v>
      </c>
      <c r="BY53" s="190">
        <f t="shared" si="60"/>
        <v>0</v>
      </c>
      <c r="BZ53" s="190">
        <f t="shared" si="60"/>
        <v>0</v>
      </c>
      <c r="CA53" s="191">
        <f t="shared" si="60"/>
        <v>0</v>
      </c>
      <c r="CB53" s="189">
        <f t="shared" si="60"/>
        <v>0</v>
      </c>
      <c r="CC53" s="190">
        <f t="shared" si="60"/>
        <v>0</v>
      </c>
      <c r="CD53" s="190">
        <f t="shared" si="60"/>
        <v>0</v>
      </c>
      <c r="CE53" s="191">
        <f t="shared" si="60"/>
        <v>0</v>
      </c>
      <c r="CF53" s="13"/>
      <c r="CG53" s="13"/>
      <c r="CH53" s="13"/>
      <c r="CI53" s="13"/>
    </row>
    <row r="54" spans="1:87" ht="20.100000000000001" customHeight="1">
      <c r="F54" s="155">
        <v>13</v>
      </c>
      <c r="G54" s="156" t="s">
        <v>83</v>
      </c>
      <c r="H54" s="192">
        <f t="shared" si="56"/>
        <v>0</v>
      </c>
      <c r="I54" s="193">
        <f t="shared" si="56"/>
        <v>0</v>
      </c>
      <c r="J54" s="193">
        <f t="shared" si="56"/>
        <v>0</v>
      </c>
      <c r="K54" s="194">
        <f t="shared" si="56"/>
        <v>0</v>
      </c>
      <c r="L54" s="192">
        <f t="shared" si="56"/>
        <v>0</v>
      </c>
      <c r="M54" s="193">
        <f t="shared" si="56"/>
        <v>0</v>
      </c>
      <c r="N54" s="193">
        <f t="shared" si="56"/>
        <v>0</v>
      </c>
      <c r="O54" s="194">
        <f t="shared" si="56"/>
        <v>0</v>
      </c>
      <c r="P54" s="192">
        <f t="shared" si="56"/>
        <v>0</v>
      </c>
      <c r="Q54" s="193">
        <f t="shared" si="56"/>
        <v>0</v>
      </c>
      <c r="R54" s="193">
        <f t="shared" si="56"/>
        <v>0</v>
      </c>
      <c r="S54" s="194">
        <f t="shared" si="56"/>
        <v>0</v>
      </c>
      <c r="T54" s="192">
        <f t="shared" si="56"/>
        <v>0</v>
      </c>
      <c r="U54" s="193">
        <f t="shared" si="56"/>
        <v>0</v>
      </c>
      <c r="V54" s="193">
        <f t="shared" si="56"/>
        <v>0</v>
      </c>
      <c r="W54" s="194">
        <f t="shared" si="56"/>
        <v>0</v>
      </c>
      <c r="X54" s="192">
        <f t="shared" si="57"/>
        <v>0</v>
      </c>
      <c r="Y54" s="193">
        <f t="shared" si="57"/>
        <v>0</v>
      </c>
      <c r="Z54" s="193">
        <f t="shared" si="57"/>
        <v>0</v>
      </c>
      <c r="AA54" s="194">
        <f t="shared" si="57"/>
        <v>0</v>
      </c>
      <c r="AB54" s="192">
        <f t="shared" si="57"/>
        <v>0</v>
      </c>
      <c r="AC54" s="193">
        <f t="shared" si="57"/>
        <v>0</v>
      </c>
      <c r="AD54" s="193">
        <f t="shared" si="57"/>
        <v>0</v>
      </c>
      <c r="AE54" s="194">
        <f t="shared" si="57"/>
        <v>0</v>
      </c>
      <c r="AF54" s="192">
        <f t="shared" si="57"/>
        <v>0</v>
      </c>
      <c r="AG54" s="193">
        <f t="shared" si="57"/>
        <v>0</v>
      </c>
      <c r="AH54" s="193">
        <f t="shared" si="57"/>
        <v>0</v>
      </c>
      <c r="AI54" s="194">
        <f t="shared" si="57"/>
        <v>0</v>
      </c>
      <c r="AJ54" s="192">
        <f t="shared" si="57"/>
        <v>0</v>
      </c>
      <c r="AK54" s="193">
        <f t="shared" si="57"/>
        <v>0</v>
      </c>
      <c r="AL54" s="193">
        <f t="shared" si="57"/>
        <v>0</v>
      </c>
      <c r="AM54" s="194">
        <f t="shared" si="57"/>
        <v>0</v>
      </c>
      <c r="AN54" s="192">
        <f t="shared" si="58"/>
        <v>0</v>
      </c>
      <c r="AO54" s="193">
        <f t="shared" si="58"/>
        <v>0</v>
      </c>
      <c r="AP54" s="193">
        <f t="shared" si="58"/>
        <v>0</v>
      </c>
      <c r="AQ54" s="194">
        <f t="shared" si="58"/>
        <v>0</v>
      </c>
      <c r="AR54" s="192">
        <f t="shared" si="58"/>
        <v>0</v>
      </c>
      <c r="AS54" s="193">
        <f t="shared" si="58"/>
        <v>0</v>
      </c>
      <c r="AT54" s="193">
        <f t="shared" si="58"/>
        <v>0</v>
      </c>
      <c r="AU54" s="194">
        <f t="shared" si="58"/>
        <v>0</v>
      </c>
      <c r="AV54" s="192">
        <f t="shared" si="58"/>
        <v>0</v>
      </c>
      <c r="AW54" s="193">
        <f t="shared" si="58"/>
        <v>0</v>
      </c>
      <c r="AX54" s="193">
        <f t="shared" si="58"/>
        <v>0</v>
      </c>
      <c r="AY54" s="194">
        <f t="shared" si="58"/>
        <v>0</v>
      </c>
      <c r="AZ54" s="192">
        <f t="shared" si="58"/>
        <v>0</v>
      </c>
      <c r="BA54" s="193">
        <f t="shared" si="58"/>
        <v>0</v>
      </c>
      <c r="BB54" s="193">
        <f t="shared" si="58"/>
        <v>0</v>
      </c>
      <c r="BC54" s="194">
        <f t="shared" si="58"/>
        <v>0</v>
      </c>
      <c r="BD54" s="192">
        <f t="shared" si="59"/>
        <v>0</v>
      </c>
      <c r="BE54" s="193">
        <f t="shared" si="59"/>
        <v>0</v>
      </c>
      <c r="BF54" s="193">
        <f t="shared" si="59"/>
        <v>0</v>
      </c>
      <c r="BG54" s="194">
        <f t="shared" si="59"/>
        <v>0</v>
      </c>
      <c r="BH54" s="192">
        <f t="shared" si="59"/>
        <v>0</v>
      </c>
      <c r="BI54" s="193">
        <f t="shared" si="59"/>
        <v>0</v>
      </c>
      <c r="BJ54" s="193">
        <f t="shared" si="59"/>
        <v>0</v>
      </c>
      <c r="BK54" s="194">
        <f t="shared" si="59"/>
        <v>0</v>
      </c>
      <c r="BL54" s="192">
        <f t="shared" si="59"/>
        <v>0</v>
      </c>
      <c r="BM54" s="193">
        <f t="shared" si="59"/>
        <v>0</v>
      </c>
      <c r="BN54" s="193">
        <f t="shared" si="59"/>
        <v>0</v>
      </c>
      <c r="BO54" s="194">
        <f t="shared" si="59"/>
        <v>0</v>
      </c>
      <c r="BP54" s="192">
        <f t="shared" si="59"/>
        <v>0</v>
      </c>
      <c r="BQ54" s="193">
        <f t="shared" si="59"/>
        <v>0</v>
      </c>
      <c r="BR54" s="193">
        <f t="shared" si="59"/>
        <v>0</v>
      </c>
      <c r="BS54" s="194">
        <f t="shared" si="59"/>
        <v>0</v>
      </c>
      <c r="BT54" s="192">
        <f t="shared" si="60"/>
        <v>0</v>
      </c>
      <c r="BU54" s="193">
        <f t="shared" si="60"/>
        <v>0</v>
      </c>
      <c r="BV54" s="193">
        <f t="shared" si="60"/>
        <v>0</v>
      </c>
      <c r="BW54" s="194">
        <f t="shared" si="60"/>
        <v>0</v>
      </c>
      <c r="BX54" s="192">
        <f t="shared" si="60"/>
        <v>0</v>
      </c>
      <c r="BY54" s="193">
        <f t="shared" si="60"/>
        <v>0</v>
      </c>
      <c r="BZ54" s="193">
        <f t="shared" si="60"/>
        <v>0</v>
      </c>
      <c r="CA54" s="194">
        <f t="shared" si="60"/>
        <v>0</v>
      </c>
      <c r="CB54" s="192">
        <f t="shared" si="60"/>
        <v>0</v>
      </c>
      <c r="CC54" s="193">
        <f t="shared" si="60"/>
        <v>0</v>
      </c>
      <c r="CD54" s="193">
        <f t="shared" si="60"/>
        <v>0</v>
      </c>
      <c r="CE54" s="194">
        <f t="shared" si="60"/>
        <v>0</v>
      </c>
      <c r="CF54" s="13"/>
      <c r="CG54" s="13"/>
      <c r="CH54" s="13"/>
      <c r="CI54" s="13"/>
    </row>
    <row r="55" spans="1:87" ht="41.25" customHeight="1">
      <c r="A55" s="22"/>
      <c r="B55" s="22"/>
      <c r="C55" s="22"/>
      <c r="D55" s="22"/>
      <c r="E55" s="22"/>
      <c r="F55" s="152"/>
      <c r="G55" s="151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</row>
    <row r="56" spans="1:87" ht="20.100000000000001" customHeight="1">
      <c r="A56" s="22"/>
      <c r="B56" s="22"/>
      <c r="C56" s="22"/>
      <c r="D56" s="22"/>
      <c r="E56" s="22"/>
      <c r="F56" s="152"/>
      <c r="G56" s="151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</row>
    <row r="57" spans="1:87" ht="20.100000000000001" customHeight="1">
      <c r="A57" s="22"/>
      <c r="B57" s="22"/>
      <c r="C57" s="22"/>
      <c r="D57" s="22"/>
      <c r="E57" s="22"/>
      <c r="F57" s="152"/>
      <c r="G57" s="151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</row>
    <row r="58" spans="1:87" ht="20.100000000000001" customHeight="1">
      <c r="A58" s="22"/>
      <c r="B58" s="22"/>
      <c r="C58" s="22"/>
      <c r="D58" s="22"/>
      <c r="E58" s="22"/>
      <c r="F58" s="152"/>
      <c r="G58" s="151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</row>
    <row r="59" spans="1:87" ht="20.100000000000001" customHeight="1">
      <c r="F59" s="152"/>
      <c r="G59" s="151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</row>
    <row r="60" spans="1:87" ht="20.100000000000001" customHeight="1">
      <c r="F60" s="152"/>
      <c r="G60" s="151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</row>
    <row r="61" spans="1:87" ht="20.100000000000001" customHeight="1">
      <c r="F61" s="152"/>
      <c r="G61" s="151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</row>
    <row r="62" spans="1:87" ht="20.100000000000001" customHeight="1">
      <c r="F62" s="152"/>
      <c r="G62" s="151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</row>
    <row r="63" spans="1:87" ht="20.100000000000001" customHeight="1">
      <c r="F63" s="152"/>
      <c r="G63" s="151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</row>
    <row r="64" spans="1:87" ht="20.100000000000001" customHeight="1">
      <c r="F64" s="152"/>
      <c r="G64" s="151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</row>
    <row r="65" spans="1:84" ht="20.100000000000001" customHeight="1">
      <c r="F65" s="152"/>
      <c r="G65" s="151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</row>
    <row r="66" spans="1:84" ht="20.100000000000001" customHeight="1">
      <c r="F66" s="152"/>
      <c r="G66" s="151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</row>
    <row r="67" spans="1:84" s="154" customFormat="1" ht="30" hidden="1" customHeight="1">
      <c r="A67" s="153"/>
      <c r="B67" s="153"/>
      <c r="C67" s="153"/>
      <c r="D67" s="153"/>
      <c r="E67" s="153"/>
      <c r="F67" s="355" t="s">
        <v>25</v>
      </c>
      <c r="G67" s="290" t="s">
        <v>35</v>
      </c>
      <c r="H67" s="302">
        <f t="shared" ref="H67:BS67" si="61">H5/$CF$5*100</f>
        <v>0</v>
      </c>
      <c r="I67" s="302">
        <f t="shared" si="61"/>
        <v>0</v>
      </c>
      <c r="J67" s="302">
        <f t="shared" si="61"/>
        <v>0</v>
      </c>
      <c r="K67" s="303">
        <f t="shared" si="61"/>
        <v>0</v>
      </c>
      <c r="L67" s="304">
        <f t="shared" si="61"/>
        <v>0</v>
      </c>
      <c r="M67" s="302">
        <f t="shared" si="61"/>
        <v>0</v>
      </c>
      <c r="N67" s="302">
        <f t="shared" si="61"/>
        <v>0</v>
      </c>
      <c r="O67" s="303">
        <f t="shared" si="61"/>
        <v>0</v>
      </c>
      <c r="P67" s="304">
        <f t="shared" si="61"/>
        <v>0</v>
      </c>
      <c r="Q67" s="302">
        <f t="shared" si="61"/>
        <v>0</v>
      </c>
      <c r="R67" s="302">
        <f t="shared" si="61"/>
        <v>0</v>
      </c>
      <c r="S67" s="303">
        <f t="shared" si="61"/>
        <v>0</v>
      </c>
      <c r="T67" s="304">
        <f t="shared" si="61"/>
        <v>0.8</v>
      </c>
      <c r="U67" s="302">
        <f t="shared" si="61"/>
        <v>0.8</v>
      </c>
      <c r="V67" s="302">
        <f t="shared" si="61"/>
        <v>0.8</v>
      </c>
      <c r="W67" s="303">
        <f t="shared" si="61"/>
        <v>0.8</v>
      </c>
      <c r="X67" s="304">
        <f t="shared" si="61"/>
        <v>1.6</v>
      </c>
      <c r="Y67" s="302">
        <f t="shared" si="61"/>
        <v>1.6</v>
      </c>
      <c r="Z67" s="302">
        <f t="shared" si="61"/>
        <v>2.4</v>
      </c>
      <c r="AA67" s="303">
        <f t="shared" si="61"/>
        <v>2.4</v>
      </c>
      <c r="AB67" s="304">
        <f t="shared" si="61"/>
        <v>2.4</v>
      </c>
      <c r="AC67" s="302">
        <f t="shared" si="61"/>
        <v>2.4</v>
      </c>
      <c r="AD67" s="302">
        <f t="shared" si="61"/>
        <v>2.4</v>
      </c>
      <c r="AE67" s="303">
        <f t="shared" si="61"/>
        <v>2.4</v>
      </c>
      <c r="AF67" s="304">
        <f t="shared" si="61"/>
        <v>2.4</v>
      </c>
      <c r="AG67" s="302">
        <f t="shared" si="61"/>
        <v>2.4</v>
      </c>
      <c r="AH67" s="302">
        <f t="shared" si="61"/>
        <v>2.4</v>
      </c>
      <c r="AI67" s="303">
        <f t="shared" si="61"/>
        <v>2.4</v>
      </c>
      <c r="AJ67" s="304">
        <f t="shared" si="61"/>
        <v>1.6</v>
      </c>
      <c r="AK67" s="302">
        <f t="shared" si="61"/>
        <v>2.4</v>
      </c>
      <c r="AL67" s="302">
        <f t="shared" si="61"/>
        <v>2.4</v>
      </c>
      <c r="AM67" s="303">
        <f t="shared" si="61"/>
        <v>2.4</v>
      </c>
      <c r="AN67" s="304">
        <f t="shared" si="61"/>
        <v>1.6</v>
      </c>
      <c r="AO67" s="302">
        <f t="shared" si="61"/>
        <v>1.6</v>
      </c>
      <c r="AP67" s="302">
        <f t="shared" si="61"/>
        <v>1.6</v>
      </c>
      <c r="AQ67" s="303">
        <f t="shared" si="61"/>
        <v>1.6</v>
      </c>
      <c r="AR67" s="304">
        <f t="shared" si="61"/>
        <v>1.6</v>
      </c>
      <c r="AS67" s="302">
        <f t="shared" si="61"/>
        <v>1.6</v>
      </c>
      <c r="AT67" s="302">
        <f t="shared" si="61"/>
        <v>1.6</v>
      </c>
      <c r="AU67" s="303">
        <f t="shared" si="61"/>
        <v>1.6</v>
      </c>
      <c r="AV67" s="304">
        <f t="shared" si="61"/>
        <v>1.6</v>
      </c>
      <c r="AW67" s="302">
        <f t="shared" si="61"/>
        <v>1.6</v>
      </c>
      <c r="AX67" s="302">
        <f t="shared" si="61"/>
        <v>1.6</v>
      </c>
      <c r="AY67" s="303">
        <f t="shared" si="61"/>
        <v>1.6</v>
      </c>
      <c r="AZ67" s="304">
        <f t="shared" si="61"/>
        <v>2.4</v>
      </c>
      <c r="BA67" s="302">
        <f t="shared" si="61"/>
        <v>1.6</v>
      </c>
      <c r="BB67" s="302">
        <f t="shared" si="61"/>
        <v>2.4</v>
      </c>
      <c r="BC67" s="303">
        <f t="shared" si="61"/>
        <v>2.4</v>
      </c>
      <c r="BD67" s="304">
        <f t="shared" si="61"/>
        <v>1.6</v>
      </c>
      <c r="BE67" s="302">
        <f t="shared" si="61"/>
        <v>2.4</v>
      </c>
      <c r="BF67" s="302">
        <f t="shared" si="61"/>
        <v>2.4</v>
      </c>
      <c r="BG67" s="303">
        <f t="shared" si="61"/>
        <v>2.4</v>
      </c>
      <c r="BH67" s="304">
        <f t="shared" si="61"/>
        <v>2.4</v>
      </c>
      <c r="BI67" s="302">
        <f t="shared" si="61"/>
        <v>2.4</v>
      </c>
      <c r="BJ67" s="302">
        <f t="shared" si="61"/>
        <v>2.4</v>
      </c>
      <c r="BK67" s="303">
        <f t="shared" si="61"/>
        <v>2.4</v>
      </c>
      <c r="BL67" s="304">
        <f t="shared" si="61"/>
        <v>2.4</v>
      </c>
      <c r="BM67" s="302">
        <f t="shared" si="61"/>
        <v>2.4</v>
      </c>
      <c r="BN67" s="302">
        <f t="shared" si="61"/>
        <v>2.4</v>
      </c>
      <c r="BO67" s="303">
        <f t="shared" si="61"/>
        <v>2.4</v>
      </c>
      <c r="BP67" s="304">
        <f t="shared" si="61"/>
        <v>1.6</v>
      </c>
      <c r="BQ67" s="302">
        <f t="shared" si="61"/>
        <v>1.6</v>
      </c>
      <c r="BR67" s="302">
        <f t="shared" si="61"/>
        <v>1.6</v>
      </c>
      <c r="BS67" s="303">
        <f t="shared" si="61"/>
        <v>0</v>
      </c>
      <c r="BT67" s="304">
        <f t="shared" ref="BT67:CE67" si="62">BT5/$CF$5*100</f>
        <v>0</v>
      </c>
      <c r="BU67" s="302">
        <f t="shared" si="62"/>
        <v>0</v>
      </c>
      <c r="BV67" s="302">
        <f t="shared" si="62"/>
        <v>0</v>
      </c>
      <c r="BW67" s="303">
        <f t="shared" si="62"/>
        <v>0</v>
      </c>
      <c r="BX67" s="304">
        <f t="shared" si="62"/>
        <v>0</v>
      </c>
      <c r="BY67" s="302">
        <f t="shared" si="62"/>
        <v>0</v>
      </c>
      <c r="BZ67" s="302">
        <f t="shared" si="62"/>
        <v>0</v>
      </c>
      <c r="CA67" s="303">
        <f t="shared" si="62"/>
        <v>0</v>
      </c>
      <c r="CB67" s="304">
        <f t="shared" si="62"/>
        <v>0</v>
      </c>
      <c r="CC67" s="302">
        <f t="shared" si="62"/>
        <v>0</v>
      </c>
      <c r="CD67" s="302">
        <f t="shared" si="62"/>
        <v>0</v>
      </c>
      <c r="CE67" s="303">
        <f t="shared" si="62"/>
        <v>0</v>
      </c>
      <c r="CF67" s="13"/>
    </row>
    <row r="68" spans="1:84" s="154" customFormat="1" ht="30" hidden="1" customHeight="1">
      <c r="A68" s="153"/>
      <c r="B68" s="153"/>
      <c r="C68" s="153"/>
      <c r="D68" s="153"/>
      <c r="E68" s="153"/>
      <c r="F68" s="356"/>
      <c r="G68" s="291" t="s">
        <v>34</v>
      </c>
      <c r="H68" s="302"/>
      <c r="I68" s="302"/>
      <c r="J68" s="302"/>
      <c r="K68" s="303"/>
      <c r="L68" s="304"/>
      <c r="M68" s="302"/>
      <c r="N68" s="302"/>
      <c r="O68" s="303"/>
      <c r="P68" s="304" t="str">
        <f>+VL!$M5</f>
        <v/>
      </c>
      <c r="Q68" s="302" t="str">
        <f>+VL!$M6</f>
        <v/>
      </c>
      <c r="R68" s="302" t="str">
        <f>+VL!$M7</f>
        <v/>
      </c>
      <c r="S68" s="303" t="str">
        <f>+VL!$M8</f>
        <v/>
      </c>
      <c r="T68" s="304" t="str">
        <f>+VL!$M9</f>
        <v/>
      </c>
      <c r="U68" s="302" t="str">
        <f>+VL!$M10</f>
        <v/>
      </c>
      <c r="V68" s="302" t="str">
        <f>+VL!$M11</f>
        <v/>
      </c>
      <c r="W68" s="303" t="str">
        <f>+VL!$M12</f>
        <v/>
      </c>
      <c r="X68" s="304" t="str">
        <f>+VL!$M13</f>
        <v/>
      </c>
      <c r="Y68" s="302" t="str">
        <f>+VL!$M14</f>
        <v/>
      </c>
      <c r="Z68" s="302" t="str">
        <f>+VL!$M15</f>
        <v/>
      </c>
      <c r="AA68" s="303" t="str">
        <f>+VL!$M16</f>
        <v/>
      </c>
      <c r="AB68" s="304" t="str">
        <f>+VL!$M17</f>
        <v/>
      </c>
      <c r="AC68" s="302" t="str">
        <f>+VL!$M18</f>
        <v/>
      </c>
      <c r="AD68" s="302" t="str">
        <f>+VL!$M19</f>
        <v/>
      </c>
      <c r="AE68" s="303" t="str">
        <f>+VL!$M20</f>
        <v/>
      </c>
      <c r="AF68" s="304" t="str">
        <f>+VL!$M21</f>
        <v/>
      </c>
      <c r="AG68" s="302" t="str">
        <f>+VL!$M22</f>
        <v/>
      </c>
      <c r="AH68" s="302" t="str">
        <f>+VL!$M23</f>
        <v/>
      </c>
      <c r="AI68" s="303" t="str">
        <f>+VL!$M24</f>
        <v/>
      </c>
      <c r="AJ68" s="304" t="str">
        <f>+VL!$M25</f>
        <v/>
      </c>
      <c r="AK68" s="302" t="str">
        <f>+VL!$M26</f>
        <v/>
      </c>
      <c r="AL68" s="302" t="str">
        <f>+VL!$M27</f>
        <v/>
      </c>
      <c r="AM68" s="303" t="str">
        <f>+VL!$M28</f>
        <v/>
      </c>
      <c r="AN68" s="304" t="str">
        <f>+VL!$M29</f>
        <v/>
      </c>
      <c r="AO68" s="302" t="str">
        <f>+VL!$M30</f>
        <v/>
      </c>
      <c r="AP68" s="302" t="str">
        <f>+VL!$M31</f>
        <v/>
      </c>
      <c r="AQ68" s="303" t="str">
        <f>+VL!$M32</f>
        <v/>
      </c>
      <c r="AR68" s="304" t="str">
        <f>+VL!$M33</f>
        <v/>
      </c>
      <c r="AS68" s="302" t="str">
        <f>+VL!$M34</f>
        <v/>
      </c>
      <c r="AT68" s="302" t="str">
        <f>+VL!$M35</f>
        <v/>
      </c>
      <c r="AU68" s="303" t="str">
        <f>+VL!$M36</f>
        <v/>
      </c>
      <c r="AV68" s="304" t="str">
        <f>+VL!$M37</f>
        <v/>
      </c>
      <c r="AW68" s="302" t="str">
        <f>+VL!$M38</f>
        <v/>
      </c>
      <c r="AX68" s="302" t="str">
        <f>+VL!$M39</f>
        <v/>
      </c>
      <c r="AY68" s="303" t="str">
        <f>+VL!$M40</f>
        <v/>
      </c>
      <c r="AZ68" s="304" t="str">
        <f>+VL!$M41</f>
        <v/>
      </c>
      <c r="BA68" s="302" t="str">
        <f>+VL!$M42</f>
        <v/>
      </c>
      <c r="BB68" s="302" t="str">
        <f>+VL!$M43</f>
        <v/>
      </c>
      <c r="BC68" s="303" t="str">
        <f>+VL!$M44</f>
        <v/>
      </c>
      <c r="BD68" s="304" t="str">
        <f>+VL!$M45</f>
        <v/>
      </c>
      <c r="BE68" s="302" t="str">
        <f>+VL!$M46</f>
        <v/>
      </c>
      <c r="BF68" s="302" t="str">
        <f>+VL!$M47</f>
        <v/>
      </c>
      <c r="BG68" s="303" t="str">
        <f>+VL!$M48</f>
        <v/>
      </c>
      <c r="BH68" s="304" t="str">
        <f>+VL!$M49</f>
        <v/>
      </c>
      <c r="BI68" s="302" t="str">
        <f>+VL!$M50</f>
        <v/>
      </c>
      <c r="BJ68" s="302" t="str">
        <f>+VL!$M51</f>
        <v/>
      </c>
      <c r="BK68" s="303" t="str">
        <f>+VL!$M52</f>
        <v/>
      </c>
      <c r="BL68" s="304" t="str">
        <f>+VL!$M53</f>
        <v/>
      </c>
      <c r="BM68" s="302" t="str">
        <f>+VL!$M54</f>
        <v/>
      </c>
      <c r="BN68" s="302" t="str">
        <f>+VL!$M55</f>
        <v/>
      </c>
      <c r="BO68" s="303" t="str">
        <f>+VL!$M56</f>
        <v/>
      </c>
      <c r="BP68" s="304" t="str">
        <f>+VL!$M57</f>
        <v/>
      </c>
      <c r="BQ68" s="302" t="str">
        <f>+VL!$M58</f>
        <v/>
      </c>
      <c r="BR68" s="302" t="str">
        <f>+VL!$M59</f>
        <v/>
      </c>
      <c r="BS68" s="302" t="str">
        <f>+VL!$M60</f>
        <v/>
      </c>
      <c r="BT68" s="304" t="str">
        <f>+VL!$M61</f>
        <v/>
      </c>
      <c r="BU68" s="302" t="str">
        <f>+VL!$M62</f>
        <v/>
      </c>
      <c r="BV68" s="302" t="str">
        <f>+VL!$M63</f>
        <v/>
      </c>
      <c r="BW68" s="302" t="str">
        <f>+VL!$M64</f>
        <v/>
      </c>
      <c r="BX68" s="304"/>
      <c r="BY68" s="302"/>
      <c r="BZ68" s="302"/>
      <c r="CA68" s="303"/>
      <c r="CB68" s="304"/>
      <c r="CC68" s="302"/>
      <c r="CD68" s="302"/>
      <c r="CE68" s="303"/>
    </row>
    <row r="69" spans="1:84" s="158" customFormat="1" ht="45" hidden="1" customHeight="1">
      <c r="A69" s="157"/>
      <c r="B69" s="157"/>
      <c r="C69" s="157"/>
      <c r="D69" s="157"/>
      <c r="E69" s="157"/>
      <c r="F69" s="353" t="s">
        <v>53</v>
      </c>
      <c r="G69" s="305" t="s">
        <v>54</v>
      </c>
      <c r="H69" s="294"/>
      <c r="I69" s="294"/>
      <c r="J69" s="294"/>
      <c r="K69" s="295"/>
      <c r="L69" s="293"/>
      <c r="M69" s="294"/>
      <c r="N69" s="294"/>
      <c r="O69" s="295"/>
      <c r="P69" s="293" t="str">
        <f>IF(ISERROR(P68*$CF$69/100),"",P68*$CF$69/100)</f>
        <v/>
      </c>
      <c r="Q69" s="294" t="str">
        <f>IF(ISERROR(Q68*$CF$69/100),"",Q68*$CF$69/100)</f>
        <v/>
      </c>
      <c r="R69" s="294" t="str">
        <f>IF(ISERROR(R68*$CF$69/100),"",R68*$CF$69/100)</f>
        <v/>
      </c>
      <c r="S69" s="295" t="str">
        <f t="shared" ref="S69:BW69" si="63">IF(ISERROR(S68*$CF$69/100),"",S68*$CF$69/100)</f>
        <v/>
      </c>
      <c r="T69" s="293" t="str">
        <f t="shared" si="63"/>
        <v/>
      </c>
      <c r="U69" s="294" t="str">
        <f t="shared" si="63"/>
        <v/>
      </c>
      <c r="V69" s="294" t="str">
        <f t="shared" si="63"/>
        <v/>
      </c>
      <c r="W69" s="295" t="str">
        <f t="shared" si="63"/>
        <v/>
      </c>
      <c r="X69" s="293" t="str">
        <f t="shared" si="63"/>
        <v/>
      </c>
      <c r="Y69" s="294" t="str">
        <f t="shared" si="63"/>
        <v/>
      </c>
      <c r="Z69" s="294" t="str">
        <f t="shared" si="63"/>
        <v/>
      </c>
      <c r="AA69" s="295" t="str">
        <f t="shared" si="63"/>
        <v/>
      </c>
      <c r="AB69" s="293" t="str">
        <f t="shared" si="63"/>
        <v/>
      </c>
      <c r="AC69" s="294" t="str">
        <f t="shared" si="63"/>
        <v/>
      </c>
      <c r="AD69" s="294" t="str">
        <f t="shared" si="63"/>
        <v/>
      </c>
      <c r="AE69" s="295" t="str">
        <f t="shared" si="63"/>
        <v/>
      </c>
      <c r="AF69" s="293" t="str">
        <f t="shared" si="63"/>
        <v/>
      </c>
      <c r="AG69" s="294" t="str">
        <f t="shared" si="63"/>
        <v/>
      </c>
      <c r="AH69" s="294" t="str">
        <f t="shared" si="63"/>
        <v/>
      </c>
      <c r="AI69" s="295" t="str">
        <f t="shared" si="63"/>
        <v/>
      </c>
      <c r="AJ69" s="293" t="str">
        <f t="shared" si="63"/>
        <v/>
      </c>
      <c r="AK69" s="294" t="str">
        <f t="shared" si="63"/>
        <v/>
      </c>
      <c r="AL69" s="294" t="str">
        <f t="shared" si="63"/>
        <v/>
      </c>
      <c r="AM69" s="295" t="str">
        <f t="shared" si="63"/>
        <v/>
      </c>
      <c r="AN69" s="293" t="str">
        <f t="shared" si="63"/>
        <v/>
      </c>
      <c r="AO69" s="294" t="str">
        <f t="shared" si="63"/>
        <v/>
      </c>
      <c r="AP69" s="294" t="str">
        <f t="shared" si="63"/>
        <v/>
      </c>
      <c r="AQ69" s="295" t="str">
        <f t="shared" si="63"/>
        <v/>
      </c>
      <c r="AR69" s="293" t="str">
        <f t="shared" si="63"/>
        <v/>
      </c>
      <c r="AS69" s="294" t="str">
        <f t="shared" si="63"/>
        <v/>
      </c>
      <c r="AT69" s="294" t="str">
        <f t="shared" si="63"/>
        <v/>
      </c>
      <c r="AU69" s="295" t="str">
        <f t="shared" si="63"/>
        <v/>
      </c>
      <c r="AV69" s="293" t="str">
        <f t="shared" si="63"/>
        <v/>
      </c>
      <c r="AW69" s="294" t="str">
        <f t="shared" si="63"/>
        <v/>
      </c>
      <c r="AX69" s="294" t="str">
        <f t="shared" si="63"/>
        <v/>
      </c>
      <c r="AY69" s="295" t="str">
        <f t="shared" si="63"/>
        <v/>
      </c>
      <c r="AZ69" s="293" t="str">
        <f t="shared" si="63"/>
        <v/>
      </c>
      <c r="BA69" s="294" t="str">
        <f t="shared" si="63"/>
        <v/>
      </c>
      <c r="BB69" s="294" t="str">
        <f t="shared" si="63"/>
        <v/>
      </c>
      <c r="BC69" s="295" t="str">
        <f t="shared" si="63"/>
        <v/>
      </c>
      <c r="BD69" s="293" t="str">
        <f t="shared" si="63"/>
        <v/>
      </c>
      <c r="BE69" s="294" t="str">
        <f t="shared" si="63"/>
        <v/>
      </c>
      <c r="BF69" s="294" t="str">
        <f t="shared" si="63"/>
        <v/>
      </c>
      <c r="BG69" s="295" t="str">
        <f t="shared" si="63"/>
        <v/>
      </c>
      <c r="BH69" s="293" t="str">
        <f t="shared" si="63"/>
        <v/>
      </c>
      <c r="BI69" s="294" t="str">
        <f t="shared" si="63"/>
        <v/>
      </c>
      <c r="BJ69" s="294" t="str">
        <f t="shared" si="63"/>
        <v/>
      </c>
      <c r="BK69" s="295" t="str">
        <f t="shared" si="63"/>
        <v/>
      </c>
      <c r="BL69" s="293" t="str">
        <f t="shared" si="63"/>
        <v/>
      </c>
      <c r="BM69" s="294" t="str">
        <f t="shared" si="63"/>
        <v/>
      </c>
      <c r="BN69" s="294" t="str">
        <f t="shared" si="63"/>
        <v/>
      </c>
      <c r="BO69" s="295" t="str">
        <f t="shared" si="63"/>
        <v/>
      </c>
      <c r="BP69" s="293" t="str">
        <f t="shared" si="63"/>
        <v/>
      </c>
      <c r="BQ69" s="294" t="str">
        <f t="shared" si="63"/>
        <v/>
      </c>
      <c r="BR69" s="294" t="str">
        <f t="shared" si="63"/>
        <v/>
      </c>
      <c r="BS69" s="295" t="str">
        <f t="shared" si="63"/>
        <v/>
      </c>
      <c r="BT69" s="293" t="str">
        <f t="shared" si="63"/>
        <v/>
      </c>
      <c r="BU69" s="294" t="str">
        <f t="shared" si="63"/>
        <v/>
      </c>
      <c r="BV69" s="294" t="str">
        <f t="shared" si="63"/>
        <v/>
      </c>
      <c r="BW69" s="295" t="str">
        <f t="shared" si="63"/>
        <v/>
      </c>
      <c r="BX69" s="293"/>
      <c r="BY69" s="294"/>
      <c r="BZ69" s="294"/>
      <c r="CA69" s="295"/>
      <c r="CB69" s="293"/>
      <c r="CC69" s="294"/>
      <c r="CD69" s="294"/>
      <c r="CE69" s="295"/>
      <c r="CF69" s="174">
        <f>+GRA!$E$7</f>
        <v>0</v>
      </c>
    </row>
    <row r="70" spans="1:84" s="288" customFormat="1" ht="45" hidden="1" customHeight="1">
      <c r="A70" s="153"/>
      <c r="B70" s="153"/>
      <c r="C70" s="153"/>
      <c r="D70" s="153"/>
      <c r="E70" s="287"/>
      <c r="F70" s="354"/>
      <c r="G70" s="292" t="s">
        <v>36</v>
      </c>
      <c r="H70" s="294"/>
      <c r="I70" s="294"/>
      <c r="J70" s="294"/>
      <c r="K70" s="295"/>
      <c r="L70" s="293"/>
      <c r="M70" s="294"/>
      <c r="N70" s="294"/>
      <c r="O70" s="295"/>
      <c r="P70" s="293" t="str">
        <f>IF(ISERROR(P69/(P5*0.25)),"",P69/(P5*0.25))</f>
        <v/>
      </c>
      <c r="Q70" s="294" t="str">
        <f>IF(ISERROR(Q69/(Q5*0.25)),"",Q69/(Q5*0.25))</f>
        <v/>
      </c>
      <c r="R70" s="296" t="str">
        <f>IF(ISERROR(R69/(R5*0.25)),"",R69/(R5*0.25))</f>
        <v/>
      </c>
      <c r="S70" s="297" t="str">
        <f t="shared" ref="S70:BW70" si="64">IF(ISERROR(S69/(S5*0.25)),"",S69/(S5*0.25))</f>
        <v/>
      </c>
      <c r="T70" s="298" t="str">
        <f t="shared" si="64"/>
        <v/>
      </c>
      <c r="U70" s="296" t="str">
        <f t="shared" si="64"/>
        <v/>
      </c>
      <c r="V70" s="296" t="str">
        <f t="shared" si="64"/>
        <v/>
      </c>
      <c r="W70" s="297" t="str">
        <f t="shared" si="64"/>
        <v/>
      </c>
      <c r="X70" s="298" t="str">
        <f t="shared" si="64"/>
        <v/>
      </c>
      <c r="Y70" s="296" t="str">
        <f t="shared" si="64"/>
        <v/>
      </c>
      <c r="Z70" s="296" t="str">
        <f t="shared" si="64"/>
        <v/>
      </c>
      <c r="AA70" s="297" t="str">
        <f t="shared" si="64"/>
        <v/>
      </c>
      <c r="AB70" s="298" t="str">
        <f t="shared" si="64"/>
        <v/>
      </c>
      <c r="AC70" s="296" t="str">
        <f t="shared" si="64"/>
        <v/>
      </c>
      <c r="AD70" s="296" t="str">
        <f t="shared" si="64"/>
        <v/>
      </c>
      <c r="AE70" s="297" t="str">
        <f t="shared" si="64"/>
        <v/>
      </c>
      <c r="AF70" s="298" t="str">
        <f t="shared" si="64"/>
        <v/>
      </c>
      <c r="AG70" s="296" t="str">
        <f t="shared" si="64"/>
        <v/>
      </c>
      <c r="AH70" s="296" t="str">
        <f t="shared" si="64"/>
        <v/>
      </c>
      <c r="AI70" s="297" t="str">
        <f t="shared" si="64"/>
        <v/>
      </c>
      <c r="AJ70" s="298" t="str">
        <f t="shared" si="64"/>
        <v/>
      </c>
      <c r="AK70" s="296" t="str">
        <f t="shared" si="64"/>
        <v/>
      </c>
      <c r="AL70" s="296" t="str">
        <f t="shared" si="64"/>
        <v/>
      </c>
      <c r="AM70" s="297" t="str">
        <f t="shared" si="64"/>
        <v/>
      </c>
      <c r="AN70" s="298" t="str">
        <f t="shared" si="64"/>
        <v/>
      </c>
      <c r="AO70" s="296" t="str">
        <f t="shared" si="64"/>
        <v/>
      </c>
      <c r="AP70" s="296" t="str">
        <f t="shared" si="64"/>
        <v/>
      </c>
      <c r="AQ70" s="297" t="str">
        <f t="shared" si="64"/>
        <v/>
      </c>
      <c r="AR70" s="298" t="str">
        <f t="shared" si="64"/>
        <v/>
      </c>
      <c r="AS70" s="296" t="str">
        <f t="shared" si="64"/>
        <v/>
      </c>
      <c r="AT70" s="296" t="str">
        <f t="shared" si="64"/>
        <v/>
      </c>
      <c r="AU70" s="297" t="str">
        <f t="shared" si="64"/>
        <v/>
      </c>
      <c r="AV70" s="298" t="str">
        <f t="shared" si="64"/>
        <v/>
      </c>
      <c r="AW70" s="296" t="str">
        <f t="shared" si="64"/>
        <v/>
      </c>
      <c r="AX70" s="296" t="str">
        <f t="shared" si="64"/>
        <v/>
      </c>
      <c r="AY70" s="297" t="str">
        <f t="shared" si="64"/>
        <v/>
      </c>
      <c r="AZ70" s="298" t="str">
        <f t="shared" si="64"/>
        <v/>
      </c>
      <c r="BA70" s="296" t="str">
        <f t="shared" si="64"/>
        <v/>
      </c>
      <c r="BB70" s="296" t="str">
        <f t="shared" si="64"/>
        <v/>
      </c>
      <c r="BC70" s="297" t="str">
        <f t="shared" si="64"/>
        <v/>
      </c>
      <c r="BD70" s="298" t="str">
        <f t="shared" si="64"/>
        <v/>
      </c>
      <c r="BE70" s="296" t="str">
        <f t="shared" si="64"/>
        <v/>
      </c>
      <c r="BF70" s="296" t="str">
        <f t="shared" si="64"/>
        <v/>
      </c>
      <c r="BG70" s="297" t="str">
        <f t="shared" si="64"/>
        <v/>
      </c>
      <c r="BH70" s="298" t="str">
        <f t="shared" si="64"/>
        <v/>
      </c>
      <c r="BI70" s="296" t="str">
        <f t="shared" si="64"/>
        <v/>
      </c>
      <c r="BJ70" s="296" t="str">
        <f t="shared" si="64"/>
        <v/>
      </c>
      <c r="BK70" s="297" t="str">
        <f t="shared" si="64"/>
        <v/>
      </c>
      <c r="BL70" s="298" t="str">
        <f t="shared" si="64"/>
        <v/>
      </c>
      <c r="BM70" s="296" t="str">
        <f t="shared" si="64"/>
        <v/>
      </c>
      <c r="BN70" s="296" t="str">
        <f t="shared" si="64"/>
        <v/>
      </c>
      <c r="BO70" s="297" t="str">
        <f t="shared" si="64"/>
        <v/>
      </c>
      <c r="BP70" s="298" t="str">
        <f t="shared" si="64"/>
        <v/>
      </c>
      <c r="BQ70" s="296" t="str">
        <f t="shared" si="64"/>
        <v/>
      </c>
      <c r="BR70" s="296" t="str">
        <f t="shared" si="64"/>
        <v/>
      </c>
      <c r="BS70" s="297" t="str">
        <f t="shared" si="64"/>
        <v/>
      </c>
      <c r="BT70" s="299" t="str">
        <f t="shared" si="64"/>
        <v/>
      </c>
      <c r="BU70" s="300" t="str">
        <f t="shared" si="64"/>
        <v/>
      </c>
      <c r="BV70" s="300" t="str">
        <f t="shared" si="64"/>
        <v/>
      </c>
      <c r="BW70" s="301" t="str">
        <f t="shared" si="64"/>
        <v/>
      </c>
      <c r="BX70" s="299"/>
      <c r="BY70" s="300"/>
      <c r="BZ70" s="300"/>
      <c r="CA70" s="301"/>
      <c r="CB70" s="299"/>
      <c r="CC70" s="300"/>
      <c r="CD70" s="300"/>
      <c r="CE70" s="301"/>
    </row>
    <row r="71" spans="1:84" ht="20.100000000000001" customHeight="1">
      <c r="F71" s="152"/>
      <c r="G71" s="151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</row>
    <row r="72" spans="1:84" ht="20.100000000000001" customHeight="1">
      <c r="F72" s="152"/>
      <c r="G72" s="151"/>
    </row>
    <row r="73" spans="1:84" ht="20.100000000000001" customHeight="1">
      <c r="F73" s="152"/>
      <c r="G73" s="151"/>
    </row>
    <row r="74" spans="1:84" ht="20.100000000000001" customHeight="1">
      <c r="F74" s="152"/>
      <c r="G74" s="151"/>
    </row>
    <row r="75" spans="1:84" ht="20.100000000000001" customHeight="1">
      <c r="F75" s="152"/>
      <c r="G75" s="151"/>
    </row>
    <row r="76" spans="1:84" ht="20.100000000000001" customHeight="1">
      <c r="F76" s="152"/>
      <c r="G76" s="151"/>
    </row>
    <row r="77" spans="1:84" ht="20.100000000000001" customHeight="1">
      <c r="F77" s="152"/>
      <c r="G77" s="151"/>
    </row>
    <row r="78" spans="1:84" ht="20.100000000000001" customHeight="1">
      <c r="F78" s="152"/>
      <c r="G78" s="151"/>
    </row>
    <row r="79" spans="1:84" ht="20.100000000000001" customHeight="1">
      <c r="F79" s="152"/>
      <c r="G79" s="151"/>
    </row>
    <row r="80" spans="1:84" ht="20.100000000000001" customHeight="1">
      <c r="F80" s="152"/>
      <c r="G80" s="151"/>
    </row>
    <row r="81" spans="6:7" ht="20.100000000000001" customHeight="1">
      <c r="F81" s="152"/>
      <c r="G81" s="151"/>
    </row>
    <row r="82" spans="6:7" ht="20.100000000000001" customHeight="1">
      <c r="F82" s="152"/>
      <c r="G82" s="151"/>
    </row>
    <row r="83" spans="6:7" ht="20.100000000000001" customHeight="1">
      <c r="F83" s="152"/>
      <c r="G83" s="151"/>
    </row>
    <row r="84" spans="6:7" ht="20.100000000000001" customHeight="1">
      <c r="F84" s="152"/>
      <c r="G84" s="151"/>
    </row>
    <row r="85" spans="6:7" ht="20.100000000000001" customHeight="1">
      <c r="F85" s="152"/>
      <c r="G85" s="151"/>
    </row>
    <row r="86" spans="6:7" ht="20.100000000000001" customHeight="1">
      <c r="F86" s="152"/>
      <c r="G86" s="151"/>
    </row>
    <row r="87" spans="6:7" ht="20.100000000000001" customHeight="1">
      <c r="F87" s="152"/>
      <c r="G87" s="151"/>
    </row>
    <row r="88" spans="6:7" ht="20.100000000000001" customHeight="1">
      <c r="F88" s="152"/>
      <c r="G88" s="151"/>
    </row>
    <row r="89" spans="6:7" ht="20.100000000000001" customHeight="1">
      <c r="F89" s="152"/>
      <c r="G89" s="151"/>
    </row>
    <row r="90" spans="6:7" ht="20.100000000000001" customHeight="1">
      <c r="F90" s="152"/>
      <c r="G90" s="151"/>
    </row>
    <row r="91" spans="6:7" ht="20.100000000000001" customHeight="1">
      <c r="F91" s="152"/>
      <c r="G91" s="151"/>
    </row>
    <row r="92" spans="6:7" ht="20.100000000000001" customHeight="1">
      <c r="F92" s="152"/>
      <c r="G92" s="151"/>
    </row>
    <row r="93" spans="6:7" ht="20.100000000000001" customHeight="1">
      <c r="F93" s="152"/>
      <c r="G93" s="151"/>
    </row>
    <row r="94" spans="6:7" ht="20.100000000000001" customHeight="1">
      <c r="F94" s="152"/>
      <c r="G94" s="151"/>
    </row>
    <row r="95" spans="6:7" ht="20.100000000000001" customHeight="1">
      <c r="F95" s="152"/>
      <c r="G95" s="151"/>
    </row>
    <row r="96" spans="6:7" ht="20.100000000000001" customHeight="1">
      <c r="F96" s="152"/>
      <c r="G96" s="151"/>
    </row>
    <row r="97" spans="6:7" ht="20.100000000000001" customHeight="1">
      <c r="F97" s="152"/>
      <c r="G97" s="151"/>
    </row>
    <row r="98" spans="6:7" ht="20.100000000000001" customHeight="1">
      <c r="F98" s="152"/>
      <c r="G98" s="151"/>
    </row>
    <row r="99" spans="6:7" ht="20.100000000000001" customHeight="1">
      <c r="F99" s="152"/>
      <c r="G99" s="151"/>
    </row>
    <row r="100" spans="6:7" ht="20.100000000000001" customHeight="1">
      <c r="F100" s="152"/>
      <c r="G100" s="151"/>
    </row>
    <row r="101" spans="6:7" ht="20.100000000000001" customHeight="1">
      <c r="F101" s="152"/>
      <c r="G101" s="151"/>
    </row>
    <row r="102" spans="6:7" ht="20.100000000000001" customHeight="1">
      <c r="F102" s="152"/>
      <c r="G102" s="151"/>
    </row>
    <row r="103" spans="6:7" ht="20.100000000000001" customHeight="1">
      <c r="F103" s="152"/>
      <c r="G103" s="151"/>
    </row>
    <row r="104" spans="6:7" ht="20.100000000000001" customHeight="1">
      <c r="F104" s="152"/>
      <c r="G104" s="151"/>
    </row>
    <row r="105" spans="6:7" ht="20.100000000000001" customHeight="1">
      <c r="F105" s="152"/>
      <c r="G105" s="151"/>
    </row>
    <row r="106" spans="6:7" ht="20.100000000000001" customHeight="1">
      <c r="F106" s="152"/>
      <c r="G106" s="151"/>
    </row>
    <row r="107" spans="6:7" ht="20.100000000000001" customHeight="1">
      <c r="F107" s="152"/>
      <c r="G107" s="151"/>
    </row>
    <row r="108" spans="6:7" ht="20.100000000000001" customHeight="1">
      <c r="F108" s="152"/>
      <c r="G108" s="151"/>
    </row>
    <row r="109" spans="6:7" ht="20.100000000000001" customHeight="1">
      <c r="F109" s="152"/>
      <c r="G109" s="151"/>
    </row>
    <row r="110" spans="6:7" ht="20.100000000000001" customHeight="1">
      <c r="F110" s="152"/>
      <c r="G110" s="151"/>
    </row>
    <row r="111" spans="6:7" ht="20.100000000000001" customHeight="1">
      <c r="F111" s="152"/>
      <c r="G111" s="151"/>
    </row>
    <row r="112" spans="6:7" ht="20.100000000000001" customHeight="1">
      <c r="F112" s="152"/>
      <c r="G112" s="151"/>
    </row>
    <row r="113" spans="6:7" ht="20.100000000000001" customHeight="1">
      <c r="F113" s="152"/>
      <c r="G113" s="151"/>
    </row>
    <row r="114" spans="6:7" ht="20.100000000000001" customHeight="1">
      <c r="F114" s="152"/>
      <c r="G114" s="151"/>
    </row>
    <row r="115" spans="6:7" ht="20.100000000000001" customHeight="1">
      <c r="F115" s="152"/>
      <c r="G115" s="151"/>
    </row>
    <row r="116" spans="6:7" ht="20.100000000000001" customHeight="1">
      <c r="F116" s="152"/>
      <c r="G116" s="151"/>
    </row>
    <row r="117" spans="6:7" ht="20.100000000000001" customHeight="1">
      <c r="F117" s="152"/>
      <c r="G117" s="151"/>
    </row>
    <row r="118" spans="6:7" ht="20.100000000000001" customHeight="1">
      <c r="F118" s="152"/>
      <c r="G118" s="151"/>
    </row>
    <row r="119" spans="6:7" ht="20.100000000000001" customHeight="1">
      <c r="F119" s="152"/>
      <c r="G119" s="151"/>
    </row>
    <row r="120" spans="6:7" ht="20.100000000000001" customHeight="1">
      <c r="F120" s="152"/>
      <c r="G120" s="151"/>
    </row>
    <row r="121" spans="6:7" ht="20.100000000000001" customHeight="1">
      <c r="F121" s="152"/>
      <c r="G121" s="151"/>
    </row>
    <row r="122" spans="6:7" ht="20.100000000000001" customHeight="1">
      <c r="F122" s="152"/>
      <c r="G122" s="151"/>
    </row>
    <row r="123" spans="6:7" ht="20.100000000000001" customHeight="1">
      <c r="F123" s="152"/>
      <c r="G123" s="151"/>
    </row>
    <row r="124" spans="6:7" ht="20.100000000000001" customHeight="1">
      <c r="F124" s="152"/>
      <c r="G124" s="151"/>
    </row>
    <row r="125" spans="6:7" ht="20.100000000000001" customHeight="1">
      <c r="F125" s="152"/>
      <c r="G125" s="151"/>
    </row>
    <row r="126" spans="6:7" ht="20.100000000000001" customHeight="1">
      <c r="F126" s="152"/>
      <c r="G126" s="151"/>
    </row>
    <row r="127" spans="6:7" ht="20.100000000000001" customHeight="1">
      <c r="F127" s="152"/>
      <c r="G127" s="151"/>
    </row>
    <row r="128" spans="6:7" ht="20.100000000000001" customHeight="1">
      <c r="F128" s="152"/>
      <c r="G128" s="151"/>
    </row>
    <row r="129" spans="6:7" ht="20.100000000000001" customHeight="1">
      <c r="F129" s="152"/>
      <c r="G129" s="151"/>
    </row>
    <row r="130" spans="6:7" ht="20.100000000000001" customHeight="1">
      <c r="F130" s="152"/>
      <c r="G130" s="151"/>
    </row>
    <row r="131" spans="6:7" ht="20.100000000000001" customHeight="1">
      <c r="F131" s="152"/>
      <c r="G131" s="151"/>
    </row>
    <row r="132" spans="6:7" ht="20.100000000000001" customHeight="1">
      <c r="F132" s="152"/>
      <c r="G132" s="151"/>
    </row>
  </sheetData>
  <sheetProtection algorithmName="SHA-512" hashValue="U0j/OeqgAE1G45+3xJ0SOgP8B0Ma+x0u+TugJND1na57cQVnSaQAICt1dLC2U+33u+j9xqv2toe1h1MtELhuuw==" saltValue="70kLSqsVue9A9jwcrgZw/w==" spinCount="100000" sheet="1" objects="1" scenarios="1"/>
  <autoFilter ref="F5:G54" xr:uid="{00000000-0009-0000-0000-000004000000}"/>
  <mergeCells count="2">
    <mergeCell ref="F69:F70"/>
    <mergeCell ref="F67:F68"/>
  </mergeCells>
  <phoneticPr fontId="0" type="noConversion"/>
  <conditionalFormatting sqref="H5:CE5 H46:CE54">
    <cfRule type="cellIs" dxfId="4" priority="1" stopIfTrue="1" operator="equal">
      <formula>0</formula>
    </cfRule>
  </conditionalFormatting>
  <printOptions horizontalCentered="1"/>
  <pageMargins left="0.31496062992125984" right="0.31496062992125984" top="0.55118110236220474" bottom="0.55118110236220474" header="0.31496062992125984" footer="0.31496062992125984"/>
  <pageSetup paperSize="9" scale="61" orientation="landscape" horizontalDpi="200" verticalDpi="200" r:id="rId1"/>
  <headerFooter>
    <oddFooter>&amp;L&amp;D - &amp;T&amp;R&amp;F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A1:CI132"/>
  <sheetViews>
    <sheetView zoomScaleNormal="100" workbookViewId="0">
      <pane xSplit="7" ySplit="5" topLeftCell="H30" activePane="bottomRight" state="frozen"/>
      <selection activeCell="H15" sqref="H15"/>
      <selection pane="topRight" activeCell="H15" sqref="H15"/>
      <selection pane="bottomLeft" activeCell="H15" sqref="H15"/>
      <selection pane="bottomRight" activeCell="AK12" sqref="AK12"/>
    </sheetView>
  </sheetViews>
  <sheetFormatPr defaultColWidth="9.140625" defaultRowHeight="20.100000000000001" customHeight="1"/>
  <cols>
    <col min="1" max="1" width="6.42578125" style="11" hidden="1" customWidth="1"/>
    <col min="2" max="4" width="7.5703125" style="11" hidden="1" customWidth="1"/>
    <col min="5" max="5" width="1" style="11" customWidth="1"/>
    <col min="6" max="6" width="5" style="12" bestFit="1" customWidth="1"/>
    <col min="7" max="7" width="22.140625" style="12" customWidth="1"/>
    <col min="8" max="83" width="2.7109375" style="12" customWidth="1"/>
    <col min="84" max="84" width="3" style="12" bestFit="1" customWidth="1"/>
    <col min="85" max="16384" width="9.140625" style="12"/>
  </cols>
  <sheetData>
    <row r="1" spans="1:87" ht="3.75" customHeight="1"/>
    <row r="2" spans="1:87" s="44" customFormat="1" ht="23.25" customHeight="1">
      <c r="A2" s="43"/>
      <c r="B2" s="43"/>
      <c r="C2" s="148"/>
      <c r="D2" s="43"/>
      <c r="E2" s="43"/>
      <c r="F2" s="30" t="str">
        <f>+TABELLA!E4&amp;" - "&amp;"MERCOLEDI''"</f>
        <v xml:space="preserve"> - MERCOLEDI''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2" t="str">
        <f>+TABELLA!E5&amp;" "&amp;TABELLA!G5&amp;"-"&amp;TABELLA!B7</f>
        <v>REPARTO -Settimana n° 47</v>
      </c>
    </row>
    <row r="3" spans="1:87" s="23" customFormat="1" ht="36" customHeight="1">
      <c r="G3" s="24">
        <v>5</v>
      </c>
      <c r="H3" s="33">
        <f>G3+0.15</f>
        <v>5.15</v>
      </c>
      <c r="I3" s="33">
        <f>H3+0.15</f>
        <v>5.3000000000000007</v>
      </c>
      <c r="J3" s="33">
        <f>I3+0.15</f>
        <v>5.4500000000000011</v>
      </c>
      <c r="K3" s="25">
        <f>G3+1</f>
        <v>6</v>
      </c>
      <c r="L3" s="33">
        <f>K3+0.15</f>
        <v>6.15</v>
      </c>
      <c r="M3" s="33">
        <f>L3+0.15</f>
        <v>6.3000000000000007</v>
      </c>
      <c r="N3" s="33">
        <f>M3+0.15</f>
        <v>6.4500000000000011</v>
      </c>
      <c r="O3" s="25">
        <f>K3+1</f>
        <v>7</v>
      </c>
      <c r="P3" s="33">
        <f>O3+0.15</f>
        <v>7.15</v>
      </c>
      <c r="Q3" s="33">
        <f>P3+0.15</f>
        <v>7.3000000000000007</v>
      </c>
      <c r="R3" s="33">
        <f>Q3+0.15</f>
        <v>7.4500000000000011</v>
      </c>
      <c r="S3" s="25">
        <f>O3+1</f>
        <v>8</v>
      </c>
      <c r="T3" s="33">
        <f>S3+0.15</f>
        <v>8.15</v>
      </c>
      <c r="U3" s="33">
        <f>T3+0.15</f>
        <v>8.3000000000000007</v>
      </c>
      <c r="V3" s="33">
        <f>U3+0.15</f>
        <v>8.4500000000000011</v>
      </c>
      <c r="W3" s="25">
        <f>S3+1</f>
        <v>9</v>
      </c>
      <c r="X3" s="33">
        <f>W3+0.15</f>
        <v>9.15</v>
      </c>
      <c r="Y3" s="33">
        <f>X3+0.15</f>
        <v>9.3000000000000007</v>
      </c>
      <c r="Z3" s="33">
        <f>Y3+0.15</f>
        <v>9.4500000000000011</v>
      </c>
      <c r="AA3" s="25">
        <f>W3+1</f>
        <v>10</v>
      </c>
      <c r="AB3" s="33">
        <f>AA3+0.15</f>
        <v>10.15</v>
      </c>
      <c r="AC3" s="33">
        <f>AB3+0.15</f>
        <v>10.3</v>
      </c>
      <c r="AD3" s="33">
        <f>AC3+0.15</f>
        <v>10.450000000000001</v>
      </c>
      <c r="AE3" s="25">
        <f>AA3+1</f>
        <v>11</v>
      </c>
      <c r="AF3" s="33">
        <f>AE3+0.15</f>
        <v>11.15</v>
      </c>
      <c r="AG3" s="33">
        <f>AF3+0.15</f>
        <v>11.3</v>
      </c>
      <c r="AH3" s="33">
        <f>AG3+0.15</f>
        <v>11.450000000000001</v>
      </c>
      <c r="AI3" s="25">
        <f>AE3+1</f>
        <v>12</v>
      </c>
      <c r="AJ3" s="33">
        <f>AI3+0.15</f>
        <v>12.15</v>
      </c>
      <c r="AK3" s="33">
        <f>AJ3+0.15</f>
        <v>12.3</v>
      </c>
      <c r="AL3" s="33">
        <f>AK3+0.15</f>
        <v>12.450000000000001</v>
      </c>
      <c r="AM3" s="25">
        <f>AI3+1</f>
        <v>13</v>
      </c>
      <c r="AN3" s="33">
        <f>AM3+0.15</f>
        <v>13.15</v>
      </c>
      <c r="AO3" s="33">
        <f>AN3+0.15</f>
        <v>13.3</v>
      </c>
      <c r="AP3" s="33">
        <f>AO3+0.15</f>
        <v>13.450000000000001</v>
      </c>
      <c r="AQ3" s="25">
        <f>AM3+1</f>
        <v>14</v>
      </c>
      <c r="AR3" s="33">
        <f>AQ3+0.15</f>
        <v>14.15</v>
      </c>
      <c r="AS3" s="33">
        <f>AR3+0.15</f>
        <v>14.3</v>
      </c>
      <c r="AT3" s="33">
        <f>AS3+0.15</f>
        <v>14.450000000000001</v>
      </c>
      <c r="AU3" s="25">
        <f>AQ3+1</f>
        <v>15</v>
      </c>
      <c r="AV3" s="33">
        <f>AU3+0.15</f>
        <v>15.15</v>
      </c>
      <c r="AW3" s="33">
        <f>AV3+0.15</f>
        <v>15.3</v>
      </c>
      <c r="AX3" s="33">
        <f>AW3+0.15</f>
        <v>15.450000000000001</v>
      </c>
      <c r="AY3" s="25">
        <f>AU3+1</f>
        <v>16</v>
      </c>
      <c r="AZ3" s="33">
        <f>AY3+0.15</f>
        <v>16.149999999999999</v>
      </c>
      <c r="BA3" s="33">
        <f>AZ3+0.15</f>
        <v>16.299999999999997</v>
      </c>
      <c r="BB3" s="33">
        <f>BA3+0.15</f>
        <v>16.449999999999996</v>
      </c>
      <c r="BC3" s="25">
        <f>AY3+1</f>
        <v>17</v>
      </c>
      <c r="BD3" s="33">
        <f>BC3+0.15</f>
        <v>17.149999999999999</v>
      </c>
      <c r="BE3" s="33">
        <f>BD3+0.15</f>
        <v>17.299999999999997</v>
      </c>
      <c r="BF3" s="33">
        <f>BE3+0.15</f>
        <v>17.449999999999996</v>
      </c>
      <c r="BG3" s="25">
        <f>BC3+1</f>
        <v>18</v>
      </c>
      <c r="BH3" s="33">
        <f>BG3+0.15</f>
        <v>18.149999999999999</v>
      </c>
      <c r="BI3" s="33">
        <f>BH3+0.15</f>
        <v>18.299999999999997</v>
      </c>
      <c r="BJ3" s="33">
        <f>BI3+0.15</f>
        <v>18.449999999999996</v>
      </c>
      <c r="BK3" s="25">
        <f>BG3+1</f>
        <v>19</v>
      </c>
      <c r="BL3" s="33">
        <f>BK3+0.15</f>
        <v>19.149999999999999</v>
      </c>
      <c r="BM3" s="33">
        <f>BL3+0.15</f>
        <v>19.299999999999997</v>
      </c>
      <c r="BN3" s="33">
        <f>BM3+0.15</f>
        <v>19.449999999999996</v>
      </c>
      <c r="BO3" s="25">
        <f>BK3+1</f>
        <v>20</v>
      </c>
      <c r="BP3" s="33">
        <f>BO3+0.15</f>
        <v>20.149999999999999</v>
      </c>
      <c r="BQ3" s="33">
        <f>BP3+0.15</f>
        <v>20.299999999999997</v>
      </c>
      <c r="BR3" s="33">
        <f>BQ3+0.15</f>
        <v>20.449999999999996</v>
      </c>
      <c r="BS3" s="25">
        <f>BO3+1</f>
        <v>21</v>
      </c>
      <c r="BT3" s="33">
        <f>BS3+0.15</f>
        <v>21.15</v>
      </c>
      <c r="BU3" s="33">
        <f>BT3+0.15</f>
        <v>21.299999999999997</v>
      </c>
      <c r="BV3" s="33">
        <f>BU3+0.15</f>
        <v>21.449999999999996</v>
      </c>
      <c r="BW3" s="25">
        <f>BS3+1</f>
        <v>22</v>
      </c>
      <c r="BX3" s="33">
        <f>BW3+0.15</f>
        <v>22.15</v>
      </c>
      <c r="BY3" s="33">
        <f>BX3+0.15</f>
        <v>22.299999999999997</v>
      </c>
      <c r="BZ3" s="33">
        <f>BY3+0.15</f>
        <v>22.449999999999996</v>
      </c>
      <c r="CA3" s="25">
        <f>BW3+1</f>
        <v>23</v>
      </c>
      <c r="CB3" s="33">
        <f>CA3+0.15</f>
        <v>23.15</v>
      </c>
      <c r="CC3" s="33">
        <f>CB3+0.15</f>
        <v>23.299999999999997</v>
      </c>
      <c r="CD3" s="33">
        <f>CC3+0.15</f>
        <v>23.449999999999996</v>
      </c>
      <c r="CE3" s="25">
        <f>CA3+1</f>
        <v>24</v>
      </c>
      <c r="CF3" s="34"/>
      <c r="CG3" s="34"/>
      <c r="CH3" s="34"/>
      <c r="CI3" s="34"/>
    </row>
    <row r="4" spans="1:87" ht="4.5" customHeight="1">
      <c r="H4" s="14"/>
      <c r="I4" s="15"/>
      <c r="J4" s="15"/>
      <c r="K4" s="15"/>
      <c r="L4" s="14"/>
      <c r="M4" s="15"/>
      <c r="N4" s="15"/>
      <c r="O4" s="15"/>
      <c r="P4" s="14"/>
      <c r="Q4" s="15"/>
      <c r="R4" s="15"/>
      <c r="S4" s="15"/>
      <c r="T4" s="14"/>
      <c r="U4" s="15"/>
      <c r="V4" s="15"/>
      <c r="W4" s="15"/>
      <c r="X4" s="14"/>
      <c r="Y4" s="15"/>
      <c r="Z4" s="15"/>
      <c r="AA4" s="15"/>
      <c r="AB4" s="14"/>
      <c r="AC4" s="15"/>
      <c r="AD4" s="15"/>
      <c r="AE4" s="15"/>
      <c r="AF4" s="14"/>
      <c r="AG4" s="15"/>
      <c r="AH4" s="15"/>
      <c r="AI4" s="15"/>
      <c r="AJ4" s="14"/>
      <c r="AK4" s="15"/>
      <c r="AL4" s="15"/>
      <c r="AM4" s="15"/>
      <c r="AN4" s="14"/>
      <c r="AO4" s="15"/>
      <c r="AP4" s="15"/>
      <c r="AQ4" s="15"/>
      <c r="AR4" s="14"/>
      <c r="AS4" s="15"/>
      <c r="AT4" s="15"/>
      <c r="AU4" s="15"/>
      <c r="AV4" s="14"/>
      <c r="AW4" s="15"/>
      <c r="AX4" s="15"/>
      <c r="AY4" s="15"/>
      <c r="AZ4" s="14"/>
      <c r="BA4" s="15"/>
      <c r="BB4" s="15"/>
      <c r="BC4" s="15"/>
      <c r="BD4" s="14"/>
      <c r="BE4" s="15"/>
      <c r="BF4" s="15"/>
      <c r="BG4" s="15"/>
      <c r="BH4" s="14"/>
      <c r="BI4" s="15"/>
      <c r="BJ4" s="15"/>
      <c r="BK4" s="15"/>
      <c r="BL4" s="14"/>
      <c r="BM4" s="15"/>
      <c r="BN4" s="15"/>
      <c r="BO4" s="15"/>
      <c r="BP4" s="14"/>
      <c r="BQ4" s="15"/>
      <c r="BR4" s="15"/>
      <c r="BS4" s="15"/>
      <c r="BT4" s="14"/>
      <c r="BU4" s="15"/>
      <c r="BV4" s="15"/>
      <c r="BW4" s="15"/>
      <c r="BX4" s="15"/>
      <c r="BY4" s="15"/>
      <c r="BZ4" s="15"/>
      <c r="CA4" s="15"/>
      <c r="CB4" s="14"/>
      <c r="CC4" s="15"/>
      <c r="CD4" s="15"/>
      <c r="CE4" s="15"/>
      <c r="CF4" s="13"/>
      <c r="CG4" s="13"/>
      <c r="CH4" s="13"/>
      <c r="CI4" s="13"/>
    </row>
    <row r="5" spans="1:87" s="29" customFormat="1" ht="49.5" customHeight="1">
      <c r="A5" s="35" t="s">
        <v>0</v>
      </c>
      <c r="B5" s="35" t="s">
        <v>1</v>
      </c>
      <c r="C5" s="35" t="s">
        <v>0</v>
      </c>
      <c r="D5" s="35" t="s">
        <v>1</v>
      </c>
      <c r="E5" s="35"/>
      <c r="F5" s="36" t="str">
        <f>+TABELLA!B8</f>
        <v>REP.</v>
      </c>
      <c r="G5" s="36" t="str">
        <f>+TABELLA!C8</f>
        <v>NOMINATIVO</v>
      </c>
      <c r="H5" s="37">
        <f>SUM(H6:H45)</f>
        <v>0</v>
      </c>
      <c r="I5" s="38">
        <f t="shared" ref="I5:BT5" si="0">SUM(I6:I45)</f>
        <v>0</v>
      </c>
      <c r="J5" s="38">
        <f t="shared" si="0"/>
        <v>0</v>
      </c>
      <c r="K5" s="39">
        <f t="shared" si="0"/>
        <v>0</v>
      </c>
      <c r="L5" s="37">
        <f t="shared" si="0"/>
        <v>0</v>
      </c>
      <c r="M5" s="38">
        <f t="shared" si="0"/>
        <v>0</v>
      </c>
      <c r="N5" s="38">
        <f t="shared" si="0"/>
        <v>0</v>
      </c>
      <c r="O5" s="39">
        <f t="shared" si="0"/>
        <v>0</v>
      </c>
      <c r="P5" s="37">
        <f t="shared" si="0"/>
        <v>0</v>
      </c>
      <c r="Q5" s="38">
        <f t="shared" si="0"/>
        <v>0</v>
      </c>
      <c r="R5" s="38">
        <f t="shared" si="0"/>
        <v>0</v>
      </c>
      <c r="S5" s="39">
        <f t="shared" si="0"/>
        <v>0</v>
      </c>
      <c r="T5" s="37">
        <f>SUM(T6:T45)</f>
        <v>1</v>
      </c>
      <c r="U5" s="38">
        <f t="shared" si="0"/>
        <v>1</v>
      </c>
      <c r="V5" s="38">
        <f t="shared" si="0"/>
        <v>1</v>
      </c>
      <c r="W5" s="39">
        <f t="shared" si="0"/>
        <v>1</v>
      </c>
      <c r="X5" s="37">
        <f t="shared" si="0"/>
        <v>2</v>
      </c>
      <c r="Y5" s="38">
        <f t="shared" si="0"/>
        <v>2</v>
      </c>
      <c r="Z5" s="38">
        <f t="shared" si="0"/>
        <v>3</v>
      </c>
      <c r="AA5" s="39">
        <f t="shared" si="0"/>
        <v>3</v>
      </c>
      <c r="AB5" s="37">
        <f t="shared" si="0"/>
        <v>4</v>
      </c>
      <c r="AC5" s="38">
        <f t="shared" si="0"/>
        <v>4</v>
      </c>
      <c r="AD5" s="38">
        <f t="shared" si="0"/>
        <v>4</v>
      </c>
      <c r="AE5" s="39">
        <f t="shared" si="0"/>
        <v>4</v>
      </c>
      <c r="AF5" s="37">
        <f t="shared" si="0"/>
        <v>4</v>
      </c>
      <c r="AG5" s="38">
        <f t="shared" si="0"/>
        <v>4</v>
      </c>
      <c r="AH5" s="38">
        <f t="shared" si="0"/>
        <v>4</v>
      </c>
      <c r="AI5" s="39">
        <f t="shared" si="0"/>
        <v>4</v>
      </c>
      <c r="AJ5" s="37">
        <f t="shared" si="0"/>
        <v>4</v>
      </c>
      <c r="AK5" s="38">
        <f t="shared" si="0"/>
        <v>4</v>
      </c>
      <c r="AL5" s="38">
        <f t="shared" si="0"/>
        <v>4</v>
      </c>
      <c r="AM5" s="39">
        <f t="shared" si="0"/>
        <v>5</v>
      </c>
      <c r="AN5" s="37">
        <f t="shared" si="0"/>
        <v>3</v>
      </c>
      <c r="AO5" s="38">
        <f t="shared" si="0"/>
        <v>3</v>
      </c>
      <c r="AP5" s="38">
        <f t="shared" si="0"/>
        <v>2</v>
      </c>
      <c r="AQ5" s="39">
        <f t="shared" si="0"/>
        <v>2</v>
      </c>
      <c r="AR5" s="37">
        <f t="shared" si="0"/>
        <v>3</v>
      </c>
      <c r="AS5" s="38">
        <f t="shared" si="0"/>
        <v>3</v>
      </c>
      <c r="AT5" s="38">
        <f t="shared" si="0"/>
        <v>3</v>
      </c>
      <c r="AU5" s="39">
        <f t="shared" si="0"/>
        <v>3</v>
      </c>
      <c r="AV5" s="37">
        <f t="shared" si="0"/>
        <v>2</v>
      </c>
      <c r="AW5" s="38">
        <f t="shared" si="0"/>
        <v>2</v>
      </c>
      <c r="AX5" s="38">
        <f t="shared" si="0"/>
        <v>2</v>
      </c>
      <c r="AY5" s="39">
        <f t="shared" si="0"/>
        <v>2</v>
      </c>
      <c r="AZ5" s="37">
        <f t="shared" si="0"/>
        <v>2</v>
      </c>
      <c r="BA5" s="38">
        <f t="shared" si="0"/>
        <v>3</v>
      </c>
      <c r="BB5" s="38">
        <f t="shared" si="0"/>
        <v>2</v>
      </c>
      <c r="BC5" s="39">
        <f t="shared" si="0"/>
        <v>2</v>
      </c>
      <c r="BD5" s="37">
        <f t="shared" si="0"/>
        <v>2</v>
      </c>
      <c r="BE5" s="38">
        <f t="shared" si="0"/>
        <v>3</v>
      </c>
      <c r="BF5" s="38">
        <f t="shared" si="0"/>
        <v>3</v>
      </c>
      <c r="BG5" s="39">
        <f t="shared" si="0"/>
        <v>3</v>
      </c>
      <c r="BH5" s="37">
        <f t="shared" si="0"/>
        <v>3</v>
      </c>
      <c r="BI5" s="38">
        <f t="shared" si="0"/>
        <v>3</v>
      </c>
      <c r="BJ5" s="38">
        <f t="shared" si="0"/>
        <v>3</v>
      </c>
      <c r="BK5" s="39">
        <f t="shared" si="0"/>
        <v>3</v>
      </c>
      <c r="BL5" s="37">
        <f t="shared" si="0"/>
        <v>3</v>
      </c>
      <c r="BM5" s="38">
        <f t="shared" si="0"/>
        <v>3</v>
      </c>
      <c r="BN5" s="38">
        <f t="shared" si="0"/>
        <v>2</v>
      </c>
      <c r="BO5" s="39">
        <f t="shared" si="0"/>
        <v>2</v>
      </c>
      <c r="BP5" s="37">
        <f t="shared" si="0"/>
        <v>2</v>
      </c>
      <c r="BQ5" s="38">
        <f t="shared" si="0"/>
        <v>2</v>
      </c>
      <c r="BR5" s="38">
        <f t="shared" si="0"/>
        <v>2</v>
      </c>
      <c r="BS5" s="39">
        <f t="shared" si="0"/>
        <v>0</v>
      </c>
      <c r="BT5" s="37">
        <f t="shared" si="0"/>
        <v>0</v>
      </c>
      <c r="BU5" s="38">
        <f t="shared" ref="BU5:CE5" si="1">SUM(BU6:BU45)</f>
        <v>0</v>
      </c>
      <c r="BV5" s="38">
        <f t="shared" si="1"/>
        <v>0</v>
      </c>
      <c r="BW5" s="39">
        <f t="shared" si="1"/>
        <v>0</v>
      </c>
      <c r="BX5" s="37">
        <f t="shared" si="1"/>
        <v>0</v>
      </c>
      <c r="BY5" s="38">
        <f t="shared" si="1"/>
        <v>0</v>
      </c>
      <c r="BZ5" s="38">
        <f t="shared" si="1"/>
        <v>0</v>
      </c>
      <c r="CA5" s="39">
        <f t="shared" si="1"/>
        <v>0</v>
      </c>
      <c r="CB5" s="37">
        <f t="shared" si="1"/>
        <v>0</v>
      </c>
      <c r="CC5" s="38">
        <f t="shared" si="1"/>
        <v>0</v>
      </c>
      <c r="CD5" s="38">
        <f t="shared" si="1"/>
        <v>0</v>
      </c>
      <c r="CE5" s="39">
        <f t="shared" si="1"/>
        <v>0</v>
      </c>
      <c r="CF5" s="174">
        <f>SUM(H5:CE5)</f>
        <v>141</v>
      </c>
      <c r="CG5" s="40"/>
      <c r="CH5" s="40"/>
      <c r="CI5" s="40"/>
    </row>
    <row r="6" spans="1:87" s="18" customFormat="1" ht="18" customHeight="1">
      <c r="A6" s="22">
        <f>+TABELLA!Q10</f>
        <v>0</v>
      </c>
      <c r="B6" s="22">
        <f>+TABELLA!R10</f>
        <v>0</v>
      </c>
      <c r="C6" s="22">
        <f>+TABELLA!S10</f>
        <v>0</v>
      </c>
      <c r="D6" s="22">
        <f>+TABELLA!T10</f>
        <v>0</v>
      </c>
      <c r="E6" s="22"/>
      <c r="F6" s="26">
        <f>IF(TABELLA!B10="","",TABELLA!B10)</f>
        <v>12</v>
      </c>
      <c r="G6" s="27" t="str">
        <f>IF(TABELLA!C10="","",TABELLA!C10)</f>
        <v>RUSSO ANTONELLA</v>
      </c>
      <c r="H6" s="203" t="str">
        <f t="shared" ref="H6:W6" si="2">IF(AND(G$3&gt;=$A6,G$3&lt;$B6),1,IF(AND(G$3&gt;=$C6,G$3&lt;$D6),1,""))</f>
        <v/>
      </c>
      <c r="I6" s="203" t="str">
        <f t="shared" si="2"/>
        <v/>
      </c>
      <c r="J6" s="203" t="str">
        <f t="shared" si="2"/>
        <v/>
      </c>
      <c r="K6" s="204" t="str">
        <f t="shared" si="2"/>
        <v/>
      </c>
      <c r="L6" s="205" t="str">
        <f t="shared" si="2"/>
        <v/>
      </c>
      <c r="M6" s="203" t="str">
        <f t="shared" si="2"/>
        <v/>
      </c>
      <c r="N6" s="203" t="str">
        <f t="shared" si="2"/>
        <v/>
      </c>
      <c r="O6" s="204" t="str">
        <f t="shared" si="2"/>
        <v/>
      </c>
      <c r="P6" s="205" t="str">
        <f t="shared" si="2"/>
        <v/>
      </c>
      <c r="Q6" s="203" t="str">
        <f t="shared" si="2"/>
        <v/>
      </c>
      <c r="R6" s="203" t="str">
        <f t="shared" si="2"/>
        <v/>
      </c>
      <c r="S6" s="204" t="str">
        <f t="shared" si="2"/>
        <v/>
      </c>
      <c r="T6" s="205" t="str">
        <f t="shared" si="2"/>
        <v/>
      </c>
      <c r="U6" s="203" t="str">
        <f t="shared" si="2"/>
        <v/>
      </c>
      <c r="V6" s="203" t="str">
        <f t="shared" si="2"/>
        <v/>
      </c>
      <c r="W6" s="204" t="str">
        <f t="shared" si="2"/>
        <v/>
      </c>
      <c r="X6" s="205" t="str">
        <f t="shared" ref="X6:AM21" si="3">IF(AND(W$3&gt;=$A6,W$3&lt;$B6),1,IF(AND(W$3&gt;=$C6,W$3&lt;$D6),1,""))</f>
        <v/>
      </c>
      <c r="Y6" s="203" t="str">
        <f t="shared" si="3"/>
        <v/>
      </c>
      <c r="Z6" s="203" t="str">
        <f t="shared" si="3"/>
        <v/>
      </c>
      <c r="AA6" s="204" t="str">
        <f t="shared" si="3"/>
        <v/>
      </c>
      <c r="AB6" s="205" t="str">
        <f t="shared" si="3"/>
        <v/>
      </c>
      <c r="AC6" s="203" t="str">
        <f t="shared" si="3"/>
        <v/>
      </c>
      <c r="AD6" s="203" t="str">
        <f t="shared" si="3"/>
        <v/>
      </c>
      <c r="AE6" s="204" t="str">
        <f t="shared" si="3"/>
        <v/>
      </c>
      <c r="AF6" s="205" t="str">
        <f t="shared" si="3"/>
        <v/>
      </c>
      <c r="AG6" s="203" t="str">
        <f t="shared" si="3"/>
        <v/>
      </c>
      <c r="AH6" s="203" t="str">
        <f t="shared" si="3"/>
        <v/>
      </c>
      <c r="AI6" s="204" t="str">
        <f t="shared" si="3"/>
        <v/>
      </c>
      <c r="AJ6" s="205" t="str">
        <f t="shared" si="3"/>
        <v/>
      </c>
      <c r="AK6" s="203" t="str">
        <f t="shared" si="3"/>
        <v/>
      </c>
      <c r="AL6" s="203" t="str">
        <f t="shared" si="3"/>
        <v/>
      </c>
      <c r="AM6" s="204" t="str">
        <f t="shared" si="3"/>
        <v/>
      </c>
      <c r="AN6" s="205" t="str">
        <f t="shared" ref="AN6:BC21" si="4">IF(AND(AM$3&gt;=$A6,AM$3&lt;$B6),1,IF(AND(AM$3&gt;=$C6,AM$3&lt;$D6),1,""))</f>
        <v/>
      </c>
      <c r="AO6" s="203" t="str">
        <f t="shared" si="4"/>
        <v/>
      </c>
      <c r="AP6" s="203" t="str">
        <f t="shared" si="4"/>
        <v/>
      </c>
      <c r="AQ6" s="204" t="str">
        <f t="shared" si="4"/>
        <v/>
      </c>
      <c r="AR6" s="205" t="str">
        <f t="shared" si="4"/>
        <v/>
      </c>
      <c r="AS6" s="203" t="str">
        <f t="shared" si="4"/>
        <v/>
      </c>
      <c r="AT6" s="203" t="str">
        <f t="shared" si="4"/>
        <v/>
      </c>
      <c r="AU6" s="204" t="str">
        <f t="shared" si="4"/>
        <v/>
      </c>
      <c r="AV6" s="205" t="str">
        <f t="shared" si="4"/>
        <v/>
      </c>
      <c r="AW6" s="203" t="str">
        <f t="shared" si="4"/>
        <v/>
      </c>
      <c r="AX6" s="203" t="str">
        <f t="shared" si="4"/>
        <v/>
      </c>
      <c r="AY6" s="204" t="str">
        <f t="shared" si="4"/>
        <v/>
      </c>
      <c r="AZ6" s="205" t="str">
        <f t="shared" si="4"/>
        <v/>
      </c>
      <c r="BA6" s="203" t="str">
        <f t="shared" si="4"/>
        <v/>
      </c>
      <c r="BB6" s="203" t="str">
        <f t="shared" si="4"/>
        <v/>
      </c>
      <c r="BC6" s="204" t="str">
        <f t="shared" si="4"/>
        <v/>
      </c>
      <c r="BD6" s="205" t="str">
        <f t="shared" ref="BD6:BS20" si="5">IF(AND(BC$3&gt;=$A6,BC$3&lt;$B6),1,IF(AND(BC$3&gt;=$C6,BC$3&lt;$D6),1,""))</f>
        <v/>
      </c>
      <c r="BE6" s="203" t="str">
        <f t="shared" si="5"/>
        <v/>
      </c>
      <c r="BF6" s="203" t="str">
        <f t="shared" si="5"/>
        <v/>
      </c>
      <c r="BG6" s="204" t="str">
        <f t="shared" si="5"/>
        <v/>
      </c>
      <c r="BH6" s="205" t="str">
        <f t="shared" si="5"/>
        <v/>
      </c>
      <c r="BI6" s="203" t="str">
        <f t="shared" si="5"/>
        <v/>
      </c>
      <c r="BJ6" s="203" t="str">
        <f t="shared" si="5"/>
        <v/>
      </c>
      <c r="BK6" s="204" t="str">
        <f t="shared" si="5"/>
        <v/>
      </c>
      <c r="BL6" s="205" t="str">
        <f t="shared" si="5"/>
        <v/>
      </c>
      <c r="BM6" s="203" t="str">
        <f t="shared" si="5"/>
        <v/>
      </c>
      <c r="BN6" s="203" t="str">
        <f t="shared" si="5"/>
        <v/>
      </c>
      <c r="BO6" s="204" t="str">
        <f t="shared" si="5"/>
        <v/>
      </c>
      <c r="BP6" s="205" t="str">
        <f t="shared" si="5"/>
        <v/>
      </c>
      <c r="BQ6" s="203" t="str">
        <f t="shared" si="5"/>
        <v/>
      </c>
      <c r="BR6" s="203" t="str">
        <f t="shared" si="5"/>
        <v/>
      </c>
      <c r="BS6" s="204" t="str">
        <f t="shared" si="5"/>
        <v/>
      </c>
      <c r="BT6" s="205" t="str">
        <f t="shared" ref="BP6:CE21" si="6">IF(AND(BS$3&gt;=$A6,BS$3&lt;$B6),1,IF(AND(BS$3&gt;=$C6,BS$3&lt;$D6),1,""))</f>
        <v/>
      </c>
      <c r="BU6" s="203" t="str">
        <f t="shared" si="6"/>
        <v/>
      </c>
      <c r="BV6" s="203" t="str">
        <f t="shared" si="6"/>
        <v/>
      </c>
      <c r="BW6" s="204" t="str">
        <f t="shared" si="6"/>
        <v/>
      </c>
      <c r="BX6" s="205" t="str">
        <f t="shared" si="6"/>
        <v/>
      </c>
      <c r="BY6" s="203" t="str">
        <f t="shared" si="6"/>
        <v/>
      </c>
      <c r="BZ6" s="203" t="str">
        <f t="shared" si="6"/>
        <v/>
      </c>
      <c r="CA6" s="204" t="str">
        <f t="shared" si="6"/>
        <v/>
      </c>
      <c r="CB6" s="205" t="str">
        <f t="shared" si="6"/>
        <v/>
      </c>
      <c r="CC6" s="203" t="str">
        <f t="shared" si="6"/>
        <v/>
      </c>
      <c r="CD6" s="203" t="str">
        <f t="shared" si="6"/>
        <v/>
      </c>
      <c r="CE6" s="204" t="str">
        <f t="shared" si="6"/>
        <v/>
      </c>
      <c r="CF6" s="17"/>
      <c r="CG6" s="16"/>
      <c r="CH6" s="13"/>
      <c r="CI6" s="16"/>
    </row>
    <row r="7" spans="1:87" s="21" customFormat="1" ht="18" customHeight="1">
      <c r="A7" s="22">
        <f>+TABELLA!Q11</f>
        <v>0</v>
      </c>
      <c r="B7" s="22">
        <f>+TABELLA!R11</f>
        <v>0</v>
      </c>
      <c r="C7" s="22">
        <f>+TABELLA!S11</f>
        <v>0</v>
      </c>
      <c r="D7" s="22">
        <f>+TABELLA!T11</f>
        <v>0</v>
      </c>
      <c r="E7" s="22"/>
      <c r="F7" s="41" t="str">
        <f>IF(TABELLA!B11="","",TABELLA!B11)</f>
        <v/>
      </c>
      <c r="G7" s="42" t="str">
        <f>IF(TABELLA!C11="","",TABELLA!C11)</f>
        <v/>
      </c>
      <c r="H7" s="206" t="str">
        <f t="shared" ref="H7:W7" si="7">IF(AND(G$3&gt;=$A7,G$3&lt;$B7),1,IF(AND(G$3&gt;=$C7,G$3&lt;$D7),1,""))</f>
        <v/>
      </c>
      <c r="I7" s="206" t="str">
        <f t="shared" si="7"/>
        <v/>
      </c>
      <c r="J7" s="206" t="str">
        <f t="shared" si="7"/>
        <v/>
      </c>
      <c r="K7" s="207" t="str">
        <f t="shared" si="7"/>
        <v/>
      </c>
      <c r="L7" s="208" t="str">
        <f t="shared" si="7"/>
        <v/>
      </c>
      <c r="M7" s="206" t="str">
        <f t="shared" si="7"/>
        <v/>
      </c>
      <c r="N7" s="206" t="str">
        <f t="shared" si="7"/>
        <v/>
      </c>
      <c r="O7" s="207" t="str">
        <f t="shared" si="7"/>
        <v/>
      </c>
      <c r="P7" s="208" t="str">
        <f t="shared" si="7"/>
        <v/>
      </c>
      <c r="Q7" s="206" t="str">
        <f t="shared" si="7"/>
        <v/>
      </c>
      <c r="R7" s="206" t="str">
        <f t="shared" si="7"/>
        <v/>
      </c>
      <c r="S7" s="207" t="str">
        <f t="shared" si="7"/>
        <v/>
      </c>
      <c r="T7" s="208" t="str">
        <f t="shared" si="7"/>
        <v/>
      </c>
      <c r="U7" s="206" t="str">
        <f t="shared" si="7"/>
        <v/>
      </c>
      <c r="V7" s="206" t="str">
        <f t="shared" si="7"/>
        <v/>
      </c>
      <c r="W7" s="207" t="str">
        <f t="shared" si="7"/>
        <v/>
      </c>
      <c r="X7" s="208" t="str">
        <f t="shared" si="3"/>
        <v/>
      </c>
      <c r="Y7" s="206" t="str">
        <f t="shared" si="3"/>
        <v/>
      </c>
      <c r="Z7" s="206" t="str">
        <f t="shared" si="3"/>
        <v/>
      </c>
      <c r="AA7" s="207" t="str">
        <f t="shared" si="3"/>
        <v/>
      </c>
      <c r="AB7" s="208" t="str">
        <f t="shared" si="3"/>
        <v/>
      </c>
      <c r="AC7" s="206" t="str">
        <f t="shared" si="3"/>
        <v/>
      </c>
      <c r="AD7" s="206" t="str">
        <f t="shared" si="3"/>
        <v/>
      </c>
      <c r="AE7" s="207" t="str">
        <f t="shared" si="3"/>
        <v/>
      </c>
      <c r="AF7" s="208" t="str">
        <f t="shared" si="3"/>
        <v/>
      </c>
      <c r="AG7" s="206" t="str">
        <f t="shared" si="3"/>
        <v/>
      </c>
      <c r="AH7" s="206" t="str">
        <f t="shared" si="3"/>
        <v/>
      </c>
      <c r="AI7" s="207" t="str">
        <f t="shared" si="3"/>
        <v/>
      </c>
      <c r="AJ7" s="208" t="str">
        <f t="shared" si="3"/>
        <v/>
      </c>
      <c r="AK7" s="206" t="str">
        <f t="shared" si="3"/>
        <v/>
      </c>
      <c r="AL7" s="206" t="str">
        <f t="shared" si="3"/>
        <v/>
      </c>
      <c r="AM7" s="207" t="str">
        <f t="shared" si="3"/>
        <v/>
      </c>
      <c r="AN7" s="208" t="str">
        <f t="shared" si="4"/>
        <v/>
      </c>
      <c r="AO7" s="206" t="str">
        <f t="shared" si="4"/>
        <v/>
      </c>
      <c r="AP7" s="206" t="str">
        <f t="shared" si="4"/>
        <v/>
      </c>
      <c r="AQ7" s="207" t="str">
        <f t="shared" si="4"/>
        <v/>
      </c>
      <c r="AR7" s="208" t="str">
        <f t="shared" si="4"/>
        <v/>
      </c>
      <c r="AS7" s="206" t="str">
        <f t="shared" si="4"/>
        <v/>
      </c>
      <c r="AT7" s="206" t="str">
        <f t="shared" si="4"/>
        <v/>
      </c>
      <c r="AU7" s="207" t="str">
        <f t="shared" si="4"/>
        <v/>
      </c>
      <c r="AV7" s="208" t="str">
        <f t="shared" si="4"/>
        <v/>
      </c>
      <c r="AW7" s="206" t="str">
        <f t="shared" si="4"/>
        <v/>
      </c>
      <c r="AX7" s="206" t="str">
        <f t="shared" si="4"/>
        <v/>
      </c>
      <c r="AY7" s="207" t="str">
        <f t="shared" si="4"/>
        <v/>
      </c>
      <c r="AZ7" s="208" t="str">
        <f t="shared" si="4"/>
        <v/>
      </c>
      <c r="BA7" s="206" t="str">
        <f t="shared" si="4"/>
        <v/>
      </c>
      <c r="BB7" s="206" t="str">
        <f t="shared" si="4"/>
        <v/>
      </c>
      <c r="BC7" s="207" t="str">
        <f t="shared" si="4"/>
        <v/>
      </c>
      <c r="BD7" s="208" t="str">
        <f t="shared" si="5"/>
        <v/>
      </c>
      <c r="BE7" s="206" t="str">
        <f t="shared" si="5"/>
        <v/>
      </c>
      <c r="BF7" s="206" t="str">
        <f t="shared" si="5"/>
        <v/>
      </c>
      <c r="BG7" s="207" t="str">
        <f t="shared" si="5"/>
        <v/>
      </c>
      <c r="BH7" s="208" t="str">
        <f t="shared" si="5"/>
        <v/>
      </c>
      <c r="BI7" s="206" t="str">
        <f t="shared" si="5"/>
        <v/>
      </c>
      <c r="BJ7" s="206" t="str">
        <f t="shared" si="5"/>
        <v/>
      </c>
      <c r="BK7" s="207" t="str">
        <f t="shared" si="5"/>
        <v/>
      </c>
      <c r="BL7" s="208" t="str">
        <f t="shared" si="5"/>
        <v/>
      </c>
      <c r="BM7" s="206" t="str">
        <f t="shared" si="5"/>
        <v/>
      </c>
      <c r="BN7" s="206" t="str">
        <f t="shared" si="5"/>
        <v/>
      </c>
      <c r="BO7" s="207" t="str">
        <f t="shared" si="5"/>
        <v/>
      </c>
      <c r="BP7" s="208" t="str">
        <f t="shared" si="6"/>
        <v/>
      </c>
      <c r="BQ7" s="206" t="str">
        <f t="shared" si="6"/>
        <v/>
      </c>
      <c r="BR7" s="206" t="str">
        <f t="shared" si="6"/>
        <v/>
      </c>
      <c r="BS7" s="207" t="str">
        <f t="shared" si="6"/>
        <v/>
      </c>
      <c r="BT7" s="208" t="str">
        <f t="shared" si="6"/>
        <v/>
      </c>
      <c r="BU7" s="206" t="str">
        <f t="shared" si="6"/>
        <v/>
      </c>
      <c r="BV7" s="206" t="str">
        <f t="shared" si="6"/>
        <v/>
      </c>
      <c r="BW7" s="207" t="str">
        <f t="shared" si="6"/>
        <v/>
      </c>
      <c r="BX7" s="208" t="str">
        <f t="shared" si="6"/>
        <v/>
      </c>
      <c r="BY7" s="206" t="str">
        <f t="shared" si="6"/>
        <v/>
      </c>
      <c r="BZ7" s="206" t="str">
        <f t="shared" si="6"/>
        <v/>
      </c>
      <c r="CA7" s="207" t="str">
        <f t="shared" si="6"/>
        <v/>
      </c>
      <c r="CB7" s="208" t="str">
        <f t="shared" si="6"/>
        <v/>
      </c>
      <c r="CC7" s="206" t="str">
        <f t="shared" si="6"/>
        <v/>
      </c>
      <c r="CD7" s="206" t="str">
        <f t="shared" si="6"/>
        <v/>
      </c>
      <c r="CE7" s="207" t="str">
        <f t="shared" si="6"/>
        <v/>
      </c>
      <c r="CF7" s="19"/>
      <c r="CG7" s="20"/>
      <c r="CH7" s="13"/>
      <c r="CI7" s="20"/>
    </row>
    <row r="8" spans="1:87" s="18" customFormat="1" ht="18" customHeight="1">
      <c r="A8" s="22">
        <f>+TABELLA!Q12</f>
        <v>0</v>
      </c>
      <c r="B8" s="22">
        <f>+TABELLA!R12</f>
        <v>0</v>
      </c>
      <c r="C8" s="22">
        <f>+TABELLA!S12</f>
        <v>0</v>
      </c>
      <c r="D8" s="22">
        <f>+TABELLA!T12</f>
        <v>0</v>
      </c>
      <c r="E8" s="22"/>
      <c r="F8" s="26">
        <f>IF(TABELLA!B12="","",TABELLA!B12)</f>
        <v>10</v>
      </c>
      <c r="G8" s="27" t="str">
        <f>IF(TABELLA!C12="","",TABELLA!C12)</f>
        <v/>
      </c>
      <c r="H8" s="203" t="str">
        <f t="shared" ref="H8:W8" si="8">IF(AND(G$3&gt;=$A8,G$3&lt;$B8),1,IF(AND(G$3&gt;=$C8,G$3&lt;$D8),1,""))</f>
        <v/>
      </c>
      <c r="I8" s="203" t="str">
        <f t="shared" si="8"/>
        <v/>
      </c>
      <c r="J8" s="203" t="str">
        <f t="shared" si="8"/>
        <v/>
      </c>
      <c r="K8" s="204" t="str">
        <f t="shared" si="8"/>
        <v/>
      </c>
      <c r="L8" s="205" t="str">
        <f t="shared" si="8"/>
        <v/>
      </c>
      <c r="M8" s="203" t="str">
        <f t="shared" si="8"/>
        <v/>
      </c>
      <c r="N8" s="203" t="str">
        <f t="shared" si="8"/>
        <v/>
      </c>
      <c r="O8" s="204" t="str">
        <f t="shared" si="8"/>
        <v/>
      </c>
      <c r="P8" s="205" t="str">
        <f t="shared" si="8"/>
        <v/>
      </c>
      <c r="Q8" s="203" t="str">
        <f t="shared" si="8"/>
        <v/>
      </c>
      <c r="R8" s="203" t="str">
        <f t="shared" si="8"/>
        <v/>
      </c>
      <c r="S8" s="204" t="str">
        <f t="shared" si="8"/>
        <v/>
      </c>
      <c r="T8" s="205" t="str">
        <f t="shared" si="8"/>
        <v/>
      </c>
      <c r="U8" s="203" t="str">
        <f t="shared" si="8"/>
        <v/>
      </c>
      <c r="V8" s="203" t="str">
        <f t="shared" si="8"/>
        <v/>
      </c>
      <c r="W8" s="204" t="str">
        <f t="shared" si="8"/>
        <v/>
      </c>
      <c r="X8" s="205" t="str">
        <f t="shared" si="3"/>
        <v/>
      </c>
      <c r="Y8" s="203" t="str">
        <f t="shared" si="3"/>
        <v/>
      </c>
      <c r="Z8" s="203" t="str">
        <f t="shared" si="3"/>
        <v/>
      </c>
      <c r="AA8" s="204" t="str">
        <f t="shared" si="3"/>
        <v/>
      </c>
      <c r="AB8" s="205" t="str">
        <f t="shared" si="3"/>
        <v/>
      </c>
      <c r="AC8" s="203" t="str">
        <f t="shared" si="3"/>
        <v/>
      </c>
      <c r="AD8" s="203" t="str">
        <f t="shared" si="3"/>
        <v/>
      </c>
      <c r="AE8" s="204" t="str">
        <f t="shared" si="3"/>
        <v/>
      </c>
      <c r="AF8" s="205" t="str">
        <f t="shared" si="3"/>
        <v/>
      </c>
      <c r="AG8" s="203" t="str">
        <f t="shared" si="3"/>
        <v/>
      </c>
      <c r="AH8" s="203" t="str">
        <f t="shared" si="3"/>
        <v/>
      </c>
      <c r="AI8" s="204" t="str">
        <f t="shared" si="3"/>
        <v/>
      </c>
      <c r="AJ8" s="205" t="str">
        <f t="shared" si="3"/>
        <v/>
      </c>
      <c r="AK8" s="203" t="str">
        <f t="shared" si="3"/>
        <v/>
      </c>
      <c r="AL8" s="203" t="str">
        <f t="shared" si="3"/>
        <v/>
      </c>
      <c r="AM8" s="204" t="str">
        <f t="shared" si="3"/>
        <v/>
      </c>
      <c r="AN8" s="205" t="str">
        <f t="shared" si="4"/>
        <v/>
      </c>
      <c r="AO8" s="203" t="str">
        <f t="shared" si="4"/>
        <v/>
      </c>
      <c r="AP8" s="203" t="str">
        <f t="shared" si="4"/>
        <v/>
      </c>
      <c r="AQ8" s="204" t="str">
        <f t="shared" si="4"/>
        <v/>
      </c>
      <c r="AR8" s="205" t="str">
        <f t="shared" si="4"/>
        <v/>
      </c>
      <c r="AS8" s="203" t="str">
        <f t="shared" si="4"/>
        <v/>
      </c>
      <c r="AT8" s="203" t="str">
        <f t="shared" si="4"/>
        <v/>
      </c>
      <c r="AU8" s="204" t="str">
        <f t="shared" si="4"/>
        <v/>
      </c>
      <c r="AV8" s="205" t="str">
        <f t="shared" si="4"/>
        <v/>
      </c>
      <c r="AW8" s="203" t="str">
        <f t="shared" si="4"/>
        <v/>
      </c>
      <c r="AX8" s="203" t="str">
        <f t="shared" si="4"/>
        <v/>
      </c>
      <c r="AY8" s="204" t="str">
        <f t="shared" si="4"/>
        <v/>
      </c>
      <c r="AZ8" s="205" t="str">
        <f t="shared" si="4"/>
        <v/>
      </c>
      <c r="BA8" s="203" t="str">
        <f t="shared" si="4"/>
        <v/>
      </c>
      <c r="BB8" s="203" t="str">
        <f t="shared" si="4"/>
        <v/>
      </c>
      <c r="BC8" s="204" t="str">
        <f t="shared" si="4"/>
        <v/>
      </c>
      <c r="BD8" s="205" t="str">
        <f t="shared" si="5"/>
        <v/>
      </c>
      <c r="BE8" s="203" t="str">
        <f t="shared" si="5"/>
        <v/>
      </c>
      <c r="BF8" s="203" t="str">
        <f t="shared" si="5"/>
        <v/>
      </c>
      <c r="BG8" s="204" t="str">
        <f t="shared" si="5"/>
        <v/>
      </c>
      <c r="BH8" s="205" t="str">
        <f t="shared" si="5"/>
        <v/>
      </c>
      <c r="BI8" s="203" t="str">
        <f t="shared" si="5"/>
        <v/>
      </c>
      <c r="BJ8" s="203" t="str">
        <f t="shared" si="5"/>
        <v/>
      </c>
      <c r="BK8" s="204" t="str">
        <f t="shared" si="5"/>
        <v/>
      </c>
      <c r="BL8" s="205" t="str">
        <f t="shared" si="5"/>
        <v/>
      </c>
      <c r="BM8" s="203" t="str">
        <f t="shared" si="5"/>
        <v/>
      </c>
      <c r="BN8" s="203" t="str">
        <f t="shared" si="5"/>
        <v/>
      </c>
      <c r="BO8" s="204" t="str">
        <f t="shared" si="5"/>
        <v/>
      </c>
      <c r="BP8" s="205" t="str">
        <f t="shared" si="6"/>
        <v/>
      </c>
      <c r="BQ8" s="203" t="str">
        <f t="shared" si="6"/>
        <v/>
      </c>
      <c r="BR8" s="203" t="str">
        <f t="shared" si="6"/>
        <v/>
      </c>
      <c r="BS8" s="204" t="str">
        <f t="shared" si="6"/>
        <v/>
      </c>
      <c r="BT8" s="205" t="str">
        <f t="shared" si="6"/>
        <v/>
      </c>
      <c r="BU8" s="203" t="str">
        <f t="shared" si="6"/>
        <v/>
      </c>
      <c r="BV8" s="203" t="str">
        <f t="shared" si="6"/>
        <v/>
      </c>
      <c r="BW8" s="204" t="str">
        <f t="shared" si="6"/>
        <v/>
      </c>
      <c r="BX8" s="205" t="str">
        <f t="shared" si="6"/>
        <v/>
      </c>
      <c r="BY8" s="203" t="str">
        <f t="shared" si="6"/>
        <v/>
      </c>
      <c r="BZ8" s="203" t="str">
        <f t="shared" si="6"/>
        <v/>
      </c>
      <c r="CA8" s="204" t="str">
        <f t="shared" si="6"/>
        <v/>
      </c>
      <c r="CB8" s="205" t="str">
        <f t="shared" si="6"/>
        <v/>
      </c>
      <c r="CC8" s="203" t="str">
        <f t="shared" si="6"/>
        <v/>
      </c>
      <c r="CD8" s="203" t="str">
        <f t="shared" si="6"/>
        <v/>
      </c>
      <c r="CE8" s="204" t="str">
        <f t="shared" si="6"/>
        <v/>
      </c>
      <c r="CF8" s="17"/>
      <c r="CG8" s="16"/>
      <c r="CH8" s="16"/>
      <c r="CI8" s="16"/>
    </row>
    <row r="9" spans="1:87" ht="18" customHeight="1">
      <c r="A9" s="22">
        <f>+TABELLA!Q13</f>
        <v>9.3000000000000007</v>
      </c>
      <c r="B9" s="22">
        <f>+TABELLA!R13</f>
        <v>13</v>
      </c>
      <c r="C9" s="22">
        <f>+TABELLA!S13</f>
        <v>17.149999999999999</v>
      </c>
      <c r="D9" s="22">
        <f>+TABELLA!T13</f>
        <v>20.45</v>
      </c>
      <c r="E9" s="22"/>
      <c r="F9" s="41">
        <f>IF(TABELLA!B13="","",TABELLA!B13)</f>
        <v>10</v>
      </c>
      <c r="G9" s="42" t="str">
        <f>IF(TABELLA!C13="","",TABELLA!C13)</f>
        <v>PIANTA LISA</v>
      </c>
      <c r="H9" s="206" t="str">
        <f t="shared" ref="H9:W9" si="9">IF(AND(G$3&gt;=$A9,G$3&lt;$B9),1,IF(AND(G$3&gt;=$C9,G$3&lt;$D9),1,""))</f>
        <v/>
      </c>
      <c r="I9" s="206" t="str">
        <f t="shared" si="9"/>
        <v/>
      </c>
      <c r="J9" s="206" t="str">
        <f t="shared" si="9"/>
        <v/>
      </c>
      <c r="K9" s="207" t="str">
        <f t="shared" si="9"/>
        <v/>
      </c>
      <c r="L9" s="208" t="str">
        <f t="shared" si="9"/>
        <v/>
      </c>
      <c r="M9" s="206" t="str">
        <f t="shared" si="9"/>
        <v/>
      </c>
      <c r="N9" s="206" t="str">
        <f t="shared" si="9"/>
        <v/>
      </c>
      <c r="O9" s="207" t="str">
        <f t="shared" si="9"/>
        <v/>
      </c>
      <c r="P9" s="208" t="str">
        <f t="shared" si="9"/>
        <v/>
      </c>
      <c r="Q9" s="206" t="str">
        <f t="shared" si="9"/>
        <v/>
      </c>
      <c r="R9" s="206" t="str">
        <f t="shared" si="9"/>
        <v/>
      </c>
      <c r="S9" s="207" t="str">
        <f t="shared" si="9"/>
        <v/>
      </c>
      <c r="T9" s="208" t="str">
        <f t="shared" si="9"/>
        <v/>
      </c>
      <c r="U9" s="206" t="str">
        <f t="shared" si="9"/>
        <v/>
      </c>
      <c r="V9" s="206" t="str">
        <f t="shared" si="9"/>
        <v/>
      </c>
      <c r="W9" s="207" t="str">
        <f t="shared" si="9"/>
        <v/>
      </c>
      <c r="X9" s="208" t="str">
        <f t="shared" si="3"/>
        <v/>
      </c>
      <c r="Y9" s="206" t="str">
        <f t="shared" si="3"/>
        <v/>
      </c>
      <c r="Z9" s="206">
        <f t="shared" si="3"/>
        <v>1</v>
      </c>
      <c r="AA9" s="207">
        <f t="shared" si="3"/>
        <v>1</v>
      </c>
      <c r="AB9" s="208">
        <f t="shared" si="3"/>
        <v>1</v>
      </c>
      <c r="AC9" s="206">
        <f t="shared" si="3"/>
        <v>1</v>
      </c>
      <c r="AD9" s="206">
        <f t="shared" si="3"/>
        <v>1</v>
      </c>
      <c r="AE9" s="207">
        <f t="shared" si="3"/>
        <v>1</v>
      </c>
      <c r="AF9" s="208">
        <f t="shared" si="3"/>
        <v>1</v>
      </c>
      <c r="AG9" s="206">
        <f t="shared" si="3"/>
        <v>1</v>
      </c>
      <c r="AH9" s="206">
        <f t="shared" si="3"/>
        <v>1</v>
      </c>
      <c r="AI9" s="207">
        <f t="shared" si="3"/>
        <v>1</v>
      </c>
      <c r="AJ9" s="208">
        <f t="shared" si="3"/>
        <v>1</v>
      </c>
      <c r="AK9" s="206">
        <f t="shared" si="3"/>
        <v>1</v>
      </c>
      <c r="AL9" s="206">
        <f t="shared" si="3"/>
        <v>1</v>
      </c>
      <c r="AM9" s="207">
        <f t="shared" si="3"/>
        <v>1</v>
      </c>
      <c r="AN9" s="208" t="str">
        <f t="shared" si="4"/>
        <v/>
      </c>
      <c r="AO9" s="206" t="str">
        <f t="shared" si="4"/>
        <v/>
      </c>
      <c r="AP9" s="206" t="str">
        <f t="shared" si="4"/>
        <v/>
      </c>
      <c r="AQ9" s="207" t="str">
        <f t="shared" si="4"/>
        <v/>
      </c>
      <c r="AR9" s="208" t="str">
        <f t="shared" si="4"/>
        <v/>
      </c>
      <c r="AS9" s="206" t="str">
        <f t="shared" si="4"/>
        <v/>
      </c>
      <c r="AT9" s="206" t="str">
        <f t="shared" si="4"/>
        <v/>
      </c>
      <c r="AU9" s="207" t="str">
        <f t="shared" si="4"/>
        <v/>
      </c>
      <c r="AV9" s="208" t="str">
        <f t="shared" si="4"/>
        <v/>
      </c>
      <c r="AW9" s="206" t="str">
        <f t="shared" si="4"/>
        <v/>
      </c>
      <c r="AX9" s="206" t="str">
        <f t="shared" si="4"/>
        <v/>
      </c>
      <c r="AY9" s="207" t="str">
        <f t="shared" si="4"/>
        <v/>
      </c>
      <c r="AZ9" s="208" t="str">
        <f t="shared" si="4"/>
        <v/>
      </c>
      <c r="BA9" s="206" t="str">
        <f t="shared" si="4"/>
        <v/>
      </c>
      <c r="BB9" s="206" t="str">
        <f t="shared" si="4"/>
        <v/>
      </c>
      <c r="BC9" s="207" t="str">
        <f t="shared" si="4"/>
        <v/>
      </c>
      <c r="BD9" s="208" t="str">
        <f t="shared" si="5"/>
        <v/>
      </c>
      <c r="BE9" s="206">
        <f t="shared" si="5"/>
        <v>1</v>
      </c>
      <c r="BF9" s="206">
        <f t="shared" si="5"/>
        <v>1</v>
      </c>
      <c r="BG9" s="207">
        <f t="shared" si="5"/>
        <v>1</v>
      </c>
      <c r="BH9" s="208">
        <f t="shared" si="5"/>
        <v>1</v>
      </c>
      <c r="BI9" s="206">
        <f t="shared" si="5"/>
        <v>1</v>
      </c>
      <c r="BJ9" s="206">
        <f t="shared" si="5"/>
        <v>1</v>
      </c>
      <c r="BK9" s="207">
        <f t="shared" si="5"/>
        <v>1</v>
      </c>
      <c r="BL9" s="208">
        <f t="shared" si="5"/>
        <v>1</v>
      </c>
      <c r="BM9" s="206">
        <f t="shared" si="5"/>
        <v>1</v>
      </c>
      <c r="BN9" s="206">
        <f t="shared" si="5"/>
        <v>1</v>
      </c>
      <c r="BO9" s="207">
        <f t="shared" si="5"/>
        <v>1</v>
      </c>
      <c r="BP9" s="208">
        <f t="shared" si="6"/>
        <v>1</v>
      </c>
      <c r="BQ9" s="206">
        <f t="shared" si="6"/>
        <v>1</v>
      </c>
      <c r="BR9" s="206">
        <f t="shared" si="6"/>
        <v>1</v>
      </c>
      <c r="BS9" s="207" t="str">
        <f t="shared" si="6"/>
        <v/>
      </c>
      <c r="BT9" s="208" t="str">
        <f t="shared" si="6"/>
        <v/>
      </c>
      <c r="BU9" s="206" t="str">
        <f t="shared" si="6"/>
        <v/>
      </c>
      <c r="BV9" s="206" t="str">
        <f t="shared" si="6"/>
        <v/>
      </c>
      <c r="BW9" s="207" t="str">
        <f t="shared" si="6"/>
        <v/>
      </c>
      <c r="BX9" s="208" t="str">
        <f t="shared" si="6"/>
        <v/>
      </c>
      <c r="BY9" s="206" t="str">
        <f t="shared" si="6"/>
        <v/>
      </c>
      <c r="BZ9" s="206" t="str">
        <f t="shared" si="6"/>
        <v/>
      </c>
      <c r="CA9" s="207" t="str">
        <f t="shared" si="6"/>
        <v/>
      </c>
      <c r="CB9" s="208" t="str">
        <f t="shared" si="6"/>
        <v/>
      </c>
      <c r="CC9" s="206" t="str">
        <f t="shared" si="6"/>
        <v/>
      </c>
      <c r="CD9" s="206" t="str">
        <f t="shared" si="6"/>
        <v/>
      </c>
      <c r="CE9" s="207" t="str">
        <f t="shared" si="6"/>
        <v/>
      </c>
    </row>
    <row r="10" spans="1:87" ht="18" customHeight="1">
      <c r="A10" s="22">
        <f>+TABELLA!Q14</f>
        <v>9</v>
      </c>
      <c r="B10" s="22">
        <f>+TABELLA!R14</f>
        <v>13.3</v>
      </c>
      <c r="C10" s="22">
        <f>+TABELLA!S14</f>
        <v>0</v>
      </c>
      <c r="D10" s="22">
        <f>+TABELLA!T14</f>
        <v>0</v>
      </c>
      <c r="E10" s="22"/>
      <c r="F10" s="26">
        <f>IF(TABELLA!B14="","",TABELLA!B14)</f>
        <v>10</v>
      </c>
      <c r="G10" s="27" t="str">
        <f>IF(TABELLA!C14="","",TABELLA!C14)</f>
        <v>VELENCINA ELAINE</v>
      </c>
      <c r="H10" s="203" t="str">
        <f t="shared" ref="H10:W10" si="10">IF(AND(G$3&gt;=$A10,G$3&lt;$B10),1,IF(AND(G$3&gt;=$C10,G$3&lt;$D10),1,""))</f>
        <v/>
      </c>
      <c r="I10" s="203" t="str">
        <f t="shared" si="10"/>
        <v/>
      </c>
      <c r="J10" s="203" t="str">
        <f t="shared" si="10"/>
        <v/>
      </c>
      <c r="K10" s="204" t="str">
        <f t="shared" si="10"/>
        <v/>
      </c>
      <c r="L10" s="205" t="str">
        <f t="shared" si="10"/>
        <v/>
      </c>
      <c r="M10" s="203" t="str">
        <f t="shared" si="10"/>
        <v/>
      </c>
      <c r="N10" s="203" t="str">
        <f t="shared" si="10"/>
        <v/>
      </c>
      <c r="O10" s="204" t="str">
        <f t="shared" si="10"/>
        <v/>
      </c>
      <c r="P10" s="205" t="str">
        <f t="shared" si="10"/>
        <v/>
      </c>
      <c r="Q10" s="203" t="str">
        <f t="shared" si="10"/>
        <v/>
      </c>
      <c r="R10" s="203" t="str">
        <f t="shared" si="10"/>
        <v/>
      </c>
      <c r="S10" s="204" t="str">
        <f t="shared" si="10"/>
        <v/>
      </c>
      <c r="T10" s="205" t="str">
        <f t="shared" si="10"/>
        <v/>
      </c>
      <c r="U10" s="203" t="str">
        <f t="shared" si="10"/>
        <v/>
      </c>
      <c r="V10" s="203" t="str">
        <f t="shared" si="10"/>
        <v/>
      </c>
      <c r="W10" s="204" t="str">
        <f t="shared" si="10"/>
        <v/>
      </c>
      <c r="X10" s="205">
        <f t="shared" si="3"/>
        <v>1</v>
      </c>
      <c r="Y10" s="203">
        <f t="shared" si="3"/>
        <v>1</v>
      </c>
      <c r="Z10" s="203">
        <f t="shared" si="3"/>
        <v>1</v>
      </c>
      <c r="AA10" s="204">
        <f t="shared" si="3"/>
        <v>1</v>
      </c>
      <c r="AB10" s="205">
        <f t="shared" si="3"/>
        <v>1</v>
      </c>
      <c r="AC10" s="203">
        <f t="shared" si="3"/>
        <v>1</v>
      </c>
      <c r="AD10" s="203">
        <f t="shared" si="3"/>
        <v>1</v>
      </c>
      <c r="AE10" s="204">
        <f t="shared" si="3"/>
        <v>1</v>
      </c>
      <c r="AF10" s="205">
        <f t="shared" si="3"/>
        <v>1</v>
      </c>
      <c r="AG10" s="203">
        <f t="shared" si="3"/>
        <v>1</v>
      </c>
      <c r="AH10" s="203">
        <f t="shared" si="3"/>
        <v>1</v>
      </c>
      <c r="AI10" s="204">
        <f t="shared" si="3"/>
        <v>1</v>
      </c>
      <c r="AJ10" s="205">
        <f t="shared" si="3"/>
        <v>1</v>
      </c>
      <c r="AK10" s="203">
        <f t="shared" si="3"/>
        <v>1</v>
      </c>
      <c r="AL10" s="203">
        <f t="shared" si="3"/>
        <v>1</v>
      </c>
      <c r="AM10" s="204">
        <f t="shared" si="3"/>
        <v>1</v>
      </c>
      <c r="AN10" s="205">
        <f t="shared" si="4"/>
        <v>1</v>
      </c>
      <c r="AO10" s="203">
        <f t="shared" si="4"/>
        <v>1</v>
      </c>
      <c r="AP10" s="203" t="str">
        <f t="shared" si="4"/>
        <v/>
      </c>
      <c r="AQ10" s="204" t="str">
        <f t="shared" si="4"/>
        <v/>
      </c>
      <c r="AR10" s="205" t="str">
        <f t="shared" si="4"/>
        <v/>
      </c>
      <c r="AS10" s="203" t="str">
        <f t="shared" si="4"/>
        <v/>
      </c>
      <c r="AT10" s="203" t="str">
        <f t="shared" si="4"/>
        <v/>
      </c>
      <c r="AU10" s="204" t="str">
        <f t="shared" si="4"/>
        <v/>
      </c>
      <c r="AV10" s="205" t="str">
        <f t="shared" si="4"/>
        <v/>
      </c>
      <c r="AW10" s="203" t="str">
        <f t="shared" si="4"/>
        <v/>
      </c>
      <c r="AX10" s="203" t="str">
        <f t="shared" si="4"/>
        <v/>
      </c>
      <c r="AY10" s="204" t="str">
        <f t="shared" si="4"/>
        <v/>
      </c>
      <c r="AZ10" s="205" t="str">
        <f t="shared" si="4"/>
        <v/>
      </c>
      <c r="BA10" s="203" t="str">
        <f t="shared" si="4"/>
        <v/>
      </c>
      <c r="BB10" s="203" t="str">
        <f t="shared" si="4"/>
        <v/>
      </c>
      <c r="BC10" s="204" t="str">
        <f t="shared" si="4"/>
        <v/>
      </c>
      <c r="BD10" s="205" t="str">
        <f t="shared" si="5"/>
        <v/>
      </c>
      <c r="BE10" s="203" t="str">
        <f t="shared" si="5"/>
        <v/>
      </c>
      <c r="BF10" s="203" t="str">
        <f t="shared" si="5"/>
        <v/>
      </c>
      <c r="BG10" s="204" t="str">
        <f t="shared" si="5"/>
        <v/>
      </c>
      <c r="BH10" s="205" t="str">
        <f t="shared" si="5"/>
        <v/>
      </c>
      <c r="BI10" s="203" t="str">
        <f t="shared" si="5"/>
        <v/>
      </c>
      <c r="BJ10" s="203" t="str">
        <f t="shared" si="5"/>
        <v/>
      </c>
      <c r="BK10" s="204" t="str">
        <f t="shared" si="5"/>
        <v/>
      </c>
      <c r="BL10" s="205" t="str">
        <f t="shared" si="5"/>
        <v/>
      </c>
      <c r="BM10" s="203" t="str">
        <f t="shared" si="5"/>
        <v/>
      </c>
      <c r="BN10" s="203" t="str">
        <f t="shared" si="5"/>
        <v/>
      </c>
      <c r="BO10" s="204" t="str">
        <f t="shared" si="5"/>
        <v/>
      </c>
      <c r="BP10" s="205" t="str">
        <f t="shared" si="6"/>
        <v/>
      </c>
      <c r="BQ10" s="203" t="str">
        <f t="shared" si="6"/>
        <v/>
      </c>
      <c r="BR10" s="203" t="str">
        <f t="shared" si="6"/>
        <v/>
      </c>
      <c r="BS10" s="204" t="str">
        <f t="shared" si="6"/>
        <v/>
      </c>
      <c r="BT10" s="205" t="str">
        <f t="shared" si="6"/>
        <v/>
      </c>
      <c r="BU10" s="203" t="str">
        <f t="shared" si="6"/>
        <v/>
      </c>
      <c r="BV10" s="203" t="str">
        <f t="shared" si="6"/>
        <v/>
      </c>
      <c r="BW10" s="204" t="str">
        <f t="shared" si="6"/>
        <v/>
      </c>
      <c r="BX10" s="205" t="str">
        <f t="shared" si="6"/>
        <v/>
      </c>
      <c r="BY10" s="203" t="str">
        <f t="shared" si="6"/>
        <v/>
      </c>
      <c r="BZ10" s="203" t="str">
        <f t="shared" si="6"/>
        <v/>
      </c>
      <c r="CA10" s="204" t="str">
        <f t="shared" si="6"/>
        <v/>
      </c>
      <c r="CB10" s="205" t="str">
        <f t="shared" si="6"/>
        <v/>
      </c>
      <c r="CC10" s="203" t="str">
        <f t="shared" si="6"/>
        <v/>
      </c>
      <c r="CD10" s="203" t="str">
        <f t="shared" si="6"/>
        <v/>
      </c>
      <c r="CE10" s="204" t="str">
        <f t="shared" si="6"/>
        <v/>
      </c>
    </row>
    <row r="11" spans="1:87" ht="18" customHeight="1">
      <c r="A11" s="22">
        <f>+TABELLA!Q15</f>
        <v>0</v>
      </c>
      <c r="B11" s="22">
        <f>+TABELLA!R15</f>
        <v>0</v>
      </c>
      <c r="C11" s="22">
        <f>+TABELLA!S15</f>
        <v>0</v>
      </c>
      <c r="D11" s="22">
        <f>+TABELLA!T15</f>
        <v>0</v>
      </c>
      <c r="E11" s="22"/>
      <c r="F11" s="41">
        <f>IF(TABELLA!B15="","",TABELLA!B15)</f>
        <v>10</v>
      </c>
      <c r="G11" s="42" t="str">
        <f>IF(TABELLA!C15="","",TABELLA!C15)</f>
        <v/>
      </c>
      <c r="H11" s="206" t="str">
        <f t="shared" ref="H11:W11" si="11">IF(AND(G$3&gt;=$A11,G$3&lt;$B11),1,IF(AND(G$3&gt;=$C11,G$3&lt;$D11),1,""))</f>
        <v/>
      </c>
      <c r="I11" s="206" t="str">
        <f t="shared" si="11"/>
        <v/>
      </c>
      <c r="J11" s="206" t="str">
        <f t="shared" si="11"/>
        <v/>
      </c>
      <c r="K11" s="207" t="str">
        <f t="shared" si="11"/>
        <v/>
      </c>
      <c r="L11" s="208" t="str">
        <f t="shared" si="11"/>
        <v/>
      </c>
      <c r="M11" s="206" t="str">
        <f t="shared" si="11"/>
        <v/>
      </c>
      <c r="N11" s="206" t="str">
        <f t="shared" si="11"/>
        <v/>
      </c>
      <c r="O11" s="207" t="str">
        <f t="shared" si="11"/>
        <v/>
      </c>
      <c r="P11" s="208" t="str">
        <f t="shared" si="11"/>
        <v/>
      </c>
      <c r="Q11" s="206" t="str">
        <f t="shared" si="11"/>
        <v/>
      </c>
      <c r="R11" s="206" t="str">
        <f t="shared" si="11"/>
        <v/>
      </c>
      <c r="S11" s="207" t="str">
        <f t="shared" si="11"/>
        <v/>
      </c>
      <c r="T11" s="208" t="str">
        <f t="shared" si="11"/>
        <v/>
      </c>
      <c r="U11" s="206" t="str">
        <f t="shared" si="11"/>
        <v/>
      </c>
      <c r="V11" s="206" t="str">
        <f t="shared" si="11"/>
        <v/>
      </c>
      <c r="W11" s="207" t="str">
        <f t="shared" si="11"/>
        <v/>
      </c>
      <c r="X11" s="208" t="str">
        <f t="shared" si="3"/>
        <v/>
      </c>
      <c r="Y11" s="206" t="str">
        <f t="shared" si="3"/>
        <v/>
      </c>
      <c r="Z11" s="206" t="str">
        <f t="shared" si="3"/>
        <v/>
      </c>
      <c r="AA11" s="207" t="str">
        <f t="shared" si="3"/>
        <v/>
      </c>
      <c r="AB11" s="208" t="str">
        <f t="shared" si="3"/>
        <v/>
      </c>
      <c r="AC11" s="206" t="str">
        <f t="shared" si="3"/>
        <v/>
      </c>
      <c r="AD11" s="206" t="str">
        <f t="shared" si="3"/>
        <v/>
      </c>
      <c r="AE11" s="207" t="str">
        <f t="shared" si="3"/>
        <v/>
      </c>
      <c r="AF11" s="208" t="str">
        <f t="shared" si="3"/>
        <v/>
      </c>
      <c r="AG11" s="206" t="str">
        <f t="shared" si="3"/>
        <v/>
      </c>
      <c r="AH11" s="206" t="str">
        <f t="shared" si="3"/>
        <v/>
      </c>
      <c r="AI11" s="207" t="str">
        <f t="shared" si="3"/>
        <v/>
      </c>
      <c r="AJ11" s="208" t="str">
        <f t="shared" si="3"/>
        <v/>
      </c>
      <c r="AK11" s="206" t="str">
        <f t="shared" si="3"/>
        <v/>
      </c>
      <c r="AL11" s="206" t="str">
        <f t="shared" si="3"/>
        <v/>
      </c>
      <c r="AM11" s="207" t="str">
        <f t="shared" si="3"/>
        <v/>
      </c>
      <c r="AN11" s="208" t="str">
        <f t="shared" si="4"/>
        <v/>
      </c>
      <c r="AO11" s="206" t="str">
        <f t="shared" si="4"/>
        <v/>
      </c>
      <c r="AP11" s="206" t="str">
        <f t="shared" si="4"/>
        <v/>
      </c>
      <c r="AQ11" s="207" t="str">
        <f t="shared" si="4"/>
        <v/>
      </c>
      <c r="AR11" s="208" t="str">
        <f t="shared" si="4"/>
        <v/>
      </c>
      <c r="AS11" s="206" t="str">
        <f t="shared" si="4"/>
        <v/>
      </c>
      <c r="AT11" s="206" t="str">
        <f t="shared" si="4"/>
        <v/>
      </c>
      <c r="AU11" s="207" t="str">
        <f t="shared" si="4"/>
        <v/>
      </c>
      <c r="AV11" s="208" t="str">
        <f t="shared" si="4"/>
        <v/>
      </c>
      <c r="AW11" s="206" t="str">
        <f t="shared" si="4"/>
        <v/>
      </c>
      <c r="AX11" s="206" t="str">
        <f t="shared" si="4"/>
        <v/>
      </c>
      <c r="AY11" s="207" t="str">
        <f t="shared" si="4"/>
        <v/>
      </c>
      <c r="AZ11" s="208" t="str">
        <f t="shared" si="4"/>
        <v/>
      </c>
      <c r="BA11" s="206" t="str">
        <f t="shared" si="4"/>
        <v/>
      </c>
      <c r="BB11" s="206" t="str">
        <f t="shared" si="4"/>
        <v/>
      </c>
      <c r="BC11" s="207" t="str">
        <f t="shared" si="4"/>
        <v/>
      </c>
      <c r="BD11" s="208" t="str">
        <f t="shared" si="5"/>
        <v/>
      </c>
      <c r="BE11" s="206" t="str">
        <f t="shared" si="5"/>
        <v/>
      </c>
      <c r="BF11" s="206" t="str">
        <f t="shared" si="5"/>
        <v/>
      </c>
      <c r="BG11" s="207" t="str">
        <f t="shared" si="5"/>
        <v/>
      </c>
      <c r="BH11" s="208" t="str">
        <f t="shared" si="5"/>
        <v/>
      </c>
      <c r="BI11" s="206" t="str">
        <f t="shared" si="5"/>
        <v/>
      </c>
      <c r="BJ11" s="206" t="str">
        <f t="shared" si="5"/>
        <v/>
      </c>
      <c r="BK11" s="207" t="str">
        <f t="shared" si="5"/>
        <v/>
      </c>
      <c r="BL11" s="208" t="str">
        <f t="shared" si="5"/>
        <v/>
      </c>
      <c r="BM11" s="206" t="str">
        <f t="shared" si="5"/>
        <v/>
      </c>
      <c r="BN11" s="206" t="str">
        <f t="shared" si="5"/>
        <v/>
      </c>
      <c r="BO11" s="207" t="str">
        <f t="shared" si="5"/>
        <v/>
      </c>
      <c r="BP11" s="208" t="str">
        <f t="shared" si="6"/>
        <v/>
      </c>
      <c r="BQ11" s="206" t="str">
        <f t="shared" si="6"/>
        <v/>
      </c>
      <c r="BR11" s="206" t="str">
        <f t="shared" si="6"/>
        <v/>
      </c>
      <c r="BS11" s="207" t="str">
        <f t="shared" si="6"/>
        <v/>
      </c>
      <c r="BT11" s="208" t="str">
        <f t="shared" si="6"/>
        <v/>
      </c>
      <c r="BU11" s="206" t="str">
        <f t="shared" si="6"/>
        <v/>
      </c>
      <c r="BV11" s="206" t="str">
        <f t="shared" si="6"/>
        <v/>
      </c>
      <c r="BW11" s="207" t="str">
        <f t="shared" si="6"/>
        <v/>
      </c>
      <c r="BX11" s="208" t="str">
        <f t="shared" si="6"/>
        <v/>
      </c>
      <c r="BY11" s="206" t="str">
        <f t="shared" si="6"/>
        <v/>
      </c>
      <c r="BZ11" s="206" t="str">
        <f t="shared" si="6"/>
        <v/>
      </c>
      <c r="CA11" s="207" t="str">
        <f t="shared" si="6"/>
        <v/>
      </c>
      <c r="CB11" s="208" t="str">
        <f t="shared" si="6"/>
        <v/>
      </c>
      <c r="CC11" s="206" t="str">
        <f t="shared" si="6"/>
        <v/>
      </c>
      <c r="CD11" s="206" t="str">
        <f t="shared" si="6"/>
        <v/>
      </c>
      <c r="CE11" s="207" t="str">
        <f t="shared" si="6"/>
        <v/>
      </c>
    </row>
    <row r="12" spans="1:87" ht="18" customHeight="1">
      <c r="A12" s="22">
        <f>+TABELLA!Q16</f>
        <v>0</v>
      </c>
      <c r="B12" s="22">
        <f>+TABELLA!R16</f>
        <v>0</v>
      </c>
      <c r="C12" s="22">
        <f>+TABELLA!S16</f>
        <v>14</v>
      </c>
      <c r="D12" s="22">
        <f>+TABELLA!T16</f>
        <v>19.3</v>
      </c>
      <c r="E12" s="22"/>
      <c r="F12" s="26">
        <f>IF(TABELLA!B16="","",TABELLA!B16)</f>
        <v>10</v>
      </c>
      <c r="G12" s="27" t="str">
        <f>IF(TABELLA!C16="","",TABELLA!C16)</f>
        <v>ALAM ARA</v>
      </c>
      <c r="H12" s="203" t="str">
        <f t="shared" ref="H12:W12" si="12">IF(AND(G$3&gt;=$A12,G$3&lt;$B12),1,IF(AND(G$3&gt;=$C12,G$3&lt;$D12),1,""))</f>
        <v/>
      </c>
      <c r="I12" s="203" t="str">
        <f t="shared" si="12"/>
        <v/>
      </c>
      <c r="J12" s="203" t="str">
        <f t="shared" si="12"/>
        <v/>
      </c>
      <c r="K12" s="204" t="str">
        <f t="shared" si="12"/>
        <v/>
      </c>
      <c r="L12" s="205" t="str">
        <f t="shared" si="12"/>
        <v/>
      </c>
      <c r="M12" s="203" t="str">
        <f t="shared" si="12"/>
        <v/>
      </c>
      <c r="N12" s="203" t="str">
        <f t="shared" si="12"/>
        <v/>
      </c>
      <c r="O12" s="204" t="str">
        <f t="shared" si="12"/>
        <v/>
      </c>
      <c r="P12" s="205" t="str">
        <f t="shared" si="12"/>
        <v/>
      </c>
      <c r="Q12" s="203" t="str">
        <f t="shared" si="12"/>
        <v/>
      </c>
      <c r="R12" s="203" t="str">
        <f t="shared" si="12"/>
        <v/>
      </c>
      <c r="S12" s="204" t="str">
        <f t="shared" si="12"/>
        <v/>
      </c>
      <c r="T12" s="205" t="str">
        <f t="shared" si="12"/>
        <v/>
      </c>
      <c r="U12" s="203" t="str">
        <f t="shared" si="12"/>
        <v/>
      </c>
      <c r="V12" s="203" t="str">
        <f t="shared" si="12"/>
        <v/>
      </c>
      <c r="W12" s="204" t="str">
        <f t="shared" si="12"/>
        <v/>
      </c>
      <c r="X12" s="205" t="str">
        <f t="shared" si="3"/>
        <v/>
      </c>
      <c r="Y12" s="203" t="str">
        <f t="shared" si="3"/>
        <v/>
      </c>
      <c r="Z12" s="203" t="str">
        <f t="shared" si="3"/>
        <v/>
      </c>
      <c r="AA12" s="204" t="str">
        <f t="shared" si="3"/>
        <v/>
      </c>
      <c r="AB12" s="205" t="str">
        <f t="shared" si="3"/>
        <v/>
      </c>
      <c r="AC12" s="203" t="str">
        <f t="shared" si="3"/>
        <v/>
      </c>
      <c r="AD12" s="203" t="str">
        <f t="shared" si="3"/>
        <v/>
      </c>
      <c r="AE12" s="204" t="str">
        <f t="shared" si="3"/>
        <v/>
      </c>
      <c r="AF12" s="205" t="str">
        <f t="shared" si="3"/>
        <v/>
      </c>
      <c r="AG12" s="203" t="str">
        <f t="shared" si="3"/>
        <v/>
      </c>
      <c r="AH12" s="203" t="str">
        <f t="shared" si="3"/>
        <v/>
      </c>
      <c r="AI12" s="204" t="str">
        <f t="shared" si="3"/>
        <v/>
      </c>
      <c r="AJ12" s="205" t="str">
        <f t="shared" si="3"/>
        <v/>
      </c>
      <c r="AK12" s="203" t="str">
        <f t="shared" si="3"/>
        <v/>
      </c>
      <c r="AL12" s="203" t="str">
        <f t="shared" si="3"/>
        <v/>
      </c>
      <c r="AM12" s="204" t="str">
        <f t="shared" si="3"/>
        <v/>
      </c>
      <c r="AN12" s="205" t="str">
        <f t="shared" si="4"/>
        <v/>
      </c>
      <c r="AO12" s="203" t="str">
        <f t="shared" si="4"/>
        <v/>
      </c>
      <c r="AP12" s="203" t="str">
        <f t="shared" si="4"/>
        <v/>
      </c>
      <c r="AQ12" s="204" t="str">
        <f t="shared" si="4"/>
        <v/>
      </c>
      <c r="AR12" s="205">
        <f t="shared" si="4"/>
        <v>1</v>
      </c>
      <c r="AS12" s="203">
        <f t="shared" si="4"/>
        <v>1</v>
      </c>
      <c r="AT12" s="203">
        <f t="shared" si="4"/>
        <v>1</v>
      </c>
      <c r="AU12" s="204">
        <f t="shared" si="4"/>
        <v>1</v>
      </c>
      <c r="AV12" s="205">
        <f t="shared" si="4"/>
        <v>1</v>
      </c>
      <c r="AW12" s="203">
        <f t="shared" si="4"/>
        <v>1</v>
      </c>
      <c r="AX12" s="203">
        <f t="shared" si="4"/>
        <v>1</v>
      </c>
      <c r="AY12" s="204">
        <f t="shared" si="4"/>
        <v>1</v>
      </c>
      <c r="AZ12" s="205">
        <f t="shared" si="4"/>
        <v>1</v>
      </c>
      <c r="BA12" s="203">
        <f t="shared" si="4"/>
        <v>1</v>
      </c>
      <c r="BB12" s="203">
        <f t="shared" si="4"/>
        <v>1</v>
      </c>
      <c r="BC12" s="204">
        <f t="shared" si="4"/>
        <v>1</v>
      </c>
      <c r="BD12" s="205">
        <f t="shared" si="5"/>
        <v>1</v>
      </c>
      <c r="BE12" s="203">
        <f t="shared" si="5"/>
        <v>1</v>
      </c>
      <c r="BF12" s="203">
        <f t="shared" si="5"/>
        <v>1</v>
      </c>
      <c r="BG12" s="204">
        <f t="shared" si="5"/>
        <v>1</v>
      </c>
      <c r="BH12" s="205">
        <f t="shared" si="5"/>
        <v>1</v>
      </c>
      <c r="BI12" s="203">
        <f t="shared" si="5"/>
        <v>1</v>
      </c>
      <c r="BJ12" s="203">
        <f t="shared" si="5"/>
        <v>1</v>
      </c>
      <c r="BK12" s="204">
        <f t="shared" si="5"/>
        <v>1</v>
      </c>
      <c r="BL12" s="205">
        <f t="shared" si="5"/>
        <v>1</v>
      </c>
      <c r="BM12" s="203">
        <f t="shared" si="5"/>
        <v>1</v>
      </c>
      <c r="BN12" s="203" t="str">
        <f t="shared" si="5"/>
        <v/>
      </c>
      <c r="BO12" s="204" t="str">
        <f t="shared" si="5"/>
        <v/>
      </c>
      <c r="BP12" s="205" t="str">
        <f t="shared" si="6"/>
        <v/>
      </c>
      <c r="BQ12" s="203" t="str">
        <f t="shared" si="6"/>
        <v/>
      </c>
      <c r="BR12" s="203" t="str">
        <f t="shared" si="6"/>
        <v/>
      </c>
      <c r="BS12" s="204" t="str">
        <f t="shared" si="6"/>
        <v/>
      </c>
      <c r="BT12" s="205" t="str">
        <f t="shared" si="6"/>
        <v/>
      </c>
      <c r="BU12" s="203" t="str">
        <f t="shared" si="6"/>
        <v/>
      </c>
      <c r="BV12" s="203" t="str">
        <f t="shared" si="6"/>
        <v/>
      </c>
      <c r="BW12" s="204" t="str">
        <f t="shared" si="6"/>
        <v/>
      </c>
      <c r="BX12" s="205" t="str">
        <f t="shared" si="6"/>
        <v/>
      </c>
      <c r="BY12" s="203" t="str">
        <f t="shared" si="6"/>
        <v/>
      </c>
      <c r="BZ12" s="203" t="str">
        <f t="shared" si="6"/>
        <v/>
      </c>
      <c r="CA12" s="204" t="str">
        <f t="shared" si="6"/>
        <v/>
      </c>
      <c r="CB12" s="205" t="str">
        <f t="shared" si="6"/>
        <v/>
      </c>
      <c r="CC12" s="203" t="str">
        <f t="shared" si="6"/>
        <v/>
      </c>
      <c r="CD12" s="203" t="str">
        <f t="shared" si="6"/>
        <v/>
      </c>
      <c r="CE12" s="204" t="str">
        <f t="shared" si="6"/>
        <v/>
      </c>
    </row>
    <row r="13" spans="1:87" ht="18" customHeight="1">
      <c r="A13" s="22">
        <f>+TABELLA!Q17</f>
        <v>0</v>
      </c>
      <c r="B13" s="22">
        <f>+TABELLA!R17</f>
        <v>0</v>
      </c>
      <c r="C13" s="22">
        <f>+TABELLA!S17</f>
        <v>16.149999999999999</v>
      </c>
      <c r="D13" s="22">
        <f>+TABELLA!T17</f>
        <v>20.45</v>
      </c>
      <c r="E13" s="22"/>
      <c r="F13" s="41">
        <f>IF(TABELLA!B17="","",TABELLA!B17)</f>
        <v>10</v>
      </c>
      <c r="G13" s="42" t="str">
        <f>IF(TABELLA!C17="","",TABELLA!C17)</f>
        <v>BONATO ANGELO</v>
      </c>
      <c r="H13" s="206" t="str">
        <f t="shared" ref="H13:W13" si="13">IF(AND(G$3&gt;=$A13,G$3&lt;$B13),1,IF(AND(G$3&gt;=$C13,G$3&lt;$D13),1,""))</f>
        <v/>
      </c>
      <c r="I13" s="206" t="str">
        <f t="shared" si="13"/>
        <v/>
      </c>
      <c r="J13" s="206" t="str">
        <f t="shared" si="13"/>
        <v/>
      </c>
      <c r="K13" s="207" t="str">
        <f t="shared" si="13"/>
        <v/>
      </c>
      <c r="L13" s="208" t="str">
        <f t="shared" si="13"/>
        <v/>
      </c>
      <c r="M13" s="206" t="str">
        <f t="shared" si="13"/>
        <v/>
      </c>
      <c r="N13" s="206" t="str">
        <f t="shared" si="13"/>
        <v/>
      </c>
      <c r="O13" s="207" t="str">
        <f t="shared" si="13"/>
        <v/>
      </c>
      <c r="P13" s="208" t="str">
        <f t="shared" si="13"/>
        <v/>
      </c>
      <c r="Q13" s="206" t="str">
        <f t="shared" si="13"/>
        <v/>
      </c>
      <c r="R13" s="206" t="str">
        <f t="shared" si="13"/>
        <v/>
      </c>
      <c r="S13" s="207" t="str">
        <f t="shared" si="13"/>
        <v/>
      </c>
      <c r="T13" s="208" t="str">
        <f t="shared" si="13"/>
        <v/>
      </c>
      <c r="U13" s="206" t="str">
        <f t="shared" si="13"/>
        <v/>
      </c>
      <c r="V13" s="206" t="str">
        <f t="shared" si="13"/>
        <v/>
      </c>
      <c r="W13" s="207" t="str">
        <f t="shared" si="13"/>
        <v/>
      </c>
      <c r="X13" s="208" t="str">
        <f t="shared" si="3"/>
        <v/>
      </c>
      <c r="Y13" s="206" t="str">
        <f t="shared" si="3"/>
        <v/>
      </c>
      <c r="Z13" s="206" t="str">
        <f t="shared" si="3"/>
        <v/>
      </c>
      <c r="AA13" s="207" t="str">
        <f t="shared" si="3"/>
        <v/>
      </c>
      <c r="AB13" s="208" t="str">
        <f t="shared" si="3"/>
        <v/>
      </c>
      <c r="AC13" s="206" t="str">
        <f t="shared" si="3"/>
        <v/>
      </c>
      <c r="AD13" s="206" t="str">
        <f t="shared" si="3"/>
        <v/>
      </c>
      <c r="AE13" s="207" t="str">
        <f t="shared" si="3"/>
        <v/>
      </c>
      <c r="AF13" s="208" t="str">
        <f t="shared" si="3"/>
        <v/>
      </c>
      <c r="AG13" s="206" t="str">
        <f t="shared" si="3"/>
        <v/>
      </c>
      <c r="AH13" s="206" t="str">
        <f t="shared" si="3"/>
        <v/>
      </c>
      <c r="AI13" s="207" t="str">
        <f t="shared" si="3"/>
        <v/>
      </c>
      <c r="AJ13" s="208" t="str">
        <f t="shared" si="3"/>
        <v/>
      </c>
      <c r="AK13" s="206" t="str">
        <f t="shared" si="3"/>
        <v/>
      </c>
      <c r="AL13" s="206" t="str">
        <f t="shared" si="3"/>
        <v/>
      </c>
      <c r="AM13" s="207" t="str">
        <f t="shared" si="3"/>
        <v/>
      </c>
      <c r="AN13" s="208" t="str">
        <f t="shared" si="4"/>
        <v/>
      </c>
      <c r="AO13" s="206" t="str">
        <f t="shared" si="4"/>
        <v/>
      </c>
      <c r="AP13" s="206" t="str">
        <f t="shared" si="4"/>
        <v/>
      </c>
      <c r="AQ13" s="207" t="str">
        <f t="shared" si="4"/>
        <v/>
      </c>
      <c r="AR13" s="208" t="str">
        <f t="shared" si="4"/>
        <v/>
      </c>
      <c r="AS13" s="206" t="str">
        <f t="shared" si="4"/>
        <v/>
      </c>
      <c r="AT13" s="206" t="str">
        <f t="shared" si="4"/>
        <v/>
      </c>
      <c r="AU13" s="207" t="str">
        <f t="shared" si="4"/>
        <v/>
      </c>
      <c r="AV13" s="208" t="str">
        <f t="shared" si="4"/>
        <v/>
      </c>
      <c r="AW13" s="206" t="str">
        <f t="shared" si="4"/>
        <v/>
      </c>
      <c r="AX13" s="206" t="str">
        <f t="shared" si="4"/>
        <v/>
      </c>
      <c r="AY13" s="207" t="str">
        <f t="shared" si="4"/>
        <v/>
      </c>
      <c r="AZ13" s="208" t="str">
        <f t="shared" si="4"/>
        <v/>
      </c>
      <c r="BA13" s="206">
        <f t="shared" si="4"/>
        <v>1</v>
      </c>
      <c r="BB13" s="206">
        <f t="shared" si="4"/>
        <v>1</v>
      </c>
      <c r="BC13" s="207">
        <f t="shared" si="4"/>
        <v>1</v>
      </c>
      <c r="BD13" s="208">
        <f t="shared" si="5"/>
        <v>1</v>
      </c>
      <c r="BE13" s="206">
        <f t="shared" si="5"/>
        <v>1</v>
      </c>
      <c r="BF13" s="206">
        <f t="shared" si="5"/>
        <v>1</v>
      </c>
      <c r="BG13" s="207">
        <f t="shared" si="5"/>
        <v>1</v>
      </c>
      <c r="BH13" s="208">
        <f t="shared" si="5"/>
        <v>1</v>
      </c>
      <c r="BI13" s="206">
        <f t="shared" si="5"/>
        <v>1</v>
      </c>
      <c r="BJ13" s="206">
        <f t="shared" si="5"/>
        <v>1</v>
      </c>
      <c r="BK13" s="207">
        <f t="shared" si="5"/>
        <v>1</v>
      </c>
      <c r="BL13" s="208">
        <f t="shared" si="5"/>
        <v>1</v>
      </c>
      <c r="BM13" s="206">
        <f t="shared" si="5"/>
        <v>1</v>
      </c>
      <c r="BN13" s="206">
        <f t="shared" si="5"/>
        <v>1</v>
      </c>
      <c r="BO13" s="207">
        <f t="shared" si="5"/>
        <v>1</v>
      </c>
      <c r="BP13" s="208">
        <f t="shared" si="6"/>
        <v>1</v>
      </c>
      <c r="BQ13" s="206">
        <f t="shared" si="6"/>
        <v>1</v>
      </c>
      <c r="BR13" s="206">
        <f t="shared" si="6"/>
        <v>1</v>
      </c>
      <c r="BS13" s="207" t="str">
        <f t="shared" si="6"/>
        <v/>
      </c>
      <c r="BT13" s="208" t="str">
        <f t="shared" si="6"/>
        <v/>
      </c>
      <c r="BU13" s="206" t="str">
        <f t="shared" si="6"/>
        <v/>
      </c>
      <c r="BV13" s="206" t="str">
        <f t="shared" si="6"/>
        <v/>
      </c>
      <c r="BW13" s="207" t="str">
        <f t="shared" si="6"/>
        <v/>
      </c>
      <c r="BX13" s="208" t="str">
        <f t="shared" si="6"/>
        <v/>
      </c>
      <c r="BY13" s="206" t="str">
        <f t="shared" si="6"/>
        <v/>
      </c>
      <c r="BZ13" s="206" t="str">
        <f t="shared" si="6"/>
        <v/>
      </c>
      <c r="CA13" s="207" t="str">
        <f t="shared" si="6"/>
        <v/>
      </c>
      <c r="CB13" s="208" t="str">
        <f t="shared" si="6"/>
        <v/>
      </c>
      <c r="CC13" s="206" t="str">
        <f t="shared" si="6"/>
        <v/>
      </c>
      <c r="CD13" s="206" t="str">
        <f t="shared" si="6"/>
        <v/>
      </c>
      <c r="CE13" s="207" t="str">
        <f t="shared" si="6"/>
        <v/>
      </c>
    </row>
    <row r="14" spans="1:87" ht="18" customHeight="1">
      <c r="A14" s="22">
        <f>+TABELLA!Q18</f>
        <v>8</v>
      </c>
      <c r="B14" s="22">
        <f>+TABELLA!R18</f>
        <v>13</v>
      </c>
      <c r="C14" s="22">
        <f>+TABELLA!S18</f>
        <v>0</v>
      </c>
      <c r="D14" s="22">
        <f>+TABELLA!T18</f>
        <v>0</v>
      </c>
      <c r="E14" s="22"/>
      <c r="F14" s="26">
        <f>IF(TABELLA!B18="","",TABELLA!B18)</f>
        <v>10</v>
      </c>
      <c r="G14" s="27" t="str">
        <f>IF(TABELLA!C18="","",TABELLA!C18)</f>
        <v>SALVATO CRISTIAN</v>
      </c>
      <c r="H14" s="203" t="str">
        <f t="shared" ref="H14:W14" si="14">IF(AND(G$3&gt;=$A14,G$3&lt;$B14),1,IF(AND(G$3&gt;=$C14,G$3&lt;$D14),1,""))</f>
        <v/>
      </c>
      <c r="I14" s="203" t="str">
        <f t="shared" si="14"/>
        <v/>
      </c>
      <c r="J14" s="203" t="str">
        <f t="shared" si="14"/>
        <v/>
      </c>
      <c r="K14" s="204" t="str">
        <f t="shared" si="14"/>
        <v/>
      </c>
      <c r="L14" s="205" t="str">
        <f t="shared" si="14"/>
        <v/>
      </c>
      <c r="M14" s="203" t="str">
        <f t="shared" si="14"/>
        <v/>
      </c>
      <c r="N14" s="203" t="str">
        <f t="shared" si="14"/>
        <v/>
      </c>
      <c r="O14" s="204" t="str">
        <f t="shared" si="14"/>
        <v/>
      </c>
      <c r="P14" s="205" t="str">
        <f t="shared" si="14"/>
        <v/>
      </c>
      <c r="Q14" s="203" t="str">
        <f t="shared" si="14"/>
        <v/>
      </c>
      <c r="R14" s="203" t="str">
        <f t="shared" si="14"/>
        <v/>
      </c>
      <c r="S14" s="204" t="str">
        <f t="shared" si="14"/>
        <v/>
      </c>
      <c r="T14" s="205">
        <f t="shared" si="14"/>
        <v>1</v>
      </c>
      <c r="U14" s="203">
        <f t="shared" si="14"/>
        <v>1</v>
      </c>
      <c r="V14" s="203">
        <f t="shared" si="14"/>
        <v>1</v>
      </c>
      <c r="W14" s="204">
        <f t="shared" si="14"/>
        <v>1</v>
      </c>
      <c r="X14" s="205">
        <f t="shared" si="3"/>
        <v>1</v>
      </c>
      <c r="Y14" s="203">
        <f t="shared" si="3"/>
        <v>1</v>
      </c>
      <c r="Z14" s="203">
        <f t="shared" si="3"/>
        <v>1</v>
      </c>
      <c r="AA14" s="204">
        <f t="shared" si="3"/>
        <v>1</v>
      </c>
      <c r="AB14" s="205">
        <f t="shared" si="3"/>
        <v>1</v>
      </c>
      <c r="AC14" s="203">
        <f t="shared" si="3"/>
        <v>1</v>
      </c>
      <c r="AD14" s="203">
        <f t="shared" si="3"/>
        <v>1</v>
      </c>
      <c r="AE14" s="204">
        <f t="shared" si="3"/>
        <v>1</v>
      </c>
      <c r="AF14" s="205">
        <f t="shared" si="3"/>
        <v>1</v>
      </c>
      <c r="AG14" s="203">
        <f t="shared" si="3"/>
        <v>1</v>
      </c>
      <c r="AH14" s="203">
        <f t="shared" si="3"/>
        <v>1</v>
      </c>
      <c r="AI14" s="204">
        <f t="shared" si="3"/>
        <v>1</v>
      </c>
      <c r="AJ14" s="205">
        <f t="shared" si="3"/>
        <v>1</v>
      </c>
      <c r="AK14" s="203">
        <f t="shared" si="3"/>
        <v>1</v>
      </c>
      <c r="AL14" s="203">
        <f t="shared" si="3"/>
        <v>1</v>
      </c>
      <c r="AM14" s="204">
        <f t="shared" si="3"/>
        <v>1</v>
      </c>
      <c r="AN14" s="205" t="str">
        <f t="shared" si="4"/>
        <v/>
      </c>
      <c r="AO14" s="203" t="str">
        <f t="shared" si="4"/>
        <v/>
      </c>
      <c r="AP14" s="203" t="str">
        <f t="shared" si="4"/>
        <v/>
      </c>
      <c r="AQ14" s="204" t="str">
        <f t="shared" si="4"/>
        <v/>
      </c>
      <c r="AR14" s="205" t="str">
        <f t="shared" si="4"/>
        <v/>
      </c>
      <c r="AS14" s="203" t="str">
        <f t="shared" si="4"/>
        <v/>
      </c>
      <c r="AT14" s="203" t="str">
        <f t="shared" si="4"/>
        <v/>
      </c>
      <c r="AU14" s="204" t="str">
        <f t="shared" si="4"/>
        <v/>
      </c>
      <c r="AV14" s="205" t="str">
        <f t="shared" si="4"/>
        <v/>
      </c>
      <c r="AW14" s="203" t="str">
        <f t="shared" si="4"/>
        <v/>
      </c>
      <c r="AX14" s="203" t="str">
        <f t="shared" si="4"/>
        <v/>
      </c>
      <c r="AY14" s="204" t="str">
        <f t="shared" si="4"/>
        <v/>
      </c>
      <c r="AZ14" s="205" t="str">
        <f t="shared" si="4"/>
        <v/>
      </c>
      <c r="BA14" s="203" t="str">
        <f t="shared" si="4"/>
        <v/>
      </c>
      <c r="BB14" s="203" t="str">
        <f t="shared" si="4"/>
        <v/>
      </c>
      <c r="BC14" s="204" t="str">
        <f t="shared" si="4"/>
        <v/>
      </c>
      <c r="BD14" s="205" t="str">
        <f t="shared" si="5"/>
        <v/>
      </c>
      <c r="BE14" s="203" t="str">
        <f t="shared" si="5"/>
        <v/>
      </c>
      <c r="BF14" s="203" t="str">
        <f t="shared" si="5"/>
        <v/>
      </c>
      <c r="BG14" s="204" t="str">
        <f t="shared" si="5"/>
        <v/>
      </c>
      <c r="BH14" s="205" t="str">
        <f t="shared" si="5"/>
        <v/>
      </c>
      <c r="BI14" s="203" t="str">
        <f t="shared" si="5"/>
        <v/>
      </c>
      <c r="BJ14" s="203" t="str">
        <f t="shared" si="5"/>
        <v/>
      </c>
      <c r="BK14" s="204" t="str">
        <f t="shared" si="5"/>
        <v/>
      </c>
      <c r="BL14" s="205" t="str">
        <f t="shared" si="5"/>
        <v/>
      </c>
      <c r="BM14" s="203" t="str">
        <f t="shared" si="5"/>
        <v/>
      </c>
      <c r="BN14" s="203" t="str">
        <f t="shared" si="5"/>
        <v/>
      </c>
      <c r="BO14" s="204" t="str">
        <f t="shared" si="5"/>
        <v/>
      </c>
      <c r="BP14" s="205" t="str">
        <f t="shared" si="6"/>
        <v/>
      </c>
      <c r="BQ14" s="203" t="str">
        <f t="shared" si="6"/>
        <v/>
      </c>
      <c r="BR14" s="203" t="str">
        <f t="shared" si="6"/>
        <v/>
      </c>
      <c r="BS14" s="204" t="str">
        <f t="shared" si="6"/>
        <v/>
      </c>
      <c r="BT14" s="205" t="str">
        <f t="shared" si="6"/>
        <v/>
      </c>
      <c r="BU14" s="203" t="str">
        <f t="shared" si="6"/>
        <v/>
      </c>
      <c r="BV14" s="203" t="str">
        <f t="shared" si="6"/>
        <v/>
      </c>
      <c r="BW14" s="204" t="str">
        <f t="shared" si="6"/>
        <v/>
      </c>
      <c r="BX14" s="205" t="str">
        <f t="shared" si="6"/>
        <v/>
      </c>
      <c r="BY14" s="203" t="str">
        <f t="shared" si="6"/>
        <v/>
      </c>
      <c r="BZ14" s="203" t="str">
        <f t="shared" si="6"/>
        <v/>
      </c>
      <c r="CA14" s="204" t="str">
        <f t="shared" si="6"/>
        <v/>
      </c>
      <c r="CB14" s="205" t="str">
        <f t="shared" si="6"/>
        <v/>
      </c>
      <c r="CC14" s="203" t="str">
        <f t="shared" si="6"/>
        <v/>
      </c>
      <c r="CD14" s="203" t="str">
        <f t="shared" si="6"/>
        <v/>
      </c>
      <c r="CE14" s="204" t="str">
        <f t="shared" si="6"/>
        <v/>
      </c>
    </row>
    <row r="15" spans="1:87" ht="18" customHeight="1">
      <c r="A15" s="22">
        <f>+TABELLA!Q19</f>
        <v>12.45</v>
      </c>
      <c r="B15" s="22">
        <f>+TABELLA!R19</f>
        <v>16.3</v>
      </c>
      <c r="C15" s="22">
        <f>+TABELLA!S19</f>
        <v>0</v>
      </c>
      <c r="D15" s="22">
        <f>+TABELLA!T19</f>
        <v>0</v>
      </c>
      <c r="E15" s="22"/>
      <c r="F15" s="41">
        <f>IF(TABELLA!B19="","",TABELLA!B19)</f>
        <v>10</v>
      </c>
      <c r="G15" s="42" t="str">
        <f>IF(TABELLA!C19="","",TABELLA!C19)</f>
        <v>VALENTINI TAMARA</v>
      </c>
      <c r="H15" s="206" t="str">
        <f t="shared" ref="H15:W15" si="15">IF(AND(G$3&gt;=$A15,G$3&lt;$B15),1,IF(AND(G$3&gt;=$C15,G$3&lt;$D15),1,""))</f>
        <v/>
      </c>
      <c r="I15" s="206" t="str">
        <f t="shared" si="15"/>
        <v/>
      </c>
      <c r="J15" s="206" t="str">
        <f t="shared" si="15"/>
        <v/>
      </c>
      <c r="K15" s="207" t="str">
        <f t="shared" si="15"/>
        <v/>
      </c>
      <c r="L15" s="208" t="str">
        <f t="shared" si="15"/>
        <v/>
      </c>
      <c r="M15" s="206" t="str">
        <f t="shared" si="15"/>
        <v/>
      </c>
      <c r="N15" s="206" t="str">
        <f t="shared" si="15"/>
        <v/>
      </c>
      <c r="O15" s="207" t="str">
        <f t="shared" si="15"/>
        <v/>
      </c>
      <c r="P15" s="208" t="str">
        <f t="shared" si="15"/>
        <v/>
      </c>
      <c r="Q15" s="206" t="str">
        <f t="shared" si="15"/>
        <v/>
      </c>
      <c r="R15" s="206" t="str">
        <f t="shared" si="15"/>
        <v/>
      </c>
      <c r="S15" s="207" t="str">
        <f t="shared" si="15"/>
        <v/>
      </c>
      <c r="T15" s="208" t="str">
        <f t="shared" si="15"/>
        <v/>
      </c>
      <c r="U15" s="206" t="str">
        <f t="shared" si="15"/>
        <v/>
      </c>
      <c r="V15" s="206" t="str">
        <f t="shared" si="15"/>
        <v/>
      </c>
      <c r="W15" s="207" t="str">
        <f t="shared" si="15"/>
        <v/>
      </c>
      <c r="X15" s="208" t="str">
        <f t="shared" si="3"/>
        <v/>
      </c>
      <c r="Y15" s="206" t="str">
        <f t="shared" si="3"/>
        <v/>
      </c>
      <c r="Z15" s="206" t="str">
        <f t="shared" si="3"/>
        <v/>
      </c>
      <c r="AA15" s="207" t="str">
        <f t="shared" si="3"/>
        <v/>
      </c>
      <c r="AB15" s="208" t="str">
        <f t="shared" si="3"/>
        <v/>
      </c>
      <c r="AC15" s="206" t="str">
        <f t="shared" si="3"/>
        <v/>
      </c>
      <c r="AD15" s="206" t="str">
        <f t="shared" si="3"/>
        <v/>
      </c>
      <c r="AE15" s="207" t="str">
        <f t="shared" si="3"/>
        <v/>
      </c>
      <c r="AF15" s="208" t="str">
        <f t="shared" si="3"/>
        <v/>
      </c>
      <c r="AG15" s="206" t="str">
        <f t="shared" si="3"/>
        <v/>
      </c>
      <c r="AH15" s="206" t="str">
        <f t="shared" si="3"/>
        <v/>
      </c>
      <c r="AI15" s="207" t="str">
        <f t="shared" si="3"/>
        <v/>
      </c>
      <c r="AJ15" s="208" t="str">
        <f t="shared" si="3"/>
        <v/>
      </c>
      <c r="AK15" s="206" t="str">
        <f t="shared" si="3"/>
        <v/>
      </c>
      <c r="AL15" s="206" t="str">
        <f t="shared" si="3"/>
        <v/>
      </c>
      <c r="AM15" s="207">
        <f t="shared" si="3"/>
        <v>1</v>
      </c>
      <c r="AN15" s="208">
        <f t="shared" si="4"/>
        <v>1</v>
      </c>
      <c r="AO15" s="206">
        <f t="shared" si="4"/>
        <v>1</v>
      </c>
      <c r="AP15" s="206">
        <f t="shared" si="4"/>
        <v>1</v>
      </c>
      <c r="AQ15" s="207">
        <f t="shared" si="4"/>
        <v>1</v>
      </c>
      <c r="AR15" s="208">
        <f t="shared" si="4"/>
        <v>1</v>
      </c>
      <c r="AS15" s="206">
        <f t="shared" si="4"/>
        <v>1</v>
      </c>
      <c r="AT15" s="206">
        <f t="shared" si="4"/>
        <v>1</v>
      </c>
      <c r="AU15" s="207">
        <f t="shared" si="4"/>
        <v>1</v>
      </c>
      <c r="AV15" s="208">
        <f t="shared" si="4"/>
        <v>1</v>
      </c>
      <c r="AW15" s="206">
        <f t="shared" si="4"/>
        <v>1</v>
      </c>
      <c r="AX15" s="206">
        <f t="shared" si="4"/>
        <v>1</v>
      </c>
      <c r="AY15" s="207">
        <f t="shared" si="4"/>
        <v>1</v>
      </c>
      <c r="AZ15" s="208">
        <f t="shared" si="4"/>
        <v>1</v>
      </c>
      <c r="BA15" s="206">
        <f t="shared" si="4"/>
        <v>1</v>
      </c>
      <c r="BB15" s="206" t="str">
        <f t="shared" si="4"/>
        <v/>
      </c>
      <c r="BC15" s="207" t="str">
        <f t="shared" si="4"/>
        <v/>
      </c>
      <c r="BD15" s="208" t="str">
        <f t="shared" si="5"/>
        <v/>
      </c>
      <c r="BE15" s="206" t="str">
        <f t="shared" si="5"/>
        <v/>
      </c>
      <c r="BF15" s="206" t="str">
        <f t="shared" si="5"/>
        <v/>
      </c>
      <c r="BG15" s="207" t="str">
        <f t="shared" si="5"/>
        <v/>
      </c>
      <c r="BH15" s="208" t="str">
        <f t="shared" si="5"/>
        <v/>
      </c>
      <c r="BI15" s="206" t="str">
        <f t="shared" si="5"/>
        <v/>
      </c>
      <c r="BJ15" s="206" t="str">
        <f t="shared" si="5"/>
        <v/>
      </c>
      <c r="BK15" s="207" t="str">
        <f t="shared" si="5"/>
        <v/>
      </c>
      <c r="BL15" s="208" t="str">
        <f t="shared" si="5"/>
        <v/>
      </c>
      <c r="BM15" s="206" t="str">
        <f t="shared" si="5"/>
        <v/>
      </c>
      <c r="BN15" s="206" t="str">
        <f t="shared" si="5"/>
        <v/>
      </c>
      <c r="BO15" s="207" t="str">
        <f t="shared" si="5"/>
        <v/>
      </c>
      <c r="BP15" s="208" t="str">
        <f t="shared" si="6"/>
        <v/>
      </c>
      <c r="BQ15" s="206" t="str">
        <f t="shared" si="6"/>
        <v/>
      </c>
      <c r="BR15" s="206" t="str">
        <f t="shared" si="6"/>
        <v/>
      </c>
      <c r="BS15" s="207" t="str">
        <f t="shared" si="6"/>
        <v/>
      </c>
      <c r="BT15" s="208" t="str">
        <f t="shared" si="6"/>
        <v/>
      </c>
      <c r="BU15" s="206" t="str">
        <f t="shared" si="6"/>
        <v/>
      </c>
      <c r="BV15" s="206" t="str">
        <f t="shared" si="6"/>
        <v/>
      </c>
      <c r="BW15" s="207" t="str">
        <f t="shared" si="6"/>
        <v/>
      </c>
      <c r="BX15" s="208" t="str">
        <f t="shared" si="6"/>
        <v/>
      </c>
      <c r="BY15" s="206" t="str">
        <f t="shared" si="6"/>
        <v/>
      </c>
      <c r="BZ15" s="206" t="str">
        <f t="shared" si="6"/>
        <v/>
      </c>
      <c r="CA15" s="207" t="str">
        <f t="shared" si="6"/>
        <v/>
      </c>
      <c r="CB15" s="208" t="str">
        <f t="shared" si="6"/>
        <v/>
      </c>
      <c r="CC15" s="206" t="str">
        <f t="shared" si="6"/>
        <v/>
      </c>
      <c r="CD15" s="206" t="str">
        <f t="shared" si="6"/>
        <v/>
      </c>
      <c r="CE15" s="207" t="str">
        <f t="shared" si="6"/>
        <v/>
      </c>
    </row>
    <row r="16" spans="1:87" ht="18" customHeight="1">
      <c r="A16" s="22">
        <f>+TABELLA!Q20</f>
        <v>0</v>
      </c>
      <c r="B16" s="22">
        <f>+TABELLA!R20</f>
        <v>0</v>
      </c>
      <c r="C16" s="22">
        <f>+TABELLA!S20</f>
        <v>0</v>
      </c>
      <c r="D16" s="22">
        <f>+TABELLA!T20</f>
        <v>0</v>
      </c>
      <c r="E16" s="22"/>
      <c r="F16" s="26">
        <f>IF(TABELLA!B20="","",TABELLA!B20)</f>
        <v>10</v>
      </c>
      <c r="G16" s="27" t="str">
        <f>IF(TABELLA!C20="","",TABELLA!C20)</f>
        <v>ALESSANDRO</v>
      </c>
      <c r="H16" s="203" t="str">
        <f t="shared" ref="H16:W16" si="16">IF(AND(G$3&gt;=$A16,G$3&lt;$B16),1,IF(AND(G$3&gt;=$C16,G$3&lt;$D16),1,""))</f>
        <v/>
      </c>
      <c r="I16" s="203" t="str">
        <f t="shared" si="16"/>
        <v/>
      </c>
      <c r="J16" s="203" t="str">
        <f t="shared" si="16"/>
        <v/>
      </c>
      <c r="K16" s="204" t="str">
        <f t="shared" si="16"/>
        <v/>
      </c>
      <c r="L16" s="205" t="str">
        <f t="shared" si="16"/>
        <v/>
      </c>
      <c r="M16" s="203" t="str">
        <f t="shared" si="16"/>
        <v/>
      </c>
      <c r="N16" s="203" t="str">
        <f t="shared" si="16"/>
        <v/>
      </c>
      <c r="O16" s="204" t="str">
        <f t="shared" si="16"/>
        <v/>
      </c>
      <c r="P16" s="205" t="str">
        <f t="shared" si="16"/>
        <v/>
      </c>
      <c r="Q16" s="203" t="str">
        <f t="shared" si="16"/>
        <v/>
      </c>
      <c r="R16" s="203" t="str">
        <f t="shared" si="16"/>
        <v/>
      </c>
      <c r="S16" s="204" t="str">
        <f t="shared" si="16"/>
        <v/>
      </c>
      <c r="T16" s="205" t="str">
        <f t="shared" si="16"/>
        <v/>
      </c>
      <c r="U16" s="203" t="str">
        <f t="shared" si="16"/>
        <v/>
      </c>
      <c r="V16" s="203" t="str">
        <f t="shared" si="16"/>
        <v/>
      </c>
      <c r="W16" s="204" t="str">
        <f t="shared" si="16"/>
        <v/>
      </c>
      <c r="X16" s="205" t="str">
        <f t="shared" si="3"/>
        <v/>
      </c>
      <c r="Y16" s="203" t="str">
        <f t="shared" si="3"/>
        <v/>
      </c>
      <c r="Z16" s="203" t="str">
        <f t="shared" si="3"/>
        <v/>
      </c>
      <c r="AA16" s="204" t="str">
        <f t="shared" si="3"/>
        <v/>
      </c>
      <c r="AB16" s="205" t="str">
        <f t="shared" si="3"/>
        <v/>
      </c>
      <c r="AC16" s="203" t="str">
        <f t="shared" si="3"/>
        <v/>
      </c>
      <c r="AD16" s="203" t="str">
        <f t="shared" si="3"/>
        <v/>
      </c>
      <c r="AE16" s="204" t="str">
        <f t="shared" si="3"/>
        <v/>
      </c>
      <c r="AF16" s="205" t="str">
        <f t="shared" si="3"/>
        <v/>
      </c>
      <c r="AG16" s="203" t="str">
        <f t="shared" si="3"/>
        <v/>
      </c>
      <c r="AH16" s="203" t="str">
        <f t="shared" si="3"/>
        <v/>
      </c>
      <c r="AI16" s="204" t="str">
        <f t="shared" si="3"/>
        <v/>
      </c>
      <c r="AJ16" s="205" t="str">
        <f t="shared" si="3"/>
        <v/>
      </c>
      <c r="AK16" s="203" t="str">
        <f t="shared" si="3"/>
        <v/>
      </c>
      <c r="AL16" s="203" t="str">
        <f t="shared" si="3"/>
        <v/>
      </c>
      <c r="AM16" s="204" t="str">
        <f t="shared" si="3"/>
        <v/>
      </c>
      <c r="AN16" s="205" t="str">
        <f t="shared" si="4"/>
        <v/>
      </c>
      <c r="AO16" s="203" t="str">
        <f t="shared" si="4"/>
        <v/>
      </c>
      <c r="AP16" s="203" t="str">
        <f t="shared" si="4"/>
        <v/>
      </c>
      <c r="AQ16" s="204" t="str">
        <f t="shared" si="4"/>
        <v/>
      </c>
      <c r="AR16" s="205" t="str">
        <f t="shared" si="4"/>
        <v/>
      </c>
      <c r="AS16" s="203" t="str">
        <f t="shared" si="4"/>
        <v/>
      </c>
      <c r="AT16" s="203" t="str">
        <f t="shared" si="4"/>
        <v/>
      </c>
      <c r="AU16" s="204" t="str">
        <f t="shared" si="4"/>
        <v/>
      </c>
      <c r="AV16" s="205" t="str">
        <f t="shared" si="4"/>
        <v/>
      </c>
      <c r="AW16" s="203" t="str">
        <f t="shared" si="4"/>
        <v/>
      </c>
      <c r="AX16" s="203" t="str">
        <f t="shared" si="4"/>
        <v/>
      </c>
      <c r="AY16" s="204" t="str">
        <f t="shared" si="4"/>
        <v/>
      </c>
      <c r="AZ16" s="205" t="str">
        <f t="shared" si="4"/>
        <v/>
      </c>
      <c r="BA16" s="203" t="str">
        <f t="shared" si="4"/>
        <v/>
      </c>
      <c r="BB16" s="203" t="str">
        <f t="shared" si="4"/>
        <v/>
      </c>
      <c r="BC16" s="204" t="str">
        <f t="shared" si="4"/>
        <v/>
      </c>
      <c r="BD16" s="205" t="str">
        <f t="shared" si="5"/>
        <v/>
      </c>
      <c r="BE16" s="203" t="str">
        <f t="shared" si="5"/>
        <v/>
      </c>
      <c r="BF16" s="203" t="str">
        <f t="shared" si="5"/>
        <v/>
      </c>
      <c r="BG16" s="204" t="str">
        <f t="shared" si="5"/>
        <v/>
      </c>
      <c r="BH16" s="205" t="str">
        <f t="shared" si="5"/>
        <v/>
      </c>
      <c r="BI16" s="203" t="str">
        <f t="shared" si="5"/>
        <v/>
      </c>
      <c r="BJ16" s="203" t="str">
        <f t="shared" si="5"/>
        <v/>
      </c>
      <c r="BK16" s="204" t="str">
        <f t="shared" si="5"/>
        <v/>
      </c>
      <c r="BL16" s="205" t="str">
        <f t="shared" si="5"/>
        <v/>
      </c>
      <c r="BM16" s="203" t="str">
        <f t="shared" si="5"/>
        <v/>
      </c>
      <c r="BN16" s="203" t="str">
        <f t="shared" si="5"/>
        <v/>
      </c>
      <c r="BO16" s="204" t="str">
        <f t="shared" si="5"/>
        <v/>
      </c>
      <c r="BP16" s="205" t="str">
        <f t="shared" si="6"/>
        <v/>
      </c>
      <c r="BQ16" s="203" t="str">
        <f t="shared" si="6"/>
        <v/>
      </c>
      <c r="BR16" s="203" t="str">
        <f t="shared" si="6"/>
        <v/>
      </c>
      <c r="BS16" s="204" t="str">
        <f t="shared" si="6"/>
        <v/>
      </c>
      <c r="BT16" s="205" t="str">
        <f t="shared" si="6"/>
        <v/>
      </c>
      <c r="BU16" s="203" t="str">
        <f t="shared" si="6"/>
        <v/>
      </c>
      <c r="BV16" s="203" t="str">
        <f t="shared" si="6"/>
        <v/>
      </c>
      <c r="BW16" s="204" t="str">
        <f t="shared" si="6"/>
        <v/>
      </c>
      <c r="BX16" s="205" t="str">
        <f t="shared" si="6"/>
        <v/>
      </c>
      <c r="BY16" s="203" t="str">
        <f t="shared" si="6"/>
        <v/>
      </c>
      <c r="BZ16" s="203" t="str">
        <f t="shared" si="6"/>
        <v/>
      </c>
      <c r="CA16" s="204" t="str">
        <f t="shared" si="6"/>
        <v/>
      </c>
      <c r="CB16" s="205" t="str">
        <f t="shared" si="6"/>
        <v/>
      </c>
      <c r="CC16" s="203" t="str">
        <f t="shared" si="6"/>
        <v/>
      </c>
      <c r="CD16" s="203" t="str">
        <f t="shared" si="6"/>
        <v/>
      </c>
      <c r="CE16" s="204" t="str">
        <f t="shared" si="6"/>
        <v/>
      </c>
    </row>
    <row r="17" spans="1:83" ht="18" customHeight="1">
      <c r="A17" s="22">
        <f>+TABELLA!Q21</f>
        <v>0</v>
      </c>
      <c r="B17" s="22">
        <f>+TABELLA!R21</f>
        <v>0</v>
      </c>
      <c r="C17" s="22">
        <f>+TABELLA!S21</f>
        <v>0</v>
      </c>
      <c r="D17" s="22">
        <f>+TABELLA!T21</f>
        <v>0</v>
      </c>
      <c r="E17" s="22"/>
      <c r="F17" s="41">
        <f>IF(TABELLA!B21="","",TABELLA!B21)</f>
        <v>1</v>
      </c>
      <c r="G17" s="42" t="str">
        <f>IF(TABELLA!C21="","",TABELLA!C21)</f>
        <v/>
      </c>
      <c r="H17" s="206" t="str">
        <f t="shared" ref="H17:W17" si="17">IF(AND(G$3&gt;=$A17,G$3&lt;$B17),1,IF(AND(G$3&gt;=$C17,G$3&lt;$D17),1,""))</f>
        <v/>
      </c>
      <c r="I17" s="206" t="str">
        <f t="shared" si="17"/>
        <v/>
      </c>
      <c r="J17" s="206" t="str">
        <f t="shared" si="17"/>
        <v/>
      </c>
      <c r="K17" s="207" t="str">
        <f t="shared" si="17"/>
        <v/>
      </c>
      <c r="L17" s="208" t="str">
        <f t="shared" si="17"/>
        <v/>
      </c>
      <c r="M17" s="206" t="str">
        <f t="shared" si="17"/>
        <v/>
      </c>
      <c r="N17" s="206" t="str">
        <f t="shared" si="17"/>
        <v/>
      </c>
      <c r="O17" s="207" t="str">
        <f t="shared" si="17"/>
        <v/>
      </c>
      <c r="P17" s="208" t="str">
        <f t="shared" si="17"/>
        <v/>
      </c>
      <c r="Q17" s="206" t="str">
        <f t="shared" si="17"/>
        <v/>
      </c>
      <c r="R17" s="206" t="str">
        <f t="shared" si="17"/>
        <v/>
      </c>
      <c r="S17" s="207" t="str">
        <f t="shared" si="17"/>
        <v/>
      </c>
      <c r="T17" s="208" t="str">
        <f t="shared" si="17"/>
        <v/>
      </c>
      <c r="U17" s="206" t="str">
        <f t="shared" si="17"/>
        <v/>
      </c>
      <c r="V17" s="206" t="str">
        <f t="shared" si="17"/>
        <v/>
      </c>
      <c r="W17" s="207" t="str">
        <f t="shared" si="17"/>
        <v/>
      </c>
      <c r="X17" s="208" t="str">
        <f t="shared" si="3"/>
        <v/>
      </c>
      <c r="Y17" s="206" t="str">
        <f t="shared" si="3"/>
        <v/>
      </c>
      <c r="Z17" s="206" t="str">
        <f t="shared" si="3"/>
        <v/>
      </c>
      <c r="AA17" s="207" t="str">
        <f t="shared" si="3"/>
        <v/>
      </c>
      <c r="AB17" s="208" t="str">
        <f t="shared" si="3"/>
        <v/>
      </c>
      <c r="AC17" s="206" t="str">
        <f t="shared" si="3"/>
        <v/>
      </c>
      <c r="AD17" s="206" t="str">
        <f t="shared" si="3"/>
        <v/>
      </c>
      <c r="AE17" s="207" t="str">
        <f t="shared" si="3"/>
        <v/>
      </c>
      <c r="AF17" s="208" t="str">
        <f t="shared" si="3"/>
        <v/>
      </c>
      <c r="AG17" s="206" t="str">
        <f t="shared" si="3"/>
        <v/>
      </c>
      <c r="AH17" s="206" t="str">
        <f t="shared" si="3"/>
        <v/>
      </c>
      <c r="AI17" s="207" t="str">
        <f t="shared" si="3"/>
        <v/>
      </c>
      <c r="AJ17" s="208" t="str">
        <f t="shared" si="3"/>
        <v/>
      </c>
      <c r="AK17" s="206" t="str">
        <f t="shared" si="3"/>
        <v/>
      </c>
      <c r="AL17" s="206" t="str">
        <f t="shared" si="3"/>
        <v/>
      </c>
      <c r="AM17" s="207" t="str">
        <f t="shared" si="3"/>
        <v/>
      </c>
      <c r="AN17" s="208" t="str">
        <f t="shared" si="4"/>
        <v/>
      </c>
      <c r="AO17" s="206" t="str">
        <f t="shared" si="4"/>
        <v/>
      </c>
      <c r="AP17" s="206" t="str">
        <f t="shared" si="4"/>
        <v/>
      </c>
      <c r="AQ17" s="207" t="str">
        <f t="shared" si="4"/>
        <v/>
      </c>
      <c r="AR17" s="208" t="str">
        <f t="shared" si="4"/>
        <v/>
      </c>
      <c r="AS17" s="206" t="str">
        <f t="shared" si="4"/>
        <v/>
      </c>
      <c r="AT17" s="206" t="str">
        <f t="shared" si="4"/>
        <v/>
      </c>
      <c r="AU17" s="207" t="str">
        <f t="shared" si="4"/>
        <v/>
      </c>
      <c r="AV17" s="208" t="str">
        <f t="shared" si="4"/>
        <v/>
      </c>
      <c r="AW17" s="206" t="str">
        <f t="shared" si="4"/>
        <v/>
      </c>
      <c r="AX17" s="206" t="str">
        <f t="shared" si="4"/>
        <v/>
      </c>
      <c r="AY17" s="207" t="str">
        <f t="shared" si="4"/>
        <v/>
      </c>
      <c r="AZ17" s="208" t="str">
        <f t="shared" si="4"/>
        <v/>
      </c>
      <c r="BA17" s="206" t="str">
        <f t="shared" si="4"/>
        <v/>
      </c>
      <c r="BB17" s="206" t="str">
        <f t="shared" si="4"/>
        <v/>
      </c>
      <c r="BC17" s="207" t="str">
        <f t="shared" si="4"/>
        <v/>
      </c>
      <c r="BD17" s="208" t="str">
        <f t="shared" si="5"/>
        <v/>
      </c>
      <c r="BE17" s="206" t="str">
        <f t="shared" si="5"/>
        <v/>
      </c>
      <c r="BF17" s="206" t="str">
        <f t="shared" si="5"/>
        <v/>
      </c>
      <c r="BG17" s="207" t="str">
        <f t="shared" si="5"/>
        <v/>
      </c>
      <c r="BH17" s="208" t="str">
        <f t="shared" si="5"/>
        <v/>
      </c>
      <c r="BI17" s="206" t="str">
        <f t="shared" si="5"/>
        <v/>
      </c>
      <c r="BJ17" s="206" t="str">
        <f t="shared" si="5"/>
        <v/>
      </c>
      <c r="BK17" s="207" t="str">
        <f t="shared" si="5"/>
        <v/>
      </c>
      <c r="BL17" s="208" t="str">
        <f t="shared" si="5"/>
        <v/>
      </c>
      <c r="BM17" s="206" t="str">
        <f t="shared" si="5"/>
        <v/>
      </c>
      <c r="BN17" s="206" t="str">
        <f t="shared" si="5"/>
        <v/>
      </c>
      <c r="BO17" s="207" t="str">
        <f t="shared" si="5"/>
        <v/>
      </c>
      <c r="BP17" s="208" t="str">
        <f t="shared" si="6"/>
        <v/>
      </c>
      <c r="BQ17" s="206" t="str">
        <f t="shared" si="6"/>
        <v/>
      </c>
      <c r="BR17" s="206" t="str">
        <f t="shared" si="6"/>
        <v/>
      </c>
      <c r="BS17" s="207" t="str">
        <f t="shared" si="6"/>
        <v/>
      </c>
      <c r="BT17" s="208" t="str">
        <f t="shared" si="6"/>
        <v/>
      </c>
      <c r="BU17" s="206" t="str">
        <f t="shared" si="6"/>
        <v/>
      </c>
      <c r="BV17" s="206" t="str">
        <f t="shared" si="6"/>
        <v/>
      </c>
      <c r="BW17" s="207" t="str">
        <f t="shared" si="6"/>
        <v/>
      </c>
      <c r="BX17" s="208" t="str">
        <f t="shared" si="6"/>
        <v/>
      </c>
      <c r="BY17" s="206" t="str">
        <f t="shared" si="6"/>
        <v/>
      </c>
      <c r="BZ17" s="206" t="str">
        <f t="shared" si="6"/>
        <v/>
      </c>
      <c r="CA17" s="207" t="str">
        <f t="shared" si="6"/>
        <v/>
      </c>
      <c r="CB17" s="208" t="str">
        <f t="shared" si="6"/>
        <v/>
      </c>
      <c r="CC17" s="206" t="str">
        <f t="shared" si="6"/>
        <v/>
      </c>
      <c r="CD17" s="206" t="str">
        <f t="shared" si="6"/>
        <v/>
      </c>
      <c r="CE17" s="207" t="str">
        <f t="shared" si="6"/>
        <v/>
      </c>
    </row>
    <row r="18" spans="1:83" ht="18" customHeight="1">
      <c r="A18" s="22">
        <f>+TABELLA!Q22</f>
        <v>0</v>
      </c>
      <c r="B18" s="22">
        <f>+TABELLA!R22</f>
        <v>0</v>
      </c>
      <c r="C18" s="22">
        <f>+TABELLA!S22</f>
        <v>0</v>
      </c>
      <c r="D18" s="22">
        <f>+TABELLA!T22</f>
        <v>0</v>
      </c>
      <c r="E18" s="22"/>
      <c r="F18" s="26">
        <f>IF(TABELLA!B22="","",TABELLA!B22)</f>
        <v>1</v>
      </c>
      <c r="G18" s="27" t="str">
        <f>IF(TABELLA!C22="","",TABELLA!C22)</f>
        <v/>
      </c>
      <c r="H18" s="203" t="str">
        <f t="shared" ref="H18:W18" si="18">IF(AND(G$3&gt;=$A18,G$3&lt;$B18),1,IF(AND(G$3&gt;=$C18,G$3&lt;$D18),1,""))</f>
        <v/>
      </c>
      <c r="I18" s="203" t="str">
        <f t="shared" si="18"/>
        <v/>
      </c>
      <c r="J18" s="203" t="str">
        <f t="shared" si="18"/>
        <v/>
      </c>
      <c r="K18" s="204" t="str">
        <f t="shared" si="18"/>
        <v/>
      </c>
      <c r="L18" s="205" t="str">
        <f t="shared" si="18"/>
        <v/>
      </c>
      <c r="M18" s="203" t="str">
        <f t="shared" si="18"/>
        <v/>
      </c>
      <c r="N18" s="203" t="str">
        <f t="shared" si="18"/>
        <v/>
      </c>
      <c r="O18" s="204" t="str">
        <f t="shared" si="18"/>
        <v/>
      </c>
      <c r="P18" s="205" t="str">
        <f t="shared" si="18"/>
        <v/>
      </c>
      <c r="Q18" s="203" t="str">
        <f t="shared" si="18"/>
        <v/>
      </c>
      <c r="R18" s="203" t="str">
        <f t="shared" si="18"/>
        <v/>
      </c>
      <c r="S18" s="204" t="str">
        <f t="shared" si="18"/>
        <v/>
      </c>
      <c r="T18" s="205" t="str">
        <f t="shared" si="18"/>
        <v/>
      </c>
      <c r="U18" s="203" t="str">
        <f t="shared" si="18"/>
        <v/>
      </c>
      <c r="V18" s="203" t="str">
        <f t="shared" si="18"/>
        <v/>
      </c>
      <c r="W18" s="204" t="str">
        <f t="shared" si="18"/>
        <v/>
      </c>
      <c r="X18" s="205" t="str">
        <f t="shared" si="3"/>
        <v/>
      </c>
      <c r="Y18" s="203" t="str">
        <f t="shared" si="3"/>
        <v/>
      </c>
      <c r="Z18" s="203" t="str">
        <f t="shared" si="3"/>
        <v/>
      </c>
      <c r="AA18" s="204" t="str">
        <f t="shared" si="3"/>
        <v/>
      </c>
      <c r="AB18" s="205" t="str">
        <f t="shared" si="3"/>
        <v/>
      </c>
      <c r="AC18" s="203" t="str">
        <f t="shared" si="3"/>
        <v/>
      </c>
      <c r="AD18" s="203" t="str">
        <f t="shared" si="3"/>
        <v/>
      </c>
      <c r="AE18" s="204" t="str">
        <f t="shared" si="3"/>
        <v/>
      </c>
      <c r="AF18" s="205" t="str">
        <f t="shared" si="3"/>
        <v/>
      </c>
      <c r="AG18" s="203" t="str">
        <f t="shared" si="3"/>
        <v/>
      </c>
      <c r="AH18" s="203" t="str">
        <f t="shared" si="3"/>
        <v/>
      </c>
      <c r="AI18" s="204" t="str">
        <f t="shared" si="3"/>
        <v/>
      </c>
      <c r="AJ18" s="205" t="str">
        <f t="shared" si="3"/>
        <v/>
      </c>
      <c r="AK18" s="203" t="str">
        <f t="shared" si="3"/>
        <v/>
      </c>
      <c r="AL18" s="203" t="str">
        <f t="shared" si="3"/>
        <v/>
      </c>
      <c r="AM18" s="204" t="str">
        <f t="shared" si="3"/>
        <v/>
      </c>
      <c r="AN18" s="205" t="str">
        <f t="shared" si="4"/>
        <v/>
      </c>
      <c r="AO18" s="203" t="str">
        <f t="shared" si="4"/>
        <v/>
      </c>
      <c r="AP18" s="203" t="str">
        <f t="shared" si="4"/>
        <v/>
      </c>
      <c r="AQ18" s="204" t="str">
        <f t="shared" si="4"/>
        <v/>
      </c>
      <c r="AR18" s="205" t="str">
        <f t="shared" si="4"/>
        <v/>
      </c>
      <c r="AS18" s="203" t="str">
        <f t="shared" si="4"/>
        <v/>
      </c>
      <c r="AT18" s="203" t="str">
        <f t="shared" si="4"/>
        <v/>
      </c>
      <c r="AU18" s="204" t="str">
        <f t="shared" si="4"/>
        <v/>
      </c>
      <c r="AV18" s="205" t="str">
        <f t="shared" si="4"/>
        <v/>
      </c>
      <c r="AW18" s="203" t="str">
        <f t="shared" si="4"/>
        <v/>
      </c>
      <c r="AX18" s="203" t="str">
        <f t="shared" si="4"/>
        <v/>
      </c>
      <c r="AY18" s="204" t="str">
        <f t="shared" si="4"/>
        <v/>
      </c>
      <c r="AZ18" s="205" t="str">
        <f t="shared" si="4"/>
        <v/>
      </c>
      <c r="BA18" s="203" t="str">
        <f t="shared" si="4"/>
        <v/>
      </c>
      <c r="BB18" s="203" t="str">
        <f t="shared" si="4"/>
        <v/>
      </c>
      <c r="BC18" s="204" t="str">
        <f t="shared" si="4"/>
        <v/>
      </c>
      <c r="BD18" s="205" t="str">
        <f t="shared" si="5"/>
        <v/>
      </c>
      <c r="BE18" s="203" t="str">
        <f t="shared" si="5"/>
        <v/>
      </c>
      <c r="BF18" s="203" t="str">
        <f t="shared" si="5"/>
        <v/>
      </c>
      <c r="BG18" s="204" t="str">
        <f t="shared" si="5"/>
        <v/>
      </c>
      <c r="BH18" s="205" t="str">
        <f t="shared" si="5"/>
        <v/>
      </c>
      <c r="BI18" s="203" t="str">
        <f t="shared" si="5"/>
        <v/>
      </c>
      <c r="BJ18" s="203" t="str">
        <f t="shared" si="5"/>
        <v/>
      </c>
      <c r="BK18" s="204" t="str">
        <f t="shared" si="5"/>
        <v/>
      </c>
      <c r="BL18" s="205" t="str">
        <f t="shared" si="5"/>
        <v/>
      </c>
      <c r="BM18" s="203" t="str">
        <f t="shared" si="5"/>
        <v/>
      </c>
      <c r="BN18" s="203" t="str">
        <f t="shared" si="5"/>
        <v/>
      </c>
      <c r="BO18" s="204" t="str">
        <f t="shared" si="5"/>
        <v/>
      </c>
      <c r="BP18" s="205" t="str">
        <f t="shared" si="6"/>
        <v/>
      </c>
      <c r="BQ18" s="203" t="str">
        <f t="shared" si="6"/>
        <v/>
      </c>
      <c r="BR18" s="203" t="str">
        <f t="shared" si="6"/>
        <v/>
      </c>
      <c r="BS18" s="204" t="str">
        <f t="shared" si="6"/>
        <v/>
      </c>
      <c r="BT18" s="205" t="str">
        <f t="shared" si="6"/>
        <v/>
      </c>
      <c r="BU18" s="203" t="str">
        <f t="shared" si="6"/>
        <v/>
      </c>
      <c r="BV18" s="203" t="str">
        <f t="shared" si="6"/>
        <v/>
      </c>
      <c r="BW18" s="204" t="str">
        <f t="shared" si="6"/>
        <v/>
      </c>
      <c r="BX18" s="205" t="str">
        <f t="shared" si="6"/>
        <v/>
      </c>
      <c r="BY18" s="203" t="str">
        <f t="shared" si="6"/>
        <v/>
      </c>
      <c r="BZ18" s="203" t="str">
        <f t="shared" si="6"/>
        <v/>
      </c>
      <c r="CA18" s="204" t="str">
        <f t="shared" si="6"/>
        <v/>
      </c>
      <c r="CB18" s="205" t="str">
        <f t="shared" si="6"/>
        <v/>
      </c>
      <c r="CC18" s="203" t="str">
        <f t="shared" si="6"/>
        <v/>
      </c>
      <c r="CD18" s="203" t="str">
        <f t="shared" si="6"/>
        <v/>
      </c>
      <c r="CE18" s="204" t="str">
        <f t="shared" si="6"/>
        <v/>
      </c>
    </row>
    <row r="19" spans="1:83" ht="18" customHeight="1">
      <c r="A19" s="22">
        <f>+TABELLA!Q23</f>
        <v>0</v>
      </c>
      <c r="B19" s="22">
        <f>+TABELLA!R23</f>
        <v>0</v>
      </c>
      <c r="C19" s="22">
        <f>+TABELLA!S23</f>
        <v>0</v>
      </c>
      <c r="D19" s="22">
        <f>+TABELLA!T23</f>
        <v>0</v>
      </c>
      <c r="E19" s="22"/>
      <c r="F19" s="41">
        <f>IF(TABELLA!B23="","",TABELLA!B23)</f>
        <v>1</v>
      </c>
      <c r="G19" s="42" t="str">
        <f>IF(TABELLA!C23="","",TABELLA!C23)</f>
        <v>BALDAZZI ENRICO</v>
      </c>
      <c r="H19" s="206" t="str">
        <f t="shared" ref="H19:W19" si="19">IF(AND(G$3&gt;=$A19,G$3&lt;$B19),1,IF(AND(G$3&gt;=$C19,G$3&lt;$D19),1,""))</f>
        <v/>
      </c>
      <c r="I19" s="206" t="str">
        <f t="shared" si="19"/>
        <v/>
      </c>
      <c r="J19" s="206" t="str">
        <f t="shared" si="19"/>
        <v/>
      </c>
      <c r="K19" s="207" t="str">
        <f t="shared" si="19"/>
        <v/>
      </c>
      <c r="L19" s="208" t="str">
        <f t="shared" si="19"/>
        <v/>
      </c>
      <c r="M19" s="206" t="str">
        <f t="shared" si="19"/>
        <v/>
      </c>
      <c r="N19" s="206" t="str">
        <f t="shared" si="19"/>
        <v/>
      </c>
      <c r="O19" s="207" t="str">
        <f t="shared" si="19"/>
        <v/>
      </c>
      <c r="P19" s="208" t="str">
        <f t="shared" si="19"/>
        <v/>
      </c>
      <c r="Q19" s="206" t="str">
        <f t="shared" si="19"/>
        <v/>
      </c>
      <c r="R19" s="206" t="str">
        <f t="shared" si="19"/>
        <v/>
      </c>
      <c r="S19" s="207" t="str">
        <f t="shared" si="19"/>
        <v/>
      </c>
      <c r="T19" s="208" t="str">
        <f t="shared" si="19"/>
        <v/>
      </c>
      <c r="U19" s="206" t="str">
        <f t="shared" si="19"/>
        <v/>
      </c>
      <c r="V19" s="206" t="str">
        <f t="shared" si="19"/>
        <v/>
      </c>
      <c r="W19" s="207" t="str">
        <f t="shared" si="19"/>
        <v/>
      </c>
      <c r="X19" s="208" t="str">
        <f t="shared" si="3"/>
        <v/>
      </c>
      <c r="Y19" s="206" t="str">
        <f t="shared" si="3"/>
        <v/>
      </c>
      <c r="Z19" s="206" t="str">
        <f t="shared" si="3"/>
        <v/>
      </c>
      <c r="AA19" s="207" t="str">
        <f t="shared" si="3"/>
        <v/>
      </c>
      <c r="AB19" s="208" t="str">
        <f t="shared" si="3"/>
        <v/>
      </c>
      <c r="AC19" s="206" t="str">
        <f t="shared" si="3"/>
        <v/>
      </c>
      <c r="AD19" s="206" t="str">
        <f t="shared" si="3"/>
        <v/>
      </c>
      <c r="AE19" s="207" t="str">
        <f t="shared" si="3"/>
        <v/>
      </c>
      <c r="AF19" s="208" t="str">
        <f t="shared" si="3"/>
        <v/>
      </c>
      <c r="AG19" s="206" t="str">
        <f t="shared" si="3"/>
        <v/>
      </c>
      <c r="AH19" s="206" t="str">
        <f t="shared" si="3"/>
        <v/>
      </c>
      <c r="AI19" s="207" t="str">
        <f t="shared" si="3"/>
        <v/>
      </c>
      <c r="AJ19" s="208" t="str">
        <f t="shared" si="3"/>
        <v/>
      </c>
      <c r="AK19" s="206" t="str">
        <f t="shared" si="3"/>
        <v/>
      </c>
      <c r="AL19" s="206" t="str">
        <f t="shared" si="3"/>
        <v/>
      </c>
      <c r="AM19" s="207" t="str">
        <f t="shared" si="3"/>
        <v/>
      </c>
      <c r="AN19" s="208" t="str">
        <f t="shared" si="4"/>
        <v/>
      </c>
      <c r="AO19" s="206" t="str">
        <f t="shared" si="4"/>
        <v/>
      </c>
      <c r="AP19" s="206" t="str">
        <f t="shared" si="4"/>
        <v/>
      </c>
      <c r="AQ19" s="207" t="str">
        <f t="shared" si="4"/>
        <v/>
      </c>
      <c r="AR19" s="208" t="str">
        <f t="shared" si="4"/>
        <v/>
      </c>
      <c r="AS19" s="206" t="str">
        <f t="shared" si="4"/>
        <v/>
      </c>
      <c r="AT19" s="206" t="str">
        <f t="shared" si="4"/>
        <v/>
      </c>
      <c r="AU19" s="207" t="str">
        <f t="shared" si="4"/>
        <v/>
      </c>
      <c r="AV19" s="208" t="str">
        <f t="shared" si="4"/>
        <v/>
      </c>
      <c r="AW19" s="206" t="str">
        <f t="shared" si="4"/>
        <v/>
      </c>
      <c r="AX19" s="206" t="str">
        <f t="shared" si="4"/>
        <v/>
      </c>
      <c r="AY19" s="207" t="str">
        <f t="shared" si="4"/>
        <v/>
      </c>
      <c r="AZ19" s="208" t="str">
        <f t="shared" si="4"/>
        <v/>
      </c>
      <c r="BA19" s="206" t="str">
        <f t="shared" si="4"/>
        <v/>
      </c>
      <c r="BB19" s="206" t="str">
        <f t="shared" si="4"/>
        <v/>
      </c>
      <c r="BC19" s="207" t="str">
        <f t="shared" si="4"/>
        <v/>
      </c>
      <c r="BD19" s="208" t="str">
        <f t="shared" si="5"/>
        <v/>
      </c>
      <c r="BE19" s="206" t="str">
        <f t="shared" si="5"/>
        <v/>
      </c>
      <c r="BF19" s="206" t="str">
        <f t="shared" si="5"/>
        <v/>
      </c>
      <c r="BG19" s="207" t="str">
        <f t="shared" si="5"/>
        <v/>
      </c>
      <c r="BH19" s="208" t="str">
        <f t="shared" si="5"/>
        <v/>
      </c>
      <c r="BI19" s="206" t="str">
        <f t="shared" si="5"/>
        <v/>
      </c>
      <c r="BJ19" s="206" t="str">
        <f t="shared" si="5"/>
        <v/>
      </c>
      <c r="BK19" s="207" t="str">
        <f t="shared" si="5"/>
        <v/>
      </c>
      <c r="BL19" s="208" t="str">
        <f t="shared" si="5"/>
        <v/>
      </c>
      <c r="BM19" s="206" t="str">
        <f t="shared" si="5"/>
        <v/>
      </c>
      <c r="BN19" s="206" t="str">
        <f t="shared" si="5"/>
        <v/>
      </c>
      <c r="BO19" s="207" t="str">
        <f t="shared" si="5"/>
        <v/>
      </c>
      <c r="BP19" s="208" t="str">
        <f t="shared" si="6"/>
        <v/>
      </c>
      <c r="BQ19" s="206" t="str">
        <f t="shared" si="6"/>
        <v/>
      </c>
      <c r="BR19" s="206" t="str">
        <f t="shared" si="6"/>
        <v/>
      </c>
      <c r="BS19" s="207" t="str">
        <f t="shared" si="6"/>
        <v/>
      </c>
      <c r="BT19" s="208" t="str">
        <f t="shared" si="6"/>
        <v/>
      </c>
      <c r="BU19" s="206" t="str">
        <f t="shared" si="6"/>
        <v/>
      </c>
      <c r="BV19" s="206" t="str">
        <f t="shared" si="6"/>
        <v/>
      </c>
      <c r="BW19" s="207" t="str">
        <f t="shared" si="6"/>
        <v/>
      </c>
      <c r="BX19" s="208" t="str">
        <f t="shared" si="6"/>
        <v/>
      </c>
      <c r="BY19" s="206" t="str">
        <f t="shared" si="6"/>
        <v/>
      </c>
      <c r="BZ19" s="206" t="str">
        <f t="shared" si="6"/>
        <v/>
      </c>
      <c r="CA19" s="207" t="str">
        <f t="shared" si="6"/>
        <v/>
      </c>
      <c r="CB19" s="208" t="str">
        <f t="shared" si="6"/>
        <v/>
      </c>
      <c r="CC19" s="206" t="str">
        <f t="shared" si="6"/>
        <v/>
      </c>
      <c r="CD19" s="206" t="str">
        <f t="shared" si="6"/>
        <v/>
      </c>
      <c r="CE19" s="207" t="str">
        <f t="shared" si="6"/>
        <v/>
      </c>
    </row>
    <row r="20" spans="1:83" ht="18" customHeight="1">
      <c r="A20" s="22">
        <f>+TABELLA!Q24</f>
        <v>0</v>
      </c>
      <c r="B20" s="22">
        <f>+TABELLA!R24</f>
        <v>0</v>
      </c>
      <c r="C20" s="22">
        <f>+TABELLA!S24</f>
        <v>0</v>
      </c>
      <c r="D20" s="22">
        <f>+TABELLA!T24</f>
        <v>0</v>
      </c>
      <c r="E20" s="22"/>
      <c r="F20" s="26">
        <f>IF(TABELLA!B24="","",TABELLA!B24)</f>
        <v>12</v>
      </c>
      <c r="G20" s="27" t="str">
        <f>IF(TABELLA!C24="","",TABELLA!C24)</f>
        <v>xx</v>
      </c>
      <c r="H20" s="203" t="str">
        <f t="shared" ref="H20:W20" si="20">IF(AND(G$3&gt;=$A20,G$3&lt;$B20),1,IF(AND(G$3&gt;=$C20,G$3&lt;$D20),1,""))</f>
        <v/>
      </c>
      <c r="I20" s="203" t="str">
        <f t="shared" si="20"/>
        <v/>
      </c>
      <c r="J20" s="203" t="str">
        <f t="shared" si="20"/>
        <v/>
      </c>
      <c r="K20" s="204" t="str">
        <f t="shared" si="20"/>
        <v/>
      </c>
      <c r="L20" s="205" t="str">
        <f t="shared" si="20"/>
        <v/>
      </c>
      <c r="M20" s="203" t="str">
        <f t="shared" si="20"/>
        <v/>
      </c>
      <c r="N20" s="203" t="str">
        <f t="shared" si="20"/>
        <v/>
      </c>
      <c r="O20" s="204" t="str">
        <f t="shared" si="20"/>
        <v/>
      </c>
      <c r="P20" s="205" t="str">
        <f t="shared" si="20"/>
        <v/>
      </c>
      <c r="Q20" s="203" t="str">
        <f t="shared" si="20"/>
        <v/>
      </c>
      <c r="R20" s="203" t="str">
        <f t="shared" si="20"/>
        <v/>
      </c>
      <c r="S20" s="204" t="str">
        <f t="shared" si="20"/>
        <v/>
      </c>
      <c r="T20" s="205" t="str">
        <f t="shared" si="20"/>
        <v/>
      </c>
      <c r="U20" s="203" t="str">
        <f t="shared" si="20"/>
        <v/>
      </c>
      <c r="V20" s="203" t="str">
        <f t="shared" si="20"/>
        <v/>
      </c>
      <c r="W20" s="204" t="str">
        <f t="shared" si="20"/>
        <v/>
      </c>
      <c r="X20" s="205" t="str">
        <f t="shared" si="3"/>
        <v/>
      </c>
      <c r="Y20" s="203" t="str">
        <f t="shared" si="3"/>
        <v/>
      </c>
      <c r="Z20" s="203" t="str">
        <f t="shared" si="3"/>
        <v/>
      </c>
      <c r="AA20" s="204" t="str">
        <f t="shared" si="3"/>
        <v/>
      </c>
      <c r="AB20" s="205" t="str">
        <f t="shared" si="3"/>
        <v/>
      </c>
      <c r="AC20" s="203" t="str">
        <f t="shared" si="3"/>
        <v/>
      </c>
      <c r="AD20" s="203" t="str">
        <f t="shared" si="3"/>
        <v/>
      </c>
      <c r="AE20" s="204" t="str">
        <f t="shared" si="3"/>
        <v/>
      </c>
      <c r="AF20" s="205" t="str">
        <f t="shared" si="3"/>
        <v/>
      </c>
      <c r="AG20" s="203" t="str">
        <f t="shared" si="3"/>
        <v/>
      </c>
      <c r="AH20" s="203" t="str">
        <f t="shared" si="3"/>
        <v/>
      </c>
      <c r="AI20" s="204" t="str">
        <f t="shared" si="3"/>
        <v/>
      </c>
      <c r="AJ20" s="205" t="str">
        <f t="shared" si="3"/>
        <v/>
      </c>
      <c r="AK20" s="203" t="str">
        <f t="shared" si="3"/>
        <v/>
      </c>
      <c r="AL20" s="203" t="str">
        <f t="shared" si="3"/>
        <v/>
      </c>
      <c r="AM20" s="204" t="str">
        <f t="shared" si="3"/>
        <v/>
      </c>
      <c r="AN20" s="205" t="str">
        <f t="shared" si="4"/>
        <v/>
      </c>
      <c r="AO20" s="203" t="str">
        <f t="shared" si="4"/>
        <v/>
      </c>
      <c r="AP20" s="203" t="str">
        <f t="shared" si="4"/>
        <v/>
      </c>
      <c r="AQ20" s="204" t="str">
        <f t="shared" si="4"/>
        <v/>
      </c>
      <c r="AR20" s="205" t="str">
        <f t="shared" si="4"/>
        <v/>
      </c>
      <c r="AS20" s="203" t="str">
        <f t="shared" si="4"/>
        <v/>
      </c>
      <c r="AT20" s="203" t="str">
        <f t="shared" si="4"/>
        <v/>
      </c>
      <c r="AU20" s="204" t="str">
        <f t="shared" si="4"/>
        <v/>
      </c>
      <c r="AV20" s="205" t="str">
        <f t="shared" si="4"/>
        <v/>
      </c>
      <c r="AW20" s="203" t="str">
        <f t="shared" si="4"/>
        <v/>
      </c>
      <c r="AX20" s="203" t="str">
        <f t="shared" si="4"/>
        <v/>
      </c>
      <c r="AY20" s="204" t="str">
        <f t="shared" si="4"/>
        <v/>
      </c>
      <c r="AZ20" s="205" t="str">
        <f t="shared" si="4"/>
        <v/>
      </c>
      <c r="BA20" s="203" t="str">
        <f t="shared" si="4"/>
        <v/>
      </c>
      <c r="BB20" s="203" t="str">
        <f t="shared" si="4"/>
        <v/>
      </c>
      <c r="BC20" s="204" t="str">
        <f t="shared" si="4"/>
        <v/>
      </c>
      <c r="BD20" s="205" t="str">
        <f t="shared" si="5"/>
        <v/>
      </c>
      <c r="BE20" s="203" t="str">
        <f t="shared" si="5"/>
        <v/>
      </c>
      <c r="BF20" s="203" t="str">
        <f t="shared" si="5"/>
        <v/>
      </c>
      <c r="BG20" s="204" t="str">
        <f t="shared" si="5"/>
        <v/>
      </c>
      <c r="BH20" s="205" t="str">
        <f t="shared" si="5"/>
        <v/>
      </c>
      <c r="BI20" s="203" t="str">
        <f t="shared" si="5"/>
        <v/>
      </c>
      <c r="BJ20" s="203" t="str">
        <f t="shared" si="5"/>
        <v/>
      </c>
      <c r="BK20" s="204" t="str">
        <f t="shared" si="5"/>
        <v/>
      </c>
      <c r="BL20" s="205" t="str">
        <f t="shared" si="5"/>
        <v/>
      </c>
      <c r="BM20" s="203" t="str">
        <f t="shared" si="5"/>
        <v/>
      </c>
      <c r="BN20" s="203" t="str">
        <f t="shared" si="5"/>
        <v/>
      </c>
      <c r="BO20" s="204" t="str">
        <f t="shared" si="5"/>
        <v/>
      </c>
      <c r="BP20" s="205" t="str">
        <f t="shared" si="6"/>
        <v/>
      </c>
      <c r="BQ20" s="203" t="str">
        <f t="shared" si="6"/>
        <v/>
      </c>
      <c r="BR20" s="203" t="str">
        <f t="shared" si="6"/>
        <v/>
      </c>
      <c r="BS20" s="204" t="str">
        <f t="shared" si="6"/>
        <v/>
      </c>
      <c r="BT20" s="205" t="str">
        <f t="shared" si="6"/>
        <v/>
      </c>
      <c r="BU20" s="203" t="str">
        <f t="shared" si="6"/>
        <v/>
      </c>
      <c r="BV20" s="203" t="str">
        <f t="shared" si="6"/>
        <v/>
      </c>
      <c r="BW20" s="204" t="str">
        <f t="shared" si="6"/>
        <v/>
      </c>
      <c r="BX20" s="205" t="str">
        <f t="shared" si="6"/>
        <v/>
      </c>
      <c r="BY20" s="203" t="str">
        <f t="shared" si="6"/>
        <v/>
      </c>
      <c r="BZ20" s="203" t="str">
        <f t="shared" si="6"/>
        <v/>
      </c>
      <c r="CA20" s="204" t="str">
        <f t="shared" si="6"/>
        <v/>
      </c>
      <c r="CB20" s="205" t="str">
        <f t="shared" si="6"/>
        <v/>
      </c>
      <c r="CC20" s="203" t="str">
        <f t="shared" si="6"/>
        <v/>
      </c>
      <c r="CD20" s="203" t="str">
        <f t="shared" si="6"/>
        <v/>
      </c>
      <c r="CE20" s="204" t="str">
        <f t="shared" si="6"/>
        <v/>
      </c>
    </row>
    <row r="21" spans="1:83" ht="18" customHeight="1">
      <c r="A21" s="22">
        <f>+TABELLA!Q25</f>
        <v>0</v>
      </c>
      <c r="B21" s="22">
        <f>+TABELLA!R25</f>
        <v>0</v>
      </c>
      <c r="C21" s="22">
        <f>+TABELLA!S25</f>
        <v>0</v>
      </c>
      <c r="D21" s="22">
        <f>+TABELLA!T25</f>
        <v>0</v>
      </c>
      <c r="E21" s="22"/>
      <c r="F21" s="41">
        <f>IF(TABELLA!B25="","",TABELLA!B25)</f>
        <v>1</v>
      </c>
      <c r="G21" s="42" t="str">
        <f>IF(TABELLA!C25="","",TABELLA!C25)</f>
        <v/>
      </c>
      <c r="H21" s="206" t="str">
        <f t="shared" ref="H21:V21" si="21">IF(AND(G$3&gt;=$A21,G$3&lt;$B21),1,IF(AND(G$3&gt;=$C21,G$3&lt;$D21),1,""))</f>
        <v/>
      </c>
      <c r="I21" s="206" t="str">
        <f t="shared" si="21"/>
        <v/>
      </c>
      <c r="J21" s="206" t="str">
        <f t="shared" si="21"/>
        <v/>
      </c>
      <c r="K21" s="207" t="str">
        <f t="shared" si="21"/>
        <v/>
      </c>
      <c r="L21" s="208" t="str">
        <f t="shared" si="21"/>
        <v/>
      </c>
      <c r="M21" s="206" t="str">
        <f t="shared" si="21"/>
        <v/>
      </c>
      <c r="N21" s="206" t="str">
        <f t="shared" si="21"/>
        <v/>
      </c>
      <c r="O21" s="207" t="str">
        <f t="shared" si="21"/>
        <v/>
      </c>
      <c r="P21" s="208" t="str">
        <f t="shared" si="21"/>
        <v/>
      </c>
      <c r="Q21" s="206" t="str">
        <f t="shared" si="21"/>
        <v/>
      </c>
      <c r="R21" s="206" t="str">
        <f t="shared" si="21"/>
        <v/>
      </c>
      <c r="S21" s="207" t="str">
        <f t="shared" si="21"/>
        <v/>
      </c>
      <c r="T21" s="208" t="str">
        <f t="shared" si="21"/>
        <v/>
      </c>
      <c r="U21" s="206" t="str">
        <f t="shared" si="21"/>
        <v/>
      </c>
      <c r="V21" s="206" t="str">
        <f t="shared" si="21"/>
        <v/>
      </c>
      <c r="W21" s="207" t="str">
        <f t="shared" ref="W21:AL36" si="22">IF(AND(V$3&gt;=$A21,V$3&lt;$B21),1,IF(AND(V$3&gt;=$C21,V$3&lt;$D21),1,""))</f>
        <v/>
      </c>
      <c r="X21" s="208" t="str">
        <f t="shared" si="22"/>
        <v/>
      </c>
      <c r="Y21" s="206" t="str">
        <f t="shared" si="22"/>
        <v/>
      </c>
      <c r="Z21" s="206" t="str">
        <f t="shared" si="22"/>
        <v/>
      </c>
      <c r="AA21" s="207" t="str">
        <f t="shared" si="22"/>
        <v/>
      </c>
      <c r="AB21" s="208" t="str">
        <f t="shared" si="22"/>
        <v/>
      </c>
      <c r="AC21" s="206" t="str">
        <f t="shared" si="22"/>
        <v/>
      </c>
      <c r="AD21" s="206" t="str">
        <f t="shared" si="22"/>
        <v/>
      </c>
      <c r="AE21" s="207" t="str">
        <f t="shared" si="22"/>
        <v/>
      </c>
      <c r="AF21" s="208" t="str">
        <f t="shared" si="22"/>
        <v/>
      </c>
      <c r="AG21" s="206" t="str">
        <f t="shared" si="22"/>
        <v/>
      </c>
      <c r="AH21" s="206" t="str">
        <f t="shared" si="22"/>
        <v/>
      </c>
      <c r="AI21" s="207" t="str">
        <f t="shared" si="22"/>
        <v/>
      </c>
      <c r="AJ21" s="208" t="str">
        <f t="shared" si="22"/>
        <v/>
      </c>
      <c r="AK21" s="206" t="str">
        <f t="shared" si="22"/>
        <v/>
      </c>
      <c r="AL21" s="206" t="str">
        <f t="shared" si="22"/>
        <v/>
      </c>
      <c r="AM21" s="207" t="str">
        <f t="shared" si="3"/>
        <v/>
      </c>
      <c r="AN21" s="208" t="str">
        <f t="shared" si="4"/>
        <v/>
      </c>
      <c r="AO21" s="206" t="str">
        <f t="shared" si="4"/>
        <v/>
      </c>
      <c r="AP21" s="206" t="str">
        <f t="shared" si="4"/>
        <v/>
      </c>
      <c r="AQ21" s="207" t="str">
        <f t="shared" si="4"/>
        <v/>
      </c>
      <c r="AR21" s="208" t="str">
        <f t="shared" si="4"/>
        <v/>
      </c>
      <c r="AS21" s="206" t="str">
        <f t="shared" si="4"/>
        <v/>
      </c>
      <c r="AT21" s="206" t="str">
        <f t="shared" si="4"/>
        <v/>
      </c>
      <c r="AU21" s="207" t="str">
        <f t="shared" si="4"/>
        <v/>
      </c>
      <c r="AV21" s="208" t="str">
        <f t="shared" si="4"/>
        <v/>
      </c>
      <c r="AW21" s="206" t="str">
        <f t="shared" si="4"/>
        <v/>
      </c>
      <c r="AX21" s="206" t="str">
        <f t="shared" si="4"/>
        <v/>
      </c>
      <c r="AY21" s="207" t="str">
        <f t="shared" si="4"/>
        <v/>
      </c>
      <c r="AZ21" s="208" t="str">
        <f t="shared" si="4"/>
        <v/>
      </c>
      <c r="BA21" s="206" t="str">
        <f t="shared" si="4"/>
        <v/>
      </c>
      <c r="BB21" s="206" t="str">
        <f t="shared" si="4"/>
        <v/>
      </c>
      <c r="BC21" s="207" t="str">
        <f t="shared" ref="BC21:BR36" si="23">IF(AND(BB$3&gt;=$A21,BB$3&lt;$B21),1,IF(AND(BB$3&gt;=$C21,BB$3&lt;$D21),1,""))</f>
        <v/>
      </c>
      <c r="BD21" s="208" t="str">
        <f t="shared" si="23"/>
        <v/>
      </c>
      <c r="BE21" s="206" t="str">
        <f t="shared" si="23"/>
        <v/>
      </c>
      <c r="BF21" s="206" t="str">
        <f t="shared" si="23"/>
        <v/>
      </c>
      <c r="BG21" s="207" t="str">
        <f t="shared" si="23"/>
        <v/>
      </c>
      <c r="BH21" s="208" t="str">
        <f t="shared" si="23"/>
        <v/>
      </c>
      <c r="BI21" s="206" t="str">
        <f t="shared" si="23"/>
        <v/>
      </c>
      <c r="BJ21" s="206" t="str">
        <f t="shared" si="23"/>
        <v/>
      </c>
      <c r="BK21" s="207" t="str">
        <f t="shared" si="23"/>
        <v/>
      </c>
      <c r="BL21" s="208" t="str">
        <f t="shared" si="23"/>
        <v/>
      </c>
      <c r="BM21" s="206" t="str">
        <f t="shared" si="23"/>
        <v/>
      </c>
      <c r="BN21" s="206" t="str">
        <f t="shared" si="23"/>
        <v/>
      </c>
      <c r="BO21" s="207" t="str">
        <f t="shared" si="23"/>
        <v/>
      </c>
      <c r="BP21" s="208" t="str">
        <f t="shared" si="6"/>
        <v/>
      </c>
      <c r="BQ21" s="206" t="str">
        <f t="shared" si="6"/>
        <v/>
      </c>
      <c r="BR21" s="206" t="str">
        <f t="shared" si="6"/>
        <v/>
      </c>
      <c r="BS21" s="207" t="str">
        <f t="shared" si="6"/>
        <v/>
      </c>
      <c r="BT21" s="208" t="str">
        <f t="shared" si="6"/>
        <v/>
      </c>
      <c r="BU21" s="206" t="str">
        <f t="shared" si="6"/>
        <v/>
      </c>
      <c r="BV21" s="206" t="str">
        <f t="shared" si="6"/>
        <v/>
      </c>
      <c r="BW21" s="207" t="str">
        <f t="shared" si="6"/>
        <v/>
      </c>
      <c r="BX21" s="208" t="str">
        <f t="shared" si="6"/>
        <v/>
      </c>
      <c r="BY21" s="206" t="str">
        <f t="shared" si="6"/>
        <v/>
      </c>
      <c r="BZ21" s="206" t="str">
        <f t="shared" si="6"/>
        <v/>
      </c>
      <c r="CA21" s="207" t="str">
        <f t="shared" si="6"/>
        <v/>
      </c>
      <c r="CB21" s="208" t="str">
        <f t="shared" si="6"/>
        <v/>
      </c>
      <c r="CC21" s="206" t="str">
        <f t="shared" si="6"/>
        <v/>
      </c>
      <c r="CD21" s="206" t="str">
        <f t="shared" si="6"/>
        <v/>
      </c>
      <c r="CE21" s="207" t="str">
        <f t="shared" si="6"/>
        <v/>
      </c>
    </row>
    <row r="22" spans="1:83" ht="18" customHeight="1">
      <c r="A22" s="22">
        <f>+TABELLA!Q26</f>
        <v>0</v>
      </c>
      <c r="B22" s="22">
        <f>+TABELLA!R26</f>
        <v>0</v>
      </c>
      <c r="C22" s="22">
        <f>+TABELLA!S26</f>
        <v>0</v>
      </c>
      <c r="D22" s="22">
        <f>+TABELLA!T26</f>
        <v>0</v>
      </c>
      <c r="E22" s="22"/>
      <c r="F22" s="26">
        <f>IF(TABELLA!B26="","",TABELLA!B26)</f>
        <v>1</v>
      </c>
      <c r="G22" s="27" t="str">
        <f>IF(TABELLA!C26="","",TABELLA!C26)</f>
        <v/>
      </c>
      <c r="H22" s="203" t="str">
        <f t="shared" ref="H22:V22" si="24">IF(AND(G$3&gt;=$A22,G$3&lt;$B22),1,IF(AND(G$3&gt;=$C22,G$3&lt;$D22),1,""))</f>
        <v/>
      </c>
      <c r="I22" s="203" t="str">
        <f t="shared" si="24"/>
        <v/>
      </c>
      <c r="J22" s="203" t="str">
        <f t="shared" si="24"/>
        <v/>
      </c>
      <c r="K22" s="204" t="str">
        <f t="shared" si="24"/>
        <v/>
      </c>
      <c r="L22" s="205" t="str">
        <f t="shared" si="24"/>
        <v/>
      </c>
      <c r="M22" s="203" t="str">
        <f t="shared" si="24"/>
        <v/>
      </c>
      <c r="N22" s="203" t="str">
        <f t="shared" si="24"/>
        <v/>
      </c>
      <c r="O22" s="204" t="str">
        <f t="shared" si="24"/>
        <v/>
      </c>
      <c r="P22" s="205" t="str">
        <f t="shared" si="24"/>
        <v/>
      </c>
      <c r="Q22" s="203" t="str">
        <f t="shared" si="24"/>
        <v/>
      </c>
      <c r="R22" s="203" t="str">
        <f t="shared" si="24"/>
        <v/>
      </c>
      <c r="S22" s="204" t="str">
        <f t="shared" si="24"/>
        <v/>
      </c>
      <c r="T22" s="205" t="str">
        <f t="shared" si="24"/>
        <v/>
      </c>
      <c r="U22" s="203" t="str">
        <f t="shared" si="24"/>
        <v/>
      </c>
      <c r="V22" s="203" t="str">
        <f t="shared" si="24"/>
        <v/>
      </c>
      <c r="W22" s="204" t="str">
        <f t="shared" ref="W22:W36" si="25">IF(AND(V$3&gt;=$A22,V$3&lt;$B22),1,IF(AND(V$3&gt;=$C22,V$3&lt;$D22),1,""))</f>
        <v/>
      </c>
      <c r="X22" s="205" t="str">
        <f t="shared" si="22"/>
        <v/>
      </c>
      <c r="Y22" s="203" t="str">
        <f t="shared" si="22"/>
        <v/>
      </c>
      <c r="Z22" s="203" t="str">
        <f t="shared" si="22"/>
        <v/>
      </c>
      <c r="AA22" s="204" t="str">
        <f t="shared" si="22"/>
        <v/>
      </c>
      <c r="AB22" s="205" t="str">
        <f t="shared" si="22"/>
        <v/>
      </c>
      <c r="AC22" s="203" t="str">
        <f t="shared" si="22"/>
        <v/>
      </c>
      <c r="AD22" s="203" t="str">
        <f t="shared" si="22"/>
        <v/>
      </c>
      <c r="AE22" s="204" t="str">
        <f t="shared" si="22"/>
        <v/>
      </c>
      <c r="AF22" s="205" t="str">
        <f t="shared" si="22"/>
        <v/>
      </c>
      <c r="AG22" s="203" t="str">
        <f t="shared" si="22"/>
        <v/>
      </c>
      <c r="AH22" s="203" t="str">
        <f t="shared" si="22"/>
        <v/>
      </c>
      <c r="AI22" s="204" t="str">
        <f t="shared" si="22"/>
        <v/>
      </c>
      <c r="AJ22" s="205" t="str">
        <f t="shared" si="22"/>
        <v/>
      </c>
      <c r="AK22" s="203" t="str">
        <f t="shared" si="22"/>
        <v/>
      </c>
      <c r="AL22" s="203" t="str">
        <f t="shared" si="22"/>
        <v/>
      </c>
      <c r="AM22" s="204" t="str">
        <f t="shared" ref="AM22:BB37" si="26">IF(AND(AL$3&gt;=$A22,AL$3&lt;$B22),1,IF(AND(AL$3&gt;=$C22,AL$3&lt;$D22),1,""))</f>
        <v/>
      </c>
      <c r="AN22" s="205" t="str">
        <f t="shared" si="26"/>
        <v/>
      </c>
      <c r="AO22" s="203" t="str">
        <f t="shared" si="26"/>
        <v/>
      </c>
      <c r="AP22" s="203" t="str">
        <f t="shared" si="26"/>
        <v/>
      </c>
      <c r="AQ22" s="204" t="str">
        <f t="shared" si="26"/>
        <v/>
      </c>
      <c r="AR22" s="205" t="str">
        <f t="shared" si="26"/>
        <v/>
      </c>
      <c r="AS22" s="203" t="str">
        <f t="shared" si="26"/>
        <v/>
      </c>
      <c r="AT22" s="203" t="str">
        <f t="shared" si="26"/>
        <v/>
      </c>
      <c r="AU22" s="204" t="str">
        <f t="shared" si="26"/>
        <v/>
      </c>
      <c r="AV22" s="205" t="str">
        <f t="shared" si="26"/>
        <v/>
      </c>
      <c r="AW22" s="203" t="str">
        <f t="shared" si="26"/>
        <v/>
      </c>
      <c r="AX22" s="203" t="str">
        <f t="shared" si="26"/>
        <v/>
      </c>
      <c r="AY22" s="204" t="str">
        <f t="shared" si="26"/>
        <v/>
      </c>
      <c r="AZ22" s="205" t="str">
        <f t="shared" si="26"/>
        <v/>
      </c>
      <c r="BA22" s="203" t="str">
        <f t="shared" si="26"/>
        <v/>
      </c>
      <c r="BB22" s="203" t="str">
        <f t="shared" si="26"/>
        <v/>
      </c>
      <c r="BC22" s="204" t="str">
        <f t="shared" si="23"/>
        <v/>
      </c>
      <c r="BD22" s="205" t="str">
        <f t="shared" si="23"/>
        <v/>
      </c>
      <c r="BE22" s="203" t="str">
        <f t="shared" si="23"/>
        <v/>
      </c>
      <c r="BF22" s="203" t="str">
        <f t="shared" si="23"/>
        <v/>
      </c>
      <c r="BG22" s="204" t="str">
        <f t="shared" si="23"/>
        <v/>
      </c>
      <c r="BH22" s="205" t="str">
        <f t="shared" si="23"/>
        <v/>
      </c>
      <c r="BI22" s="203" t="str">
        <f t="shared" si="23"/>
        <v/>
      </c>
      <c r="BJ22" s="203" t="str">
        <f t="shared" si="23"/>
        <v/>
      </c>
      <c r="BK22" s="204" t="str">
        <f t="shared" si="23"/>
        <v/>
      </c>
      <c r="BL22" s="205" t="str">
        <f t="shared" si="23"/>
        <v/>
      </c>
      <c r="BM22" s="203" t="str">
        <f t="shared" si="23"/>
        <v/>
      </c>
      <c r="BN22" s="203" t="str">
        <f t="shared" si="23"/>
        <v/>
      </c>
      <c r="BO22" s="204" t="str">
        <f t="shared" si="23"/>
        <v/>
      </c>
      <c r="BP22" s="205" t="str">
        <f t="shared" si="23"/>
        <v/>
      </c>
      <c r="BQ22" s="203" t="str">
        <f t="shared" si="23"/>
        <v/>
      </c>
      <c r="BR22" s="203" t="str">
        <f t="shared" si="23"/>
        <v/>
      </c>
      <c r="BS22" s="204" t="str">
        <f t="shared" ref="BP22:CE37" si="27">IF(AND(BR$3&gt;=$A22,BR$3&lt;$B22),1,IF(AND(BR$3&gt;=$C22,BR$3&lt;$D22),1,""))</f>
        <v/>
      </c>
      <c r="BT22" s="205" t="str">
        <f t="shared" si="27"/>
        <v/>
      </c>
      <c r="BU22" s="203" t="str">
        <f t="shared" si="27"/>
        <v/>
      </c>
      <c r="BV22" s="203" t="str">
        <f t="shared" si="27"/>
        <v/>
      </c>
      <c r="BW22" s="204" t="str">
        <f t="shared" si="27"/>
        <v/>
      </c>
      <c r="BX22" s="205" t="str">
        <f t="shared" si="27"/>
        <v/>
      </c>
      <c r="BY22" s="203" t="str">
        <f t="shared" si="27"/>
        <v/>
      </c>
      <c r="BZ22" s="203" t="str">
        <f t="shared" si="27"/>
        <v/>
      </c>
      <c r="CA22" s="204" t="str">
        <f t="shared" si="27"/>
        <v/>
      </c>
      <c r="CB22" s="205" t="str">
        <f t="shared" si="27"/>
        <v/>
      </c>
      <c r="CC22" s="203" t="str">
        <f t="shared" si="27"/>
        <v/>
      </c>
      <c r="CD22" s="203" t="str">
        <f t="shared" si="27"/>
        <v/>
      </c>
      <c r="CE22" s="204" t="str">
        <f t="shared" si="27"/>
        <v/>
      </c>
    </row>
    <row r="23" spans="1:83" ht="18" customHeight="1">
      <c r="A23" s="22">
        <f>+TABELLA!Q27</f>
        <v>0</v>
      </c>
      <c r="B23" s="22">
        <f>+TABELLA!R27</f>
        <v>0</v>
      </c>
      <c r="C23" s="22">
        <f>+TABELLA!S27</f>
        <v>0</v>
      </c>
      <c r="D23" s="22">
        <f>+TABELLA!T27</f>
        <v>0</v>
      </c>
      <c r="E23" s="22"/>
      <c r="F23" s="41" t="str">
        <f>IF(TABELLA!B27="","",TABELLA!B27)</f>
        <v/>
      </c>
      <c r="G23" s="42" t="str">
        <f>IF(TABELLA!C27="","",TABELLA!C27)</f>
        <v/>
      </c>
      <c r="H23" s="206" t="str">
        <f t="shared" ref="H23:V23" si="28">IF(AND(G$3&gt;=$A23,G$3&lt;$B23),1,IF(AND(G$3&gt;=$C23,G$3&lt;$D23),1,""))</f>
        <v/>
      </c>
      <c r="I23" s="206" t="str">
        <f t="shared" si="28"/>
        <v/>
      </c>
      <c r="J23" s="206" t="str">
        <f t="shared" si="28"/>
        <v/>
      </c>
      <c r="K23" s="207" t="str">
        <f t="shared" si="28"/>
        <v/>
      </c>
      <c r="L23" s="208" t="str">
        <f t="shared" si="28"/>
        <v/>
      </c>
      <c r="M23" s="206" t="str">
        <f t="shared" si="28"/>
        <v/>
      </c>
      <c r="N23" s="206" t="str">
        <f t="shared" si="28"/>
        <v/>
      </c>
      <c r="O23" s="207" t="str">
        <f t="shared" si="28"/>
        <v/>
      </c>
      <c r="P23" s="208" t="str">
        <f t="shared" si="28"/>
        <v/>
      </c>
      <c r="Q23" s="206" t="str">
        <f t="shared" si="28"/>
        <v/>
      </c>
      <c r="R23" s="206" t="str">
        <f t="shared" si="28"/>
        <v/>
      </c>
      <c r="S23" s="207" t="str">
        <f t="shared" si="28"/>
        <v/>
      </c>
      <c r="T23" s="208" t="str">
        <f t="shared" si="28"/>
        <v/>
      </c>
      <c r="U23" s="206" t="str">
        <f t="shared" si="28"/>
        <v/>
      </c>
      <c r="V23" s="206" t="str">
        <f t="shared" si="28"/>
        <v/>
      </c>
      <c r="W23" s="207" t="str">
        <f t="shared" si="25"/>
        <v/>
      </c>
      <c r="X23" s="208" t="str">
        <f t="shared" si="22"/>
        <v/>
      </c>
      <c r="Y23" s="206" t="str">
        <f t="shared" si="22"/>
        <v/>
      </c>
      <c r="Z23" s="206" t="str">
        <f t="shared" si="22"/>
        <v/>
      </c>
      <c r="AA23" s="207" t="str">
        <f t="shared" si="22"/>
        <v/>
      </c>
      <c r="AB23" s="208" t="str">
        <f t="shared" si="22"/>
        <v/>
      </c>
      <c r="AC23" s="206" t="str">
        <f t="shared" si="22"/>
        <v/>
      </c>
      <c r="AD23" s="206" t="str">
        <f t="shared" si="22"/>
        <v/>
      </c>
      <c r="AE23" s="207" t="str">
        <f t="shared" si="22"/>
        <v/>
      </c>
      <c r="AF23" s="208" t="str">
        <f t="shared" si="22"/>
        <v/>
      </c>
      <c r="AG23" s="206" t="str">
        <f t="shared" si="22"/>
        <v/>
      </c>
      <c r="AH23" s="206" t="str">
        <f t="shared" si="22"/>
        <v/>
      </c>
      <c r="AI23" s="207" t="str">
        <f t="shared" si="22"/>
        <v/>
      </c>
      <c r="AJ23" s="208" t="str">
        <f t="shared" si="22"/>
        <v/>
      </c>
      <c r="AK23" s="206" t="str">
        <f t="shared" si="22"/>
        <v/>
      </c>
      <c r="AL23" s="206" t="str">
        <f t="shared" si="22"/>
        <v/>
      </c>
      <c r="AM23" s="207" t="str">
        <f t="shared" si="26"/>
        <v/>
      </c>
      <c r="AN23" s="208" t="str">
        <f t="shared" si="26"/>
        <v/>
      </c>
      <c r="AO23" s="206" t="str">
        <f t="shared" si="26"/>
        <v/>
      </c>
      <c r="AP23" s="206" t="str">
        <f t="shared" si="26"/>
        <v/>
      </c>
      <c r="AQ23" s="207" t="str">
        <f t="shared" si="26"/>
        <v/>
      </c>
      <c r="AR23" s="208" t="str">
        <f t="shared" si="26"/>
        <v/>
      </c>
      <c r="AS23" s="206" t="str">
        <f t="shared" si="26"/>
        <v/>
      </c>
      <c r="AT23" s="206" t="str">
        <f t="shared" si="26"/>
        <v/>
      </c>
      <c r="AU23" s="207" t="str">
        <f t="shared" si="26"/>
        <v/>
      </c>
      <c r="AV23" s="208" t="str">
        <f t="shared" si="26"/>
        <v/>
      </c>
      <c r="AW23" s="206" t="str">
        <f t="shared" si="26"/>
        <v/>
      </c>
      <c r="AX23" s="206" t="str">
        <f t="shared" si="26"/>
        <v/>
      </c>
      <c r="AY23" s="207" t="str">
        <f t="shared" si="26"/>
        <v/>
      </c>
      <c r="AZ23" s="208" t="str">
        <f t="shared" si="26"/>
        <v/>
      </c>
      <c r="BA23" s="206" t="str">
        <f t="shared" si="26"/>
        <v/>
      </c>
      <c r="BB23" s="206" t="str">
        <f t="shared" si="26"/>
        <v/>
      </c>
      <c r="BC23" s="207" t="str">
        <f t="shared" si="23"/>
        <v/>
      </c>
      <c r="BD23" s="208" t="str">
        <f t="shared" si="23"/>
        <v/>
      </c>
      <c r="BE23" s="206" t="str">
        <f t="shared" si="23"/>
        <v/>
      </c>
      <c r="BF23" s="206" t="str">
        <f t="shared" si="23"/>
        <v/>
      </c>
      <c r="BG23" s="207" t="str">
        <f t="shared" si="23"/>
        <v/>
      </c>
      <c r="BH23" s="208" t="str">
        <f t="shared" si="23"/>
        <v/>
      </c>
      <c r="BI23" s="206" t="str">
        <f t="shared" si="23"/>
        <v/>
      </c>
      <c r="BJ23" s="206" t="str">
        <f t="shared" si="23"/>
        <v/>
      </c>
      <c r="BK23" s="207" t="str">
        <f t="shared" si="23"/>
        <v/>
      </c>
      <c r="BL23" s="208" t="str">
        <f t="shared" si="23"/>
        <v/>
      </c>
      <c r="BM23" s="206" t="str">
        <f t="shared" si="23"/>
        <v/>
      </c>
      <c r="BN23" s="206" t="str">
        <f t="shared" si="23"/>
        <v/>
      </c>
      <c r="BO23" s="207" t="str">
        <f t="shared" si="23"/>
        <v/>
      </c>
      <c r="BP23" s="208" t="str">
        <f t="shared" si="27"/>
        <v/>
      </c>
      <c r="BQ23" s="206" t="str">
        <f t="shared" si="27"/>
        <v/>
      </c>
      <c r="BR23" s="206" t="str">
        <f t="shared" si="27"/>
        <v/>
      </c>
      <c r="BS23" s="207" t="str">
        <f t="shared" si="27"/>
        <v/>
      </c>
      <c r="BT23" s="208" t="str">
        <f t="shared" si="27"/>
        <v/>
      </c>
      <c r="BU23" s="206" t="str">
        <f t="shared" si="27"/>
        <v/>
      </c>
      <c r="BV23" s="206" t="str">
        <f t="shared" si="27"/>
        <v/>
      </c>
      <c r="BW23" s="207" t="str">
        <f t="shared" si="27"/>
        <v/>
      </c>
      <c r="BX23" s="208" t="str">
        <f t="shared" si="27"/>
        <v/>
      </c>
      <c r="BY23" s="206" t="str">
        <f t="shared" si="27"/>
        <v/>
      </c>
      <c r="BZ23" s="206" t="str">
        <f t="shared" si="27"/>
        <v/>
      </c>
      <c r="CA23" s="207" t="str">
        <f t="shared" si="27"/>
        <v/>
      </c>
      <c r="CB23" s="208" t="str">
        <f t="shared" si="27"/>
        <v/>
      </c>
      <c r="CC23" s="206" t="str">
        <f t="shared" si="27"/>
        <v/>
      </c>
      <c r="CD23" s="206" t="str">
        <f t="shared" si="27"/>
        <v/>
      </c>
      <c r="CE23" s="207" t="str">
        <f t="shared" si="27"/>
        <v/>
      </c>
    </row>
    <row r="24" spans="1:83" ht="18" customHeight="1">
      <c r="A24" s="22">
        <f>+TABELLA!Q28</f>
        <v>0</v>
      </c>
      <c r="B24" s="22">
        <f>+TABELLA!R28</f>
        <v>0</v>
      </c>
      <c r="C24" s="22">
        <f>+TABELLA!S28</f>
        <v>0</v>
      </c>
      <c r="D24" s="22">
        <f>+TABELLA!T28</f>
        <v>0</v>
      </c>
      <c r="E24" s="22"/>
      <c r="F24" s="26">
        <f>IF(TABELLA!B28="","",TABELLA!B28)</f>
        <v>3</v>
      </c>
      <c r="G24" s="27" t="str">
        <f>IF(TABELLA!C28="","",TABELLA!C28)</f>
        <v>SARTORATO TATIANA</v>
      </c>
      <c r="H24" s="203" t="str">
        <f t="shared" ref="H24:V24" si="29">IF(AND(G$3&gt;=$A24,G$3&lt;$B24),1,IF(AND(G$3&gt;=$C24,G$3&lt;$D24),1,""))</f>
        <v/>
      </c>
      <c r="I24" s="203" t="str">
        <f t="shared" si="29"/>
        <v/>
      </c>
      <c r="J24" s="203" t="str">
        <f t="shared" si="29"/>
        <v/>
      </c>
      <c r="K24" s="204" t="str">
        <f t="shared" si="29"/>
        <v/>
      </c>
      <c r="L24" s="205" t="str">
        <f t="shared" si="29"/>
        <v/>
      </c>
      <c r="M24" s="203" t="str">
        <f t="shared" si="29"/>
        <v/>
      </c>
      <c r="N24" s="203" t="str">
        <f t="shared" si="29"/>
        <v/>
      </c>
      <c r="O24" s="204" t="str">
        <f t="shared" si="29"/>
        <v/>
      </c>
      <c r="P24" s="205" t="str">
        <f t="shared" si="29"/>
        <v/>
      </c>
      <c r="Q24" s="203" t="str">
        <f t="shared" si="29"/>
        <v/>
      </c>
      <c r="R24" s="203" t="str">
        <f t="shared" si="29"/>
        <v/>
      </c>
      <c r="S24" s="204" t="str">
        <f t="shared" si="29"/>
        <v/>
      </c>
      <c r="T24" s="205" t="str">
        <f t="shared" si="29"/>
        <v/>
      </c>
      <c r="U24" s="203" t="str">
        <f t="shared" si="29"/>
        <v/>
      </c>
      <c r="V24" s="203" t="str">
        <f t="shared" si="29"/>
        <v/>
      </c>
      <c r="W24" s="204" t="str">
        <f t="shared" si="25"/>
        <v/>
      </c>
      <c r="X24" s="205" t="str">
        <f t="shared" si="22"/>
        <v/>
      </c>
      <c r="Y24" s="203" t="str">
        <f t="shared" si="22"/>
        <v/>
      </c>
      <c r="Z24" s="203" t="str">
        <f t="shared" si="22"/>
        <v/>
      </c>
      <c r="AA24" s="204" t="str">
        <f t="shared" si="22"/>
        <v/>
      </c>
      <c r="AB24" s="205" t="str">
        <f t="shared" si="22"/>
        <v/>
      </c>
      <c r="AC24" s="203" t="str">
        <f t="shared" si="22"/>
        <v/>
      </c>
      <c r="AD24" s="203" t="str">
        <f t="shared" si="22"/>
        <v/>
      </c>
      <c r="AE24" s="204" t="str">
        <f t="shared" si="22"/>
        <v/>
      </c>
      <c r="AF24" s="205" t="str">
        <f t="shared" si="22"/>
        <v/>
      </c>
      <c r="AG24" s="203" t="str">
        <f t="shared" si="22"/>
        <v/>
      </c>
      <c r="AH24" s="203" t="str">
        <f t="shared" si="22"/>
        <v/>
      </c>
      <c r="AI24" s="204" t="str">
        <f t="shared" si="22"/>
        <v/>
      </c>
      <c r="AJ24" s="205" t="str">
        <f t="shared" si="22"/>
        <v/>
      </c>
      <c r="AK24" s="203" t="str">
        <f t="shared" si="22"/>
        <v/>
      </c>
      <c r="AL24" s="203" t="str">
        <f t="shared" si="22"/>
        <v/>
      </c>
      <c r="AM24" s="204" t="str">
        <f t="shared" si="26"/>
        <v/>
      </c>
      <c r="AN24" s="205" t="str">
        <f t="shared" si="26"/>
        <v/>
      </c>
      <c r="AO24" s="203" t="str">
        <f t="shared" si="26"/>
        <v/>
      </c>
      <c r="AP24" s="203" t="str">
        <f t="shared" si="26"/>
        <v/>
      </c>
      <c r="AQ24" s="204" t="str">
        <f t="shared" si="26"/>
        <v/>
      </c>
      <c r="AR24" s="205" t="str">
        <f t="shared" si="26"/>
        <v/>
      </c>
      <c r="AS24" s="203" t="str">
        <f t="shared" si="26"/>
        <v/>
      </c>
      <c r="AT24" s="203" t="str">
        <f t="shared" si="26"/>
        <v/>
      </c>
      <c r="AU24" s="204" t="str">
        <f t="shared" si="26"/>
        <v/>
      </c>
      <c r="AV24" s="205" t="str">
        <f t="shared" si="26"/>
        <v/>
      </c>
      <c r="AW24" s="203" t="str">
        <f t="shared" si="26"/>
        <v/>
      </c>
      <c r="AX24" s="203" t="str">
        <f t="shared" si="26"/>
        <v/>
      </c>
      <c r="AY24" s="204" t="str">
        <f t="shared" si="26"/>
        <v/>
      </c>
      <c r="AZ24" s="205" t="str">
        <f t="shared" si="26"/>
        <v/>
      </c>
      <c r="BA24" s="203" t="str">
        <f t="shared" si="26"/>
        <v/>
      </c>
      <c r="BB24" s="203" t="str">
        <f t="shared" si="26"/>
        <v/>
      </c>
      <c r="BC24" s="204" t="str">
        <f t="shared" si="23"/>
        <v/>
      </c>
      <c r="BD24" s="205" t="str">
        <f t="shared" si="23"/>
        <v/>
      </c>
      <c r="BE24" s="203" t="str">
        <f t="shared" si="23"/>
        <v/>
      </c>
      <c r="BF24" s="203" t="str">
        <f t="shared" si="23"/>
        <v/>
      </c>
      <c r="BG24" s="204" t="str">
        <f t="shared" si="23"/>
        <v/>
      </c>
      <c r="BH24" s="205" t="str">
        <f t="shared" si="23"/>
        <v/>
      </c>
      <c r="BI24" s="203" t="str">
        <f t="shared" si="23"/>
        <v/>
      </c>
      <c r="BJ24" s="203" t="str">
        <f t="shared" si="23"/>
        <v/>
      </c>
      <c r="BK24" s="204" t="str">
        <f t="shared" si="23"/>
        <v/>
      </c>
      <c r="BL24" s="205" t="str">
        <f t="shared" si="23"/>
        <v/>
      </c>
      <c r="BM24" s="203" t="str">
        <f t="shared" si="23"/>
        <v/>
      </c>
      <c r="BN24" s="203" t="str">
        <f t="shared" si="23"/>
        <v/>
      </c>
      <c r="BO24" s="204" t="str">
        <f t="shared" si="23"/>
        <v/>
      </c>
      <c r="BP24" s="205" t="str">
        <f t="shared" si="27"/>
        <v/>
      </c>
      <c r="BQ24" s="203" t="str">
        <f t="shared" si="27"/>
        <v/>
      </c>
      <c r="BR24" s="203" t="str">
        <f t="shared" si="27"/>
        <v/>
      </c>
      <c r="BS24" s="204" t="str">
        <f t="shared" si="27"/>
        <v/>
      </c>
      <c r="BT24" s="205" t="str">
        <f t="shared" si="27"/>
        <v/>
      </c>
      <c r="BU24" s="203" t="str">
        <f t="shared" si="27"/>
        <v/>
      </c>
      <c r="BV24" s="203" t="str">
        <f t="shared" si="27"/>
        <v/>
      </c>
      <c r="BW24" s="204" t="str">
        <f t="shared" si="27"/>
        <v/>
      </c>
      <c r="BX24" s="205" t="str">
        <f t="shared" si="27"/>
        <v/>
      </c>
      <c r="BY24" s="203" t="str">
        <f t="shared" si="27"/>
        <v/>
      </c>
      <c r="BZ24" s="203" t="str">
        <f t="shared" si="27"/>
        <v/>
      </c>
      <c r="CA24" s="204" t="str">
        <f t="shared" si="27"/>
        <v/>
      </c>
      <c r="CB24" s="205" t="str">
        <f t="shared" si="27"/>
        <v/>
      </c>
      <c r="CC24" s="203" t="str">
        <f t="shared" si="27"/>
        <v/>
      </c>
      <c r="CD24" s="203" t="str">
        <f t="shared" si="27"/>
        <v/>
      </c>
      <c r="CE24" s="204" t="str">
        <f t="shared" si="27"/>
        <v/>
      </c>
    </row>
    <row r="25" spans="1:83" ht="18" customHeight="1">
      <c r="A25" s="22">
        <f>+TABELLA!Q29</f>
        <v>0</v>
      </c>
      <c r="B25" s="22">
        <f>+TABELLA!R29</f>
        <v>0</v>
      </c>
      <c r="C25" s="22">
        <f>+TABELLA!S29</f>
        <v>0</v>
      </c>
      <c r="D25" s="22">
        <f>+TABELLA!T29</f>
        <v>0</v>
      </c>
      <c r="E25" s="22"/>
      <c r="F25" s="41">
        <f>IF(TABELLA!B29="","",TABELLA!B29)</f>
        <v>3</v>
      </c>
      <c r="G25" s="42" t="str">
        <f>IF(TABELLA!C29="","",TABELLA!C29)</f>
        <v>CATALDO MARIKA</v>
      </c>
      <c r="H25" s="206" t="str">
        <f t="shared" ref="H25:V25" si="30">IF(AND(G$3&gt;=$A25,G$3&lt;$B25),1,IF(AND(G$3&gt;=$C25,G$3&lt;$D25),1,""))</f>
        <v/>
      </c>
      <c r="I25" s="206" t="str">
        <f t="shared" si="30"/>
        <v/>
      </c>
      <c r="J25" s="206" t="str">
        <f t="shared" si="30"/>
        <v/>
      </c>
      <c r="K25" s="207" t="str">
        <f t="shared" si="30"/>
        <v/>
      </c>
      <c r="L25" s="208" t="str">
        <f t="shared" si="30"/>
        <v/>
      </c>
      <c r="M25" s="206" t="str">
        <f t="shared" si="30"/>
        <v/>
      </c>
      <c r="N25" s="206" t="str">
        <f t="shared" si="30"/>
        <v/>
      </c>
      <c r="O25" s="207" t="str">
        <f t="shared" si="30"/>
        <v/>
      </c>
      <c r="P25" s="208" t="str">
        <f t="shared" si="30"/>
        <v/>
      </c>
      <c r="Q25" s="206" t="str">
        <f t="shared" si="30"/>
        <v/>
      </c>
      <c r="R25" s="206" t="str">
        <f t="shared" si="30"/>
        <v/>
      </c>
      <c r="S25" s="207" t="str">
        <f t="shared" si="30"/>
        <v/>
      </c>
      <c r="T25" s="208" t="str">
        <f t="shared" si="30"/>
        <v/>
      </c>
      <c r="U25" s="206" t="str">
        <f t="shared" si="30"/>
        <v/>
      </c>
      <c r="V25" s="206" t="str">
        <f t="shared" si="30"/>
        <v/>
      </c>
      <c r="W25" s="207" t="str">
        <f t="shared" si="25"/>
        <v/>
      </c>
      <c r="X25" s="208" t="str">
        <f t="shared" si="22"/>
        <v/>
      </c>
      <c r="Y25" s="206" t="str">
        <f t="shared" si="22"/>
        <v/>
      </c>
      <c r="Z25" s="206" t="str">
        <f t="shared" si="22"/>
        <v/>
      </c>
      <c r="AA25" s="207" t="str">
        <f t="shared" si="22"/>
        <v/>
      </c>
      <c r="AB25" s="208" t="str">
        <f t="shared" si="22"/>
        <v/>
      </c>
      <c r="AC25" s="206" t="str">
        <f t="shared" si="22"/>
        <v/>
      </c>
      <c r="AD25" s="206" t="str">
        <f t="shared" si="22"/>
        <v/>
      </c>
      <c r="AE25" s="207" t="str">
        <f t="shared" si="22"/>
        <v/>
      </c>
      <c r="AF25" s="208" t="str">
        <f t="shared" si="22"/>
        <v/>
      </c>
      <c r="AG25" s="206" t="str">
        <f t="shared" si="22"/>
        <v/>
      </c>
      <c r="AH25" s="206" t="str">
        <f t="shared" si="22"/>
        <v/>
      </c>
      <c r="AI25" s="207" t="str">
        <f t="shared" si="22"/>
        <v/>
      </c>
      <c r="AJ25" s="208" t="str">
        <f t="shared" si="22"/>
        <v/>
      </c>
      <c r="AK25" s="206" t="str">
        <f t="shared" si="22"/>
        <v/>
      </c>
      <c r="AL25" s="206" t="str">
        <f t="shared" si="22"/>
        <v/>
      </c>
      <c r="AM25" s="207" t="str">
        <f t="shared" si="26"/>
        <v/>
      </c>
      <c r="AN25" s="208" t="str">
        <f t="shared" si="26"/>
        <v/>
      </c>
      <c r="AO25" s="206" t="str">
        <f t="shared" si="26"/>
        <v/>
      </c>
      <c r="AP25" s="206" t="str">
        <f t="shared" si="26"/>
        <v/>
      </c>
      <c r="AQ25" s="207" t="str">
        <f t="shared" si="26"/>
        <v/>
      </c>
      <c r="AR25" s="208" t="str">
        <f t="shared" si="26"/>
        <v/>
      </c>
      <c r="AS25" s="206" t="str">
        <f t="shared" si="26"/>
        <v/>
      </c>
      <c r="AT25" s="206" t="str">
        <f t="shared" si="26"/>
        <v/>
      </c>
      <c r="AU25" s="207" t="str">
        <f t="shared" si="26"/>
        <v/>
      </c>
      <c r="AV25" s="208" t="str">
        <f t="shared" si="26"/>
        <v/>
      </c>
      <c r="AW25" s="206" t="str">
        <f t="shared" si="26"/>
        <v/>
      </c>
      <c r="AX25" s="206" t="str">
        <f t="shared" si="26"/>
        <v/>
      </c>
      <c r="AY25" s="207" t="str">
        <f t="shared" si="26"/>
        <v/>
      </c>
      <c r="AZ25" s="208" t="str">
        <f t="shared" si="26"/>
        <v/>
      </c>
      <c r="BA25" s="206" t="str">
        <f t="shared" si="26"/>
        <v/>
      </c>
      <c r="BB25" s="206" t="str">
        <f t="shared" si="26"/>
        <v/>
      </c>
      <c r="BC25" s="207" t="str">
        <f t="shared" si="23"/>
        <v/>
      </c>
      <c r="BD25" s="208" t="str">
        <f t="shared" si="23"/>
        <v/>
      </c>
      <c r="BE25" s="206" t="str">
        <f t="shared" si="23"/>
        <v/>
      </c>
      <c r="BF25" s="206" t="str">
        <f t="shared" si="23"/>
        <v/>
      </c>
      <c r="BG25" s="207" t="str">
        <f t="shared" si="23"/>
        <v/>
      </c>
      <c r="BH25" s="208" t="str">
        <f t="shared" si="23"/>
        <v/>
      </c>
      <c r="BI25" s="206" t="str">
        <f t="shared" si="23"/>
        <v/>
      </c>
      <c r="BJ25" s="206" t="str">
        <f t="shared" si="23"/>
        <v/>
      </c>
      <c r="BK25" s="207" t="str">
        <f t="shared" si="23"/>
        <v/>
      </c>
      <c r="BL25" s="208" t="str">
        <f t="shared" si="23"/>
        <v/>
      </c>
      <c r="BM25" s="206" t="str">
        <f t="shared" si="23"/>
        <v/>
      </c>
      <c r="BN25" s="206" t="str">
        <f t="shared" si="23"/>
        <v/>
      </c>
      <c r="BO25" s="207" t="str">
        <f t="shared" si="23"/>
        <v/>
      </c>
      <c r="BP25" s="208" t="str">
        <f t="shared" si="27"/>
        <v/>
      </c>
      <c r="BQ25" s="206" t="str">
        <f t="shared" si="27"/>
        <v/>
      </c>
      <c r="BR25" s="206" t="str">
        <f t="shared" si="27"/>
        <v/>
      </c>
      <c r="BS25" s="207" t="str">
        <f t="shared" si="27"/>
        <v/>
      </c>
      <c r="BT25" s="208" t="str">
        <f t="shared" si="27"/>
        <v/>
      </c>
      <c r="BU25" s="206" t="str">
        <f t="shared" si="27"/>
        <v/>
      </c>
      <c r="BV25" s="206" t="str">
        <f t="shared" si="27"/>
        <v/>
      </c>
      <c r="BW25" s="207" t="str">
        <f t="shared" si="27"/>
        <v/>
      </c>
      <c r="BX25" s="208" t="str">
        <f t="shared" si="27"/>
        <v/>
      </c>
      <c r="BY25" s="206" t="str">
        <f t="shared" si="27"/>
        <v/>
      </c>
      <c r="BZ25" s="206" t="str">
        <f t="shared" si="27"/>
        <v/>
      </c>
      <c r="CA25" s="207" t="str">
        <f t="shared" si="27"/>
        <v/>
      </c>
      <c r="CB25" s="208" t="str">
        <f t="shared" si="27"/>
        <v/>
      </c>
      <c r="CC25" s="206" t="str">
        <f t="shared" si="27"/>
        <v/>
      </c>
      <c r="CD25" s="206" t="str">
        <f t="shared" si="27"/>
        <v/>
      </c>
      <c r="CE25" s="207" t="str">
        <f t="shared" si="27"/>
        <v/>
      </c>
    </row>
    <row r="26" spans="1:83" ht="18" customHeight="1">
      <c r="A26" s="22">
        <f>+TABELLA!Q30</f>
        <v>0</v>
      </c>
      <c r="B26" s="22">
        <f>+TABELLA!R30</f>
        <v>0</v>
      </c>
      <c r="C26" s="22">
        <f>+TABELLA!S30</f>
        <v>0</v>
      </c>
      <c r="D26" s="22">
        <f>+TABELLA!T30</f>
        <v>0</v>
      </c>
      <c r="E26" s="22"/>
      <c r="F26" s="26">
        <f>IF(TABELLA!B30="","",TABELLA!B30)</f>
        <v>3</v>
      </c>
      <c r="G26" s="27" t="str">
        <f>IF(TABELLA!C30="","",TABELLA!C30)</f>
        <v>ALDARWISH HASSAN</v>
      </c>
      <c r="H26" s="203" t="str">
        <f t="shared" ref="H26:V26" si="31">IF(AND(G$3&gt;=$A26,G$3&lt;$B26),1,IF(AND(G$3&gt;=$C26,G$3&lt;$D26),1,""))</f>
        <v/>
      </c>
      <c r="I26" s="203" t="str">
        <f t="shared" si="31"/>
        <v/>
      </c>
      <c r="J26" s="203" t="str">
        <f t="shared" si="31"/>
        <v/>
      </c>
      <c r="K26" s="204" t="str">
        <f t="shared" si="31"/>
        <v/>
      </c>
      <c r="L26" s="205" t="str">
        <f t="shared" si="31"/>
        <v/>
      </c>
      <c r="M26" s="203" t="str">
        <f t="shared" si="31"/>
        <v/>
      </c>
      <c r="N26" s="203" t="str">
        <f t="shared" si="31"/>
        <v/>
      </c>
      <c r="O26" s="204" t="str">
        <f t="shared" si="31"/>
        <v/>
      </c>
      <c r="P26" s="205" t="str">
        <f t="shared" si="31"/>
        <v/>
      </c>
      <c r="Q26" s="203" t="str">
        <f t="shared" si="31"/>
        <v/>
      </c>
      <c r="R26" s="203" t="str">
        <f t="shared" si="31"/>
        <v/>
      </c>
      <c r="S26" s="204" t="str">
        <f t="shared" si="31"/>
        <v/>
      </c>
      <c r="T26" s="205" t="str">
        <f t="shared" si="31"/>
        <v/>
      </c>
      <c r="U26" s="203" t="str">
        <f t="shared" si="31"/>
        <v/>
      </c>
      <c r="V26" s="203" t="str">
        <f t="shared" si="31"/>
        <v/>
      </c>
      <c r="W26" s="204" t="str">
        <f t="shared" si="25"/>
        <v/>
      </c>
      <c r="X26" s="205" t="str">
        <f t="shared" si="22"/>
        <v/>
      </c>
      <c r="Y26" s="203" t="str">
        <f t="shared" si="22"/>
        <v/>
      </c>
      <c r="Z26" s="203" t="str">
        <f t="shared" si="22"/>
        <v/>
      </c>
      <c r="AA26" s="204" t="str">
        <f t="shared" si="22"/>
        <v/>
      </c>
      <c r="AB26" s="205" t="str">
        <f t="shared" si="22"/>
        <v/>
      </c>
      <c r="AC26" s="203" t="str">
        <f t="shared" si="22"/>
        <v/>
      </c>
      <c r="AD26" s="203" t="str">
        <f t="shared" si="22"/>
        <v/>
      </c>
      <c r="AE26" s="204" t="str">
        <f t="shared" si="22"/>
        <v/>
      </c>
      <c r="AF26" s="205" t="str">
        <f t="shared" si="22"/>
        <v/>
      </c>
      <c r="AG26" s="203" t="str">
        <f t="shared" si="22"/>
        <v/>
      </c>
      <c r="AH26" s="203" t="str">
        <f t="shared" si="22"/>
        <v/>
      </c>
      <c r="AI26" s="204" t="str">
        <f t="shared" si="22"/>
        <v/>
      </c>
      <c r="AJ26" s="205" t="str">
        <f t="shared" si="22"/>
        <v/>
      </c>
      <c r="AK26" s="203" t="str">
        <f t="shared" si="22"/>
        <v/>
      </c>
      <c r="AL26" s="203" t="str">
        <f t="shared" si="22"/>
        <v/>
      </c>
      <c r="AM26" s="204" t="str">
        <f t="shared" si="26"/>
        <v/>
      </c>
      <c r="AN26" s="205" t="str">
        <f t="shared" si="26"/>
        <v/>
      </c>
      <c r="AO26" s="203" t="str">
        <f t="shared" si="26"/>
        <v/>
      </c>
      <c r="AP26" s="203" t="str">
        <f t="shared" si="26"/>
        <v/>
      </c>
      <c r="AQ26" s="204" t="str">
        <f t="shared" si="26"/>
        <v/>
      </c>
      <c r="AR26" s="205" t="str">
        <f t="shared" si="26"/>
        <v/>
      </c>
      <c r="AS26" s="203" t="str">
        <f t="shared" si="26"/>
        <v/>
      </c>
      <c r="AT26" s="203" t="str">
        <f t="shared" si="26"/>
        <v/>
      </c>
      <c r="AU26" s="204" t="str">
        <f t="shared" si="26"/>
        <v/>
      </c>
      <c r="AV26" s="205" t="str">
        <f t="shared" si="26"/>
        <v/>
      </c>
      <c r="AW26" s="203" t="str">
        <f t="shared" si="26"/>
        <v/>
      </c>
      <c r="AX26" s="203" t="str">
        <f t="shared" si="26"/>
        <v/>
      </c>
      <c r="AY26" s="204" t="str">
        <f t="shared" si="26"/>
        <v/>
      </c>
      <c r="AZ26" s="205" t="str">
        <f t="shared" si="26"/>
        <v/>
      </c>
      <c r="BA26" s="203" t="str">
        <f t="shared" si="26"/>
        <v/>
      </c>
      <c r="BB26" s="203" t="str">
        <f t="shared" si="26"/>
        <v/>
      </c>
      <c r="BC26" s="204" t="str">
        <f t="shared" si="23"/>
        <v/>
      </c>
      <c r="BD26" s="205" t="str">
        <f t="shared" si="23"/>
        <v/>
      </c>
      <c r="BE26" s="203" t="str">
        <f t="shared" si="23"/>
        <v/>
      </c>
      <c r="BF26" s="203" t="str">
        <f t="shared" si="23"/>
        <v/>
      </c>
      <c r="BG26" s="204" t="str">
        <f t="shared" si="23"/>
        <v/>
      </c>
      <c r="BH26" s="205" t="str">
        <f t="shared" si="23"/>
        <v/>
      </c>
      <c r="BI26" s="203" t="str">
        <f t="shared" si="23"/>
        <v/>
      </c>
      <c r="BJ26" s="203" t="str">
        <f t="shared" si="23"/>
        <v/>
      </c>
      <c r="BK26" s="204" t="str">
        <f t="shared" si="23"/>
        <v/>
      </c>
      <c r="BL26" s="205" t="str">
        <f t="shared" si="23"/>
        <v/>
      </c>
      <c r="BM26" s="203" t="str">
        <f t="shared" si="23"/>
        <v/>
      </c>
      <c r="BN26" s="203" t="str">
        <f t="shared" si="23"/>
        <v/>
      </c>
      <c r="BO26" s="204" t="str">
        <f t="shared" si="23"/>
        <v/>
      </c>
      <c r="BP26" s="205" t="str">
        <f t="shared" si="27"/>
        <v/>
      </c>
      <c r="BQ26" s="203" t="str">
        <f t="shared" si="27"/>
        <v/>
      </c>
      <c r="BR26" s="203" t="str">
        <f t="shared" si="27"/>
        <v/>
      </c>
      <c r="BS26" s="204" t="str">
        <f t="shared" si="27"/>
        <v/>
      </c>
      <c r="BT26" s="205" t="str">
        <f t="shared" si="27"/>
        <v/>
      </c>
      <c r="BU26" s="203" t="str">
        <f t="shared" si="27"/>
        <v/>
      </c>
      <c r="BV26" s="203" t="str">
        <f t="shared" si="27"/>
        <v/>
      </c>
      <c r="BW26" s="204" t="str">
        <f t="shared" si="27"/>
        <v/>
      </c>
      <c r="BX26" s="205" t="str">
        <f t="shared" si="27"/>
        <v/>
      </c>
      <c r="BY26" s="203" t="str">
        <f t="shared" si="27"/>
        <v/>
      </c>
      <c r="BZ26" s="203" t="str">
        <f t="shared" si="27"/>
        <v/>
      </c>
      <c r="CA26" s="204" t="str">
        <f t="shared" si="27"/>
        <v/>
      </c>
      <c r="CB26" s="205" t="str">
        <f t="shared" si="27"/>
        <v/>
      </c>
      <c r="CC26" s="203" t="str">
        <f t="shared" si="27"/>
        <v/>
      </c>
      <c r="CD26" s="203" t="str">
        <f t="shared" si="27"/>
        <v/>
      </c>
      <c r="CE26" s="204" t="str">
        <f t="shared" si="27"/>
        <v/>
      </c>
    </row>
    <row r="27" spans="1:83" ht="18" customHeight="1">
      <c r="A27" s="22">
        <f>+TABELLA!Q31</f>
        <v>10</v>
      </c>
      <c r="B27" s="22">
        <f>+TABELLA!R31</f>
        <v>15</v>
      </c>
      <c r="C27" s="22">
        <f>+TABELLA!S31</f>
        <v>0</v>
      </c>
      <c r="D27" s="22">
        <f>+TABELLA!T31</f>
        <v>0</v>
      </c>
      <c r="E27" s="22"/>
      <c r="F27" s="41" t="str">
        <f>IF(TABELLA!B31="","",TABELLA!B31)</f>
        <v/>
      </c>
      <c r="G27" s="42" t="str">
        <f>IF(TABELLA!C31="","",TABELLA!C31)</f>
        <v/>
      </c>
      <c r="H27" s="206" t="str">
        <f t="shared" ref="H27:V27" si="32">IF(AND(G$3&gt;=$A27,G$3&lt;$B27),1,IF(AND(G$3&gt;=$C27,G$3&lt;$D27),1,""))</f>
        <v/>
      </c>
      <c r="I27" s="206" t="str">
        <f t="shared" si="32"/>
        <v/>
      </c>
      <c r="J27" s="206" t="str">
        <f t="shared" si="32"/>
        <v/>
      </c>
      <c r="K27" s="207" t="str">
        <f t="shared" si="32"/>
        <v/>
      </c>
      <c r="L27" s="208" t="str">
        <f t="shared" si="32"/>
        <v/>
      </c>
      <c r="M27" s="206" t="str">
        <f t="shared" si="32"/>
        <v/>
      </c>
      <c r="N27" s="206" t="str">
        <f t="shared" si="32"/>
        <v/>
      </c>
      <c r="O27" s="207" t="str">
        <f t="shared" si="32"/>
        <v/>
      </c>
      <c r="P27" s="208" t="str">
        <f t="shared" si="32"/>
        <v/>
      </c>
      <c r="Q27" s="206" t="str">
        <f t="shared" si="32"/>
        <v/>
      </c>
      <c r="R27" s="206" t="str">
        <f t="shared" si="32"/>
        <v/>
      </c>
      <c r="S27" s="207" t="str">
        <f t="shared" si="32"/>
        <v/>
      </c>
      <c r="T27" s="208" t="str">
        <f t="shared" si="32"/>
        <v/>
      </c>
      <c r="U27" s="206" t="str">
        <f t="shared" si="32"/>
        <v/>
      </c>
      <c r="V27" s="206" t="str">
        <f t="shared" si="32"/>
        <v/>
      </c>
      <c r="W27" s="207" t="str">
        <f t="shared" si="25"/>
        <v/>
      </c>
      <c r="X27" s="208" t="str">
        <f t="shared" si="22"/>
        <v/>
      </c>
      <c r="Y27" s="206" t="str">
        <f t="shared" si="22"/>
        <v/>
      </c>
      <c r="Z27" s="206" t="str">
        <f t="shared" si="22"/>
        <v/>
      </c>
      <c r="AA27" s="207" t="str">
        <f t="shared" si="22"/>
        <v/>
      </c>
      <c r="AB27" s="208">
        <f t="shared" si="22"/>
        <v>1</v>
      </c>
      <c r="AC27" s="206">
        <f t="shared" si="22"/>
        <v>1</v>
      </c>
      <c r="AD27" s="206">
        <f t="shared" si="22"/>
        <v>1</v>
      </c>
      <c r="AE27" s="207">
        <f t="shared" si="22"/>
        <v>1</v>
      </c>
      <c r="AF27" s="208">
        <f t="shared" si="22"/>
        <v>1</v>
      </c>
      <c r="AG27" s="206">
        <f t="shared" si="22"/>
        <v>1</v>
      </c>
      <c r="AH27" s="206">
        <f t="shared" si="22"/>
        <v>1</v>
      </c>
      <c r="AI27" s="207">
        <f t="shared" si="22"/>
        <v>1</v>
      </c>
      <c r="AJ27" s="208">
        <f t="shared" si="22"/>
        <v>1</v>
      </c>
      <c r="AK27" s="206">
        <f t="shared" si="22"/>
        <v>1</v>
      </c>
      <c r="AL27" s="206">
        <f t="shared" si="22"/>
        <v>1</v>
      </c>
      <c r="AM27" s="207">
        <f t="shared" si="26"/>
        <v>1</v>
      </c>
      <c r="AN27" s="208">
        <f t="shared" si="26"/>
        <v>1</v>
      </c>
      <c r="AO27" s="206">
        <f t="shared" si="26"/>
        <v>1</v>
      </c>
      <c r="AP27" s="206">
        <f t="shared" si="26"/>
        <v>1</v>
      </c>
      <c r="AQ27" s="207">
        <f t="shared" si="26"/>
        <v>1</v>
      </c>
      <c r="AR27" s="208">
        <f t="shared" si="26"/>
        <v>1</v>
      </c>
      <c r="AS27" s="206">
        <f t="shared" si="26"/>
        <v>1</v>
      </c>
      <c r="AT27" s="206">
        <f t="shared" si="26"/>
        <v>1</v>
      </c>
      <c r="AU27" s="207">
        <f t="shared" si="26"/>
        <v>1</v>
      </c>
      <c r="AV27" s="208" t="str">
        <f t="shared" si="26"/>
        <v/>
      </c>
      <c r="AW27" s="206" t="str">
        <f t="shared" si="26"/>
        <v/>
      </c>
      <c r="AX27" s="206" t="str">
        <f t="shared" si="26"/>
        <v/>
      </c>
      <c r="AY27" s="207" t="str">
        <f t="shared" si="26"/>
        <v/>
      </c>
      <c r="AZ27" s="208" t="str">
        <f t="shared" si="26"/>
        <v/>
      </c>
      <c r="BA27" s="206" t="str">
        <f t="shared" si="26"/>
        <v/>
      </c>
      <c r="BB27" s="206" t="str">
        <f t="shared" si="26"/>
        <v/>
      </c>
      <c r="BC27" s="207" t="str">
        <f t="shared" si="23"/>
        <v/>
      </c>
      <c r="BD27" s="208" t="str">
        <f t="shared" si="23"/>
        <v/>
      </c>
      <c r="BE27" s="206" t="str">
        <f t="shared" si="23"/>
        <v/>
      </c>
      <c r="BF27" s="206" t="str">
        <f t="shared" si="23"/>
        <v/>
      </c>
      <c r="BG27" s="207" t="str">
        <f t="shared" si="23"/>
        <v/>
      </c>
      <c r="BH27" s="208" t="str">
        <f t="shared" si="23"/>
        <v/>
      </c>
      <c r="BI27" s="206" t="str">
        <f t="shared" si="23"/>
        <v/>
      </c>
      <c r="BJ27" s="206" t="str">
        <f t="shared" si="23"/>
        <v/>
      </c>
      <c r="BK27" s="207" t="str">
        <f t="shared" si="23"/>
        <v/>
      </c>
      <c r="BL27" s="208" t="str">
        <f t="shared" si="23"/>
        <v/>
      </c>
      <c r="BM27" s="206" t="str">
        <f t="shared" si="23"/>
        <v/>
      </c>
      <c r="BN27" s="206" t="str">
        <f t="shared" si="23"/>
        <v/>
      </c>
      <c r="BO27" s="207" t="str">
        <f t="shared" si="23"/>
        <v/>
      </c>
      <c r="BP27" s="208" t="str">
        <f t="shared" si="27"/>
        <v/>
      </c>
      <c r="BQ27" s="206" t="str">
        <f t="shared" si="27"/>
        <v/>
      </c>
      <c r="BR27" s="206" t="str">
        <f t="shared" si="27"/>
        <v/>
      </c>
      <c r="BS27" s="207" t="str">
        <f t="shared" si="27"/>
        <v/>
      </c>
      <c r="BT27" s="208" t="str">
        <f t="shared" si="27"/>
        <v/>
      </c>
      <c r="BU27" s="206" t="str">
        <f t="shared" si="27"/>
        <v/>
      </c>
      <c r="BV27" s="206" t="str">
        <f t="shared" si="27"/>
        <v/>
      </c>
      <c r="BW27" s="207" t="str">
        <f t="shared" si="27"/>
        <v/>
      </c>
      <c r="BX27" s="208" t="str">
        <f t="shared" si="27"/>
        <v/>
      </c>
      <c r="BY27" s="206" t="str">
        <f t="shared" si="27"/>
        <v/>
      </c>
      <c r="BZ27" s="206" t="str">
        <f t="shared" si="27"/>
        <v/>
      </c>
      <c r="CA27" s="207" t="str">
        <f t="shared" si="27"/>
        <v/>
      </c>
      <c r="CB27" s="208" t="str">
        <f t="shared" si="27"/>
        <v/>
      </c>
      <c r="CC27" s="206" t="str">
        <f t="shared" si="27"/>
        <v/>
      </c>
      <c r="CD27" s="206" t="str">
        <f t="shared" si="27"/>
        <v/>
      </c>
      <c r="CE27" s="207" t="str">
        <f t="shared" si="27"/>
        <v/>
      </c>
    </row>
    <row r="28" spans="1:83" ht="18" customHeight="1">
      <c r="A28" s="22">
        <f>+TABELLA!Q32</f>
        <v>0</v>
      </c>
      <c r="B28" s="22">
        <f>+TABELLA!R32</f>
        <v>0</v>
      </c>
      <c r="C28" s="22">
        <f>+TABELLA!S32</f>
        <v>0</v>
      </c>
      <c r="D28" s="22">
        <f>+TABELLA!T32</f>
        <v>0</v>
      </c>
      <c r="E28" s="22"/>
      <c r="F28" s="26">
        <f>IF(TABELLA!B32="","",TABELLA!B32)</f>
        <v>2</v>
      </c>
      <c r="G28" s="27" t="str">
        <f>IF(TABELLA!C32="","",TABELLA!C32)</f>
        <v/>
      </c>
      <c r="H28" s="203" t="str">
        <f t="shared" ref="H28:V28" si="33">IF(AND(G$3&gt;=$A28,G$3&lt;$B28),1,IF(AND(G$3&gt;=$C28,G$3&lt;$D28),1,""))</f>
        <v/>
      </c>
      <c r="I28" s="203" t="str">
        <f t="shared" si="33"/>
        <v/>
      </c>
      <c r="J28" s="203" t="str">
        <f t="shared" si="33"/>
        <v/>
      </c>
      <c r="K28" s="204" t="str">
        <f t="shared" si="33"/>
        <v/>
      </c>
      <c r="L28" s="205" t="str">
        <f t="shared" si="33"/>
        <v/>
      </c>
      <c r="M28" s="203" t="str">
        <f t="shared" si="33"/>
        <v/>
      </c>
      <c r="N28" s="203" t="str">
        <f t="shared" si="33"/>
        <v/>
      </c>
      <c r="O28" s="204" t="str">
        <f t="shared" si="33"/>
        <v/>
      </c>
      <c r="P28" s="205" t="str">
        <f t="shared" si="33"/>
        <v/>
      </c>
      <c r="Q28" s="203" t="str">
        <f t="shared" si="33"/>
        <v/>
      </c>
      <c r="R28" s="203" t="str">
        <f t="shared" si="33"/>
        <v/>
      </c>
      <c r="S28" s="204" t="str">
        <f t="shared" si="33"/>
        <v/>
      </c>
      <c r="T28" s="205" t="str">
        <f t="shared" si="33"/>
        <v/>
      </c>
      <c r="U28" s="203" t="str">
        <f t="shared" si="33"/>
        <v/>
      </c>
      <c r="V28" s="203" t="str">
        <f t="shared" si="33"/>
        <v/>
      </c>
      <c r="W28" s="204" t="str">
        <f t="shared" si="25"/>
        <v/>
      </c>
      <c r="X28" s="205" t="str">
        <f t="shared" si="22"/>
        <v/>
      </c>
      <c r="Y28" s="203" t="str">
        <f t="shared" si="22"/>
        <v/>
      </c>
      <c r="Z28" s="203" t="str">
        <f t="shared" si="22"/>
        <v/>
      </c>
      <c r="AA28" s="204" t="str">
        <f t="shared" si="22"/>
        <v/>
      </c>
      <c r="AB28" s="205" t="str">
        <f t="shared" si="22"/>
        <v/>
      </c>
      <c r="AC28" s="203" t="str">
        <f t="shared" si="22"/>
        <v/>
      </c>
      <c r="AD28" s="203" t="str">
        <f t="shared" si="22"/>
        <v/>
      </c>
      <c r="AE28" s="204" t="str">
        <f t="shared" si="22"/>
        <v/>
      </c>
      <c r="AF28" s="205" t="str">
        <f t="shared" si="22"/>
        <v/>
      </c>
      <c r="AG28" s="203" t="str">
        <f t="shared" si="22"/>
        <v/>
      </c>
      <c r="AH28" s="203" t="str">
        <f t="shared" si="22"/>
        <v/>
      </c>
      <c r="AI28" s="204" t="str">
        <f t="shared" si="22"/>
        <v/>
      </c>
      <c r="AJ28" s="205" t="str">
        <f t="shared" si="22"/>
        <v/>
      </c>
      <c r="AK28" s="203" t="str">
        <f t="shared" si="22"/>
        <v/>
      </c>
      <c r="AL28" s="203" t="str">
        <f t="shared" si="22"/>
        <v/>
      </c>
      <c r="AM28" s="204" t="str">
        <f t="shared" si="26"/>
        <v/>
      </c>
      <c r="AN28" s="205" t="str">
        <f t="shared" si="26"/>
        <v/>
      </c>
      <c r="AO28" s="203" t="str">
        <f t="shared" si="26"/>
        <v/>
      </c>
      <c r="AP28" s="203" t="str">
        <f t="shared" si="26"/>
        <v/>
      </c>
      <c r="AQ28" s="204" t="str">
        <f t="shared" si="26"/>
        <v/>
      </c>
      <c r="AR28" s="205" t="str">
        <f t="shared" si="26"/>
        <v/>
      </c>
      <c r="AS28" s="203" t="str">
        <f t="shared" si="26"/>
        <v/>
      </c>
      <c r="AT28" s="203" t="str">
        <f t="shared" si="26"/>
        <v/>
      </c>
      <c r="AU28" s="204" t="str">
        <f t="shared" si="26"/>
        <v/>
      </c>
      <c r="AV28" s="205" t="str">
        <f t="shared" si="26"/>
        <v/>
      </c>
      <c r="AW28" s="203" t="str">
        <f t="shared" si="26"/>
        <v/>
      </c>
      <c r="AX28" s="203" t="str">
        <f t="shared" si="26"/>
        <v/>
      </c>
      <c r="AY28" s="204" t="str">
        <f t="shared" si="26"/>
        <v/>
      </c>
      <c r="AZ28" s="205" t="str">
        <f t="shared" si="26"/>
        <v/>
      </c>
      <c r="BA28" s="203" t="str">
        <f t="shared" si="26"/>
        <v/>
      </c>
      <c r="BB28" s="203" t="str">
        <f t="shared" si="26"/>
        <v/>
      </c>
      <c r="BC28" s="204" t="str">
        <f t="shared" si="23"/>
        <v/>
      </c>
      <c r="BD28" s="205" t="str">
        <f t="shared" si="23"/>
        <v/>
      </c>
      <c r="BE28" s="203" t="str">
        <f t="shared" si="23"/>
        <v/>
      </c>
      <c r="BF28" s="203" t="str">
        <f t="shared" si="23"/>
        <v/>
      </c>
      <c r="BG28" s="204" t="str">
        <f t="shared" si="23"/>
        <v/>
      </c>
      <c r="BH28" s="205" t="str">
        <f t="shared" si="23"/>
        <v/>
      </c>
      <c r="BI28" s="203" t="str">
        <f t="shared" si="23"/>
        <v/>
      </c>
      <c r="BJ28" s="203" t="str">
        <f t="shared" si="23"/>
        <v/>
      </c>
      <c r="BK28" s="204" t="str">
        <f t="shared" si="23"/>
        <v/>
      </c>
      <c r="BL28" s="205" t="str">
        <f t="shared" si="23"/>
        <v/>
      </c>
      <c r="BM28" s="203" t="str">
        <f t="shared" si="23"/>
        <v/>
      </c>
      <c r="BN28" s="203" t="str">
        <f t="shared" si="23"/>
        <v/>
      </c>
      <c r="BO28" s="204" t="str">
        <f t="shared" si="23"/>
        <v/>
      </c>
      <c r="BP28" s="205" t="str">
        <f t="shared" si="27"/>
        <v/>
      </c>
      <c r="BQ28" s="203" t="str">
        <f t="shared" si="27"/>
        <v/>
      </c>
      <c r="BR28" s="203" t="str">
        <f t="shared" si="27"/>
        <v/>
      </c>
      <c r="BS28" s="204" t="str">
        <f t="shared" si="27"/>
        <v/>
      </c>
      <c r="BT28" s="205" t="str">
        <f t="shared" si="27"/>
        <v/>
      </c>
      <c r="BU28" s="203" t="str">
        <f t="shared" si="27"/>
        <v/>
      </c>
      <c r="BV28" s="203" t="str">
        <f t="shared" si="27"/>
        <v/>
      </c>
      <c r="BW28" s="204" t="str">
        <f t="shared" si="27"/>
        <v/>
      </c>
      <c r="BX28" s="205" t="str">
        <f t="shared" si="27"/>
        <v/>
      </c>
      <c r="BY28" s="203" t="str">
        <f t="shared" si="27"/>
        <v/>
      </c>
      <c r="BZ28" s="203" t="str">
        <f t="shared" si="27"/>
        <v/>
      </c>
      <c r="CA28" s="204" t="str">
        <f t="shared" si="27"/>
        <v/>
      </c>
      <c r="CB28" s="205" t="str">
        <f t="shared" si="27"/>
        <v/>
      </c>
      <c r="CC28" s="203" t="str">
        <f t="shared" si="27"/>
        <v/>
      </c>
      <c r="CD28" s="203" t="str">
        <f t="shared" si="27"/>
        <v/>
      </c>
      <c r="CE28" s="204" t="str">
        <f t="shared" si="27"/>
        <v/>
      </c>
    </row>
    <row r="29" spans="1:83" ht="18" customHeight="1">
      <c r="A29" s="22">
        <f>+TABELLA!Q33</f>
        <v>0</v>
      </c>
      <c r="B29" s="22">
        <f>+TABELLA!R33</f>
        <v>0</v>
      </c>
      <c r="C29" s="22">
        <f>+TABELLA!S33</f>
        <v>0</v>
      </c>
      <c r="D29" s="22">
        <f>+TABELLA!T33</f>
        <v>0</v>
      </c>
      <c r="E29" s="22"/>
      <c r="F29" s="41" t="str">
        <f>IF(TABELLA!B33="","",TABELLA!B33)</f>
        <v/>
      </c>
      <c r="G29" s="42" t="str">
        <f>IF(TABELLA!C33="","",TABELLA!C33)</f>
        <v/>
      </c>
      <c r="H29" s="206" t="str">
        <f t="shared" ref="H29:V29" si="34">IF(AND(G$3&gt;=$A29,G$3&lt;$B29),1,IF(AND(G$3&gt;=$C29,G$3&lt;$D29),1,""))</f>
        <v/>
      </c>
      <c r="I29" s="206" t="str">
        <f t="shared" si="34"/>
        <v/>
      </c>
      <c r="J29" s="206" t="str">
        <f t="shared" si="34"/>
        <v/>
      </c>
      <c r="K29" s="207" t="str">
        <f t="shared" si="34"/>
        <v/>
      </c>
      <c r="L29" s="208" t="str">
        <f t="shared" si="34"/>
        <v/>
      </c>
      <c r="M29" s="206" t="str">
        <f t="shared" si="34"/>
        <v/>
      </c>
      <c r="N29" s="206" t="str">
        <f t="shared" si="34"/>
        <v/>
      </c>
      <c r="O29" s="207" t="str">
        <f t="shared" si="34"/>
        <v/>
      </c>
      <c r="P29" s="208" t="str">
        <f t="shared" si="34"/>
        <v/>
      </c>
      <c r="Q29" s="206" t="str">
        <f t="shared" si="34"/>
        <v/>
      </c>
      <c r="R29" s="206" t="str">
        <f t="shared" si="34"/>
        <v/>
      </c>
      <c r="S29" s="207" t="str">
        <f t="shared" si="34"/>
        <v/>
      </c>
      <c r="T29" s="208" t="str">
        <f t="shared" si="34"/>
        <v/>
      </c>
      <c r="U29" s="206" t="str">
        <f t="shared" si="34"/>
        <v/>
      </c>
      <c r="V29" s="206" t="str">
        <f t="shared" si="34"/>
        <v/>
      </c>
      <c r="W29" s="207" t="str">
        <f t="shared" si="25"/>
        <v/>
      </c>
      <c r="X29" s="208" t="str">
        <f t="shared" si="22"/>
        <v/>
      </c>
      <c r="Y29" s="206" t="str">
        <f t="shared" si="22"/>
        <v/>
      </c>
      <c r="Z29" s="206" t="str">
        <f t="shared" si="22"/>
        <v/>
      </c>
      <c r="AA29" s="207" t="str">
        <f t="shared" si="22"/>
        <v/>
      </c>
      <c r="AB29" s="208" t="str">
        <f t="shared" si="22"/>
        <v/>
      </c>
      <c r="AC29" s="206" t="str">
        <f t="shared" si="22"/>
        <v/>
      </c>
      <c r="AD29" s="206" t="str">
        <f t="shared" si="22"/>
        <v/>
      </c>
      <c r="AE29" s="207" t="str">
        <f t="shared" si="22"/>
        <v/>
      </c>
      <c r="AF29" s="208" t="str">
        <f t="shared" si="22"/>
        <v/>
      </c>
      <c r="AG29" s="206" t="str">
        <f t="shared" si="22"/>
        <v/>
      </c>
      <c r="AH29" s="206" t="str">
        <f t="shared" si="22"/>
        <v/>
      </c>
      <c r="AI29" s="207" t="str">
        <f t="shared" si="22"/>
        <v/>
      </c>
      <c r="AJ29" s="208" t="str">
        <f t="shared" si="22"/>
        <v/>
      </c>
      <c r="AK29" s="206" t="str">
        <f t="shared" si="22"/>
        <v/>
      </c>
      <c r="AL29" s="206" t="str">
        <f t="shared" si="22"/>
        <v/>
      </c>
      <c r="AM29" s="207" t="str">
        <f t="shared" si="26"/>
        <v/>
      </c>
      <c r="AN29" s="208" t="str">
        <f t="shared" si="26"/>
        <v/>
      </c>
      <c r="AO29" s="206" t="str">
        <f t="shared" si="26"/>
        <v/>
      </c>
      <c r="AP29" s="206" t="str">
        <f t="shared" si="26"/>
        <v/>
      </c>
      <c r="AQ29" s="207" t="str">
        <f t="shared" si="26"/>
        <v/>
      </c>
      <c r="AR29" s="208" t="str">
        <f t="shared" si="26"/>
        <v/>
      </c>
      <c r="AS29" s="206" t="str">
        <f t="shared" si="26"/>
        <v/>
      </c>
      <c r="AT29" s="206" t="str">
        <f t="shared" si="26"/>
        <v/>
      </c>
      <c r="AU29" s="207" t="str">
        <f t="shared" si="26"/>
        <v/>
      </c>
      <c r="AV29" s="208" t="str">
        <f t="shared" si="26"/>
        <v/>
      </c>
      <c r="AW29" s="206" t="str">
        <f t="shared" si="26"/>
        <v/>
      </c>
      <c r="AX29" s="206" t="str">
        <f t="shared" si="26"/>
        <v/>
      </c>
      <c r="AY29" s="207" t="str">
        <f t="shared" si="26"/>
        <v/>
      </c>
      <c r="AZ29" s="208" t="str">
        <f t="shared" si="26"/>
        <v/>
      </c>
      <c r="BA29" s="206" t="str">
        <f t="shared" si="26"/>
        <v/>
      </c>
      <c r="BB29" s="206" t="str">
        <f t="shared" si="26"/>
        <v/>
      </c>
      <c r="BC29" s="207" t="str">
        <f t="shared" si="23"/>
        <v/>
      </c>
      <c r="BD29" s="208" t="str">
        <f t="shared" si="23"/>
        <v/>
      </c>
      <c r="BE29" s="206" t="str">
        <f t="shared" si="23"/>
        <v/>
      </c>
      <c r="BF29" s="206" t="str">
        <f t="shared" si="23"/>
        <v/>
      </c>
      <c r="BG29" s="207" t="str">
        <f t="shared" si="23"/>
        <v/>
      </c>
      <c r="BH29" s="208" t="str">
        <f t="shared" si="23"/>
        <v/>
      </c>
      <c r="BI29" s="206" t="str">
        <f t="shared" si="23"/>
        <v/>
      </c>
      <c r="BJ29" s="206" t="str">
        <f t="shared" si="23"/>
        <v/>
      </c>
      <c r="BK29" s="207" t="str">
        <f t="shared" si="23"/>
        <v/>
      </c>
      <c r="BL29" s="208" t="str">
        <f t="shared" si="23"/>
        <v/>
      </c>
      <c r="BM29" s="206" t="str">
        <f t="shared" si="23"/>
        <v/>
      </c>
      <c r="BN29" s="206" t="str">
        <f t="shared" si="23"/>
        <v/>
      </c>
      <c r="BO29" s="207" t="str">
        <f t="shared" si="23"/>
        <v/>
      </c>
      <c r="BP29" s="208" t="str">
        <f t="shared" si="27"/>
        <v/>
      </c>
      <c r="BQ29" s="206" t="str">
        <f t="shared" si="27"/>
        <v/>
      </c>
      <c r="BR29" s="206" t="str">
        <f t="shared" si="27"/>
        <v/>
      </c>
      <c r="BS29" s="207" t="str">
        <f t="shared" si="27"/>
        <v/>
      </c>
      <c r="BT29" s="208" t="str">
        <f t="shared" si="27"/>
        <v/>
      </c>
      <c r="BU29" s="206" t="str">
        <f t="shared" si="27"/>
        <v/>
      </c>
      <c r="BV29" s="206" t="str">
        <f t="shared" si="27"/>
        <v/>
      </c>
      <c r="BW29" s="207" t="str">
        <f t="shared" si="27"/>
        <v/>
      </c>
      <c r="BX29" s="208" t="str">
        <f t="shared" si="27"/>
        <v/>
      </c>
      <c r="BY29" s="206" t="str">
        <f t="shared" si="27"/>
        <v/>
      </c>
      <c r="BZ29" s="206" t="str">
        <f t="shared" si="27"/>
        <v/>
      </c>
      <c r="CA29" s="207" t="str">
        <f t="shared" si="27"/>
        <v/>
      </c>
      <c r="CB29" s="208" t="str">
        <f t="shared" si="27"/>
        <v/>
      </c>
      <c r="CC29" s="206" t="str">
        <f t="shared" si="27"/>
        <v/>
      </c>
      <c r="CD29" s="206" t="str">
        <f t="shared" si="27"/>
        <v/>
      </c>
      <c r="CE29" s="207" t="str">
        <f t="shared" si="27"/>
        <v/>
      </c>
    </row>
    <row r="30" spans="1:83" ht="18" customHeight="1">
      <c r="A30" s="22">
        <f>+TABELLA!Q34</f>
        <v>0</v>
      </c>
      <c r="B30" s="22">
        <f>+TABELLA!R34</f>
        <v>0</v>
      </c>
      <c r="C30" s="22">
        <f>+TABELLA!S34</f>
        <v>0</v>
      </c>
      <c r="D30" s="22">
        <f>+TABELLA!T34</f>
        <v>0</v>
      </c>
      <c r="E30" s="22"/>
      <c r="F30" s="26">
        <f>IF(TABELLA!B34="","",TABELLA!B34)</f>
        <v>8</v>
      </c>
      <c r="G30" s="27" t="str">
        <f>IF(TABELLA!C34="","",TABELLA!C34)</f>
        <v>VALENTINI TAMARA</v>
      </c>
      <c r="H30" s="203" t="str">
        <f t="shared" ref="H30:V30" si="35">IF(AND(G$3&gt;=$A30,G$3&lt;$B30),1,IF(AND(G$3&gt;=$C30,G$3&lt;$D30),1,""))</f>
        <v/>
      </c>
      <c r="I30" s="203" t="str">
        <f t="shared" si="35"/>
        <v/>
      </c>
      <c r="J30" s="203" t="str">
        <f t="shared" si="35"/>
        <v/>
      </c>
      <c r="K30" s="204" t="str">
        <f t="shared" si="35"/>
        <v/>
      </c>
      <c r="L30" s="205" t="str">
        <f t="shared" si="35"/>
        <v/>
      </c>
      <c r="M30" s="203" t="str">
        <f t="shared" si="35"/>
        <v/>
      </c>
      <c r="N30" s="203" t="str">
        <f t="shared" si="35"/>
        <v/>
      </c>
      <c r="O30" s="204" t="str">
        <f t="shared" si="35"/>
        <v/>
      </c>
      <c r="P30" s="205" t="str">
        <f t="shared" si="35"/>
        <v/>
      </c>
      <c r="Q30" s="203" t="str">
        <f t="shared" si="35"/>
        <v/>
      </c>
      <c r="R30" s="203" t="str">
        <f t="shared" si="35"/>
        <v/>
      </c>
      <c r="S30" s="204" t="str">
        <f t="shared" si="35"/>
        <v/>
      </c>
      <c r="T30" s="205" t="str">
        <f t="shared" si="35"/>
        <v/>
      </c>
      <c r="U30" s="203" t="str">
        <f t="shared" si="35"/>
        <v/>
      </c>
      <c r="V30" s="203" t="str">
        <f t="shared" si="35"/>
        <v/>
      </c>
      <c r="W30" s="204" t="str">
        <f t="shared" si="25"/>
        <v/>
      </c>
      <c r="X30" s="205" t="str">
        <f t="shared" si="22"/>
        <v/>
      </c>
      <c r="Y30" s="203" t="str">
        <f t="shared" si="22"/>
        <v/>
      </c>
      <c r="Z30" s="203" t="str">
        <f t="shared" si="22"/>
        <v/>
      </c>
      <c r="AA30" s="204" t="str">
        <f t="shared" si="22"/>
        <v/>
      </c>
      <c r="AB30" s="205" t="str">
        <f t="shared" si="22"/>
        <v/>
      </c>
      <c r="AC30" s="203" t="str">
        <f t="shared" si="22"/>
        <v/>
      </c>
      <c r="AD30" s="203" t="str">
        <f t="shared" si="22"/>
        <v/>
      </c>
      <c r="AE30" s="204" t="str">
        <f t="shared" si="22"/>
        <v/>
      </c>
      <c r="AF30" s="205" t="str">
        <f t="shared" si="22"/>
        <v/>
      </c>
      <c r="AG30" s="203" t="str">
        <f t="shared" si="22"/>
        <v/>
      </c>
      <c r="AH30" s="203" t="str">
        <f t="shared" si="22"/>
        <v/>
      </c>
      <c r="AI30" s="204" t="str">
        <f t="shared" si="22"/>
        <v/>
      </c>
      <c r="AJ30" s="205" t="str">
        <f t="shared" si="22"/>
        <v/>
      </c>
      <c r="AK30" s="203" t="str">
        <f t="shared" si="22"/>
        <v/>
      </c>
      <c r="AL30" s="203" t="str">
        <f t="shared" si="22"/>
        <v/>
      </c>
      <c r="AM30" s="204" t="str">
        <f t="shared" si="26"/>
        <v/>
      </c>
      <c r="AN30" s="205" t="str">
        <f t="shared" si="26"/>
        <v/>
      </c>
      <c r="AO30" s="203" t="str">
        <f t="shared" si="26"/>
        <v/>
      </c>
      <c r="AP30" s="203" t="str">
        <f t="shared" si="26"/>
        <v/>
      </c>
      <c r="AQ30" s="204" t="str">
        <f t="shared" si="26"/>
        <v/>
      </c>
      <c r="AR30" s="205" t="str">
        <f t="shared" si="26"/>
        <v/>
      </c>
      <c r="AS30" s="203" t="str">
        <f t="shared" si="26"/>
        <v/>
      </c>
      <c r="AT30" s="203" t="str">
        <f t="shared" si="26"/>
        <v/>
      </c>
      <c r="AU30" s="204" t="str">
        <f t="shared" si="26"/>
        <v/>
      </c>
      <c r="AV30" s="205" t="str">
        <f t="shared" si="26"/>
        <v/>
      </c>
      <c r="AW30" s="203" t="str">
        <f t="shared" si="26"/>
        <v/>
      </c>
      <c r="AX30" s="203" t="str">
        <f t="shared" si="26"/>
        <v/>
      </c>
      <c r="AY30" s="204" t="str">
        <f t="shared" si="26"/>
        <v/>
      </c>
      <c r="AZ30" s="205" t="str">
        <f t="shared" si="26"/>
        <v/>
      </c>
      <c r="BA30" s="203" t="str">
        <f t="shared" si="26"/>
        <v/>
      </c>
      <c r="BB30" s="203" t="str">
        <f t="shared" si="26"/>
        <v/>
      </c>
      <c r="BC30" s="204" t="str">
        <f t="shared" si="23"/>
        <v/>
      </c>
      <c r="BD30" s="205" t="str">
        <f t="shared" si="23"/>
        <v/>
      </c>
      <c r="BE30" s="203" t="str">
        <f t="shared" si="23"/>
        <v/>
      </c>
      <c r="BF30" s="203" t="str">
        <f t="shared" si="23"/>
        <v/>
      </c>
      <c r="BG30" s="204" t="str">
        <f t="shared" si="23"/>
        <v/>
      </c>
      <c r="BH30" s="205" t="str">
        <f t="shared" si="23"/>
        <v/>
      </c>
      <c r="BI30" s="203" t="str">
        <f t="shared" si="23"/>
        <v/>
      </c>
      <c r="BJ30" s="203" t="str">
        <f t="shared" si="23"/>
        <v/>
      </c>
      <c r="BK30" s="204" t="str">
        <f t="shared" si="23"/>
        <v/>
      </c>
      <c r="BL30" s="205" t="str">
        <f t="shared" si="23"/>
        <v/>
      </c>
      <c r="BM30" s="203" t="str">
        <f t="shared" si="23"/>
        <v/>
      </c>
      <c r="BN30" s="203" t="str">
        <f t="shared" si="23"/>
        <v/>
      </c>
      <c r="BO30" s="204" t="str">
        <f t="shared" si="23"/>
        <v/>
      </c>
      <c r="BP30" s="205" t="str">
        <f t="shared" si="27"/>
        <v/>
      </c>
      <c r="BQ30" s="203" t="str">
        <f t="shared" si="27"/>
        <v/>
      </c>
      <c r="BR30" s="203" t="str">
        <f t="shared" si="27"/>
        <v/>
      </c>
      <c r="BS30" s="204" t="str">
        <f t="shared" si="27"/>
        <v/>
      </c>
      <c r="BT30" s="205" t="str">
        <f t="shared" si="27"/>
        <v/>
      </c>
      <c r="BU30" s="203" t="str">
        <f t="shared" si="27"/>
        <v/>
      </c>
      <c r="BV30" s="203" t="str">
        <f t="shared" si="27"/>
        <v/>
      </c>
      <c r="BW30" s="204" t="str">
        <f t="shared" si="27"/>
        <v/>
      </c>
      <c r="BX30" s="205" t="str">
        <f t="shared" si="27"/>
        <v/>
      </c>
      <c r="BY30" s="203" t="str">
        <f t="shared" si="27"/>
        <v/>
      </c>
      <c r="BZ30" s="203" t="str">
        <f t="shared" si="27"/>
        <v/>
      </c>
      <c r="CA30" s="204" t="str">
        <f t="shared" si="27"/>
        <v/>
      </c>
      <c r="CB30" s="205" t="str">
        <f t="shared" si="27"/>
        <v/>
      </c>
      <c r="CC30" s="203" t="str">
        <f t="shared" si="27"/>
        <v/>
      </c>
      <c r="CD30" s="203" t="str">
        <f t="shared" si="27"/>
        <v/>
      </c>
      <c r="CE30" s="204" t="str">
        <f t="shared" si="27"/>
        <v/>
      </c>
    </row>
    <row r="31" spans="1:83" ht="18" customHeight="1">
      <c r="A31" s="22">
        <f>+TABELLA!Q35</f>
        <v>0</v>
      </c>
      <c r="B31" s="22">
        <f>+TABELLA!R35</f>
        <v>0</v>
      </c>
      <c r="C31" s="22">
        <f>+TABELLA!S35</f>
        <v>0</v>
      </c>
      <c r="D31" s="22">
        <f>+TABELLA!T35</f>
        <v>0</v>
      </c>
      <c r="E31" s="22"/>
      <c r="F31" s="41" t="str">
        <f>IF(TABELLA!B35="","",TABELLA!B35)</f>
        <v/>
      </c>
      <c r="G31" s="42" t="str">
        <f>IF(TABELLA!C35="","",TABELLA!C35)</f>
        <v/>
      </c>
      <c r="H31" s="206" t="str">
        <f t="shared" ref="H31:V31" si="36">IF(AND(G$3&gt;=$A31,G$3&lt;$B31),1,IF(AND(G$3&gt;=$C31,G$3&lt;$D31),1,""))</f>
        <v/>
      </c>
      <c r="I31" s="206" t="str">
        <f t="shared" si="36"/>
        <v/>
      </c>
      <c r="J31" s="206" t="str">
        <f t="shared" si="36"/>
        <v/>
      </c>
      <c r="K31" s="207" t="str">
        <f t="shared" si="36"/>
        <v/>
      </c>
      <c r="L31" s="208" t="str">
        <f t="shared" si="36"/>
        <v/>
      </c>
      <c r="M31" s="206" t="str">
        <f t="shared" si="36"/>
        <v/>
      </c>
      <c r="N31" s="206" t="str">
        <f t="shared" si="36"/>
        <v/>
      </c>
      <c r="O31" s="207" t="str">
        <f t="shared" si="36"/>
        <v/>
      </c>
      <c r="P31" s="208" t="str">
        <f t="shared" si="36"/>
        <v/>
      </c>
      <c r="Q31" s="206" t="str">
        <f t="shared" si="36"/>
        <v/>
      </c>
      <c r="R31" s="206" t="str">
        <f t="shared" si="36"/>
        <v/>
      </c>
      <c r="S31" s="207" t="str">
        <f t="shared" si="36"/>
        <v/>
      </c>
      <c r="T31" s="208" t="str">
        <f t="shared" si="36"/>
        <v/>
      </c>
      <c r="U31" s="206" t="str">
        <f t="shared" si="36"/>
        <v/>
      </c>
      <c r="V31" s="206" t="str">
        <f t="shared" si="36"/>
        <v/>
      </c>
      <c r="W31" s="207" t="str">
        <f t="shared" si="25"/>
        <v/>
      </c>
      <c r="X31" s="208" t="str">
        <f t="shared" si="22"/>
        <v/>
      </c>
      <c r="Y31" s="206" t="str">
        <f t="shared" si="22"/>
        <v/>
      </c>
      <c r="Z31" s="206" t="str">
        <f t="shared" si="22"/>
        <v/>
      </c>
      <c r="AA31" s="207" t="str">
        <f t="shared" si="22"/>
        <v/>
      </c>
      <c r="AB31" s="208" t="str">
        <f t="shared" si="22"/>
        <v/>
      </c>
      <c r="AC31" s="206" t="str">
        <f t="shared" si="22"/>
        <v/>
      </c>
      <c r="AD31" s="206" t="str">
        <f t="shared" si="22"/>
        <v/>
      </c>
      <c r="AE31" s="207" t="str">
        <f t="shared" si="22"/>
        <v/>
      </c>
      <c r="AF31" s="208" t="str">
        <f t="shared" si="22"/>
        <v/>
      </c>
      <c r="AG31" s="206" t="str">
        <f t="shared" si="22"/>
        <v/>
      </c>
      <c r="AH31" s="206" t="str">
        <f t="shared" si="22"/>
        <v/>
      </c>
      <c r="AI31" s="207" t="str">
        <f t="shared" si="22"/>
        <v/>
      </c>
      <c r="AJ31" s="208" t="str">
        <f t="shared" si="22"/>
        <v/>
      </c>
      <c r="AK31" s="206" t="str">
        <f t="shared" si="22"/>
        <v/>
      </c>
      <c r="AL31" s="206" t="str">
        <f t="shared" si="22"/>
        <v/>
      </c>
      <c r="AM31" s="207" t="str">
        <f t="shared" si="26"/>
        <v/>
      </c>
      <c r="AN31" s="208" t="str">
        <f t="shared" si="26"/>
        <v/>
      </c>
      <c r="AO31" s="206" t="str">
        <f t="shared" si="26"/>
        <v/>
      </c>
      <c r="AP31" s="206" t="str">
        <f t="shared" si="26"/>
        <v/>
      </c>
      <c r="AQ31" s="207" t="str">
        <f t="shared" si="26"/>
        <v/>
      </c>
      <c r="AR31" s="208" t="str">
        <f t="shared" si="26"/>
        <v/>
      </c>
      <c r="AS31" s="206" t="str">
        <f t="shared" si="26"/>
        <v/>
      </c>
      <c r="AT31" s="206" t="str">
        <f t="shared" si="26"/>
        <v/>
      </c>
      <c r="AU31" s="207" t="str">
        <f t="shared" si="26"/>
        <v/>
      </c>
      <c r="AV31" s="208" t="str">
        <f t="shared" si="26"/>
        <v/>
      </c>
      <c r="AW31" s="206" t="str">
        <f t="shared" si="26"/>
        <v/>
      </c>
      <c r="AX31" s="206" t="str">
        <f t="shared" si="26"/>
        <v/>
      </c>
      <c r="AY31" s="207" t="str">
        <f t="shared" si="26"/>
        <v/>
      </c>
      <c r="AZ31" s="208" t="str">
        <f t="shared" si="26"/>
        <v/>
      </c>
      <c r="BA31" s="206" t="str">
        <f t="shared" si="26"/>
        <v/>
      </c>
      <c r="BB31" s="206" t="str">
        <f t="shared" si="26"/>
        <v/>
      </c>
      <c r="BC31" s="207" t="str">
        <f t="shared" si="23"/>
        <v/>
      </c>
      <c r="BD31" s="208" t="str">
        <f t="shared" si="23"/>
        <v/>
      </c>
      <c r="BE31" s="206" t="str">
        <f t="shared" si="23"/>
        <v/>
      </c>
      <c r="BF31" s="206" t="str">
        <f t="shared" si="23"/>
        <v/>
      </c>
      <c r="BG31" s="207" t="str">
        <f t="shared" si="23"/>
        <v/>
      </c>
      <c r="BH31" s="208" t="str">
        <f t="shared" si="23"/>
        <v/>
      </c>
      <c r="BI31" s="206" t="str">
        <f t="shared" si="23"/>
        <v/>
      </c>
      <c r="BJ31" s="206" t="str">
        <f t="shared" si="23"/>
        <v/>
      </c>
      <c r="BK31" s="207" t="str">
        <f t="shared" si="23"/>
        <v/>
      </c>
      <c r="BL31" s="208" t="str">
        <f t="shared" si="23"/>
        <v/>
      </c>
      <c r="BM31" s="206" t="str">
        <f t="shared" si="23"/>
        <v/>
      </c>
      <c r="BN31" s="206" t="str">
        <f t="shared" si="23"/>
        <v/>
      </c>
      <c r="BO31" s="207" t="str">
        <f t="shared" si="23"/>
        <v/>
      </c>
      <c r="BP31" s="208" t="str">
        <f t="shared" si="27"/>
        <v/>
      </c>
      <c r="BQ31" s="206" t="str">
        <f t="shared" si="27"/>
        <v/>
      </c>
      <c r="BR31" s="206" t="str">
        <f t="shared" si="27"/>
        <v/>
      </c>
      <c r="BS31" s="207" t="str">
        <f t="shared" si="27"/>
        <v/>
      </c>
      <c r="BT31" s="208" t="str">
        <f t="shared" si="27"/>
        <v/>
      </c>
      <c r="BU31" s="206" t="str">
        <f t="shared" si="27"/>
        <v/>
      </c>
      <c r="BV31" s="206" t="str">
        <f t="shared" si="27"/>
        <v/>
      </c>
      <c r="BW31" s="207" t="str">
        <f t="shared" si="27"/>
        <v/>
      </c>
      <c r="BX31" s="208" t="str">
        <f t="shared" si="27"/>
        <v/>
      </c>
      <c r="BY31" s="206" t="str">
        <f t="shared" si="27"/>
        <v/>
      </c>
      <c r="BZ31" s="206" t="str">
        <f t="shared" si="27"/>
        <v/>
      </c>
      <c r="CA31" s="207" t="str">
        <f t="shared" si="27"/>
        <v/>
      </c>
      <c r="CB31" s="208" t="str">
        <f t="shared" si="27"/>
        <v/>
      </c>
      <c r="CC31" s="206" t="str">
        <f t="shared" si="27"/>
        <v/>
      </c>
      <c r="CD31" s="206" t="str">
        <f t="shared" si="27"/>
        <v/>
      </c>
      <c r="CE31" s="207" t="str">
        <f t="shared" si="27"/>
        <v/>
      </c>
    </row>
    <row r="32" spans="1:83" ht="18" customHeight="1">
      <c r="A32" s="22">
        <f>+TABELLA!Q36</f>
        <v>0</v>
      </c>
      <c r="B32" s="22">
        <f>+TABELLA!R36</f>
        <v>0</v>
      </c>
      <c r="C32" s="22">
        <f>+TABELLA!S36</f>
        <v>0</v>
      </c>
      <c r="D32" s="22">
        <f>+TABELLA!T36</f>
        <v>0</v>
      </c>
      <c r="E32" s="22"/>
      <c r="F32" s="26" t="str">
        <f>IF(TABELLA!B36="","",TABELLA!B36)</f>
        <v/>
      </c>
      <c r="G32" s="27" t="str">
        <f>IF(TABELLA!C36="","",TABELLA!C36)</f>
        <v/>
      </c>
      <c r="H32" s="203" t="str">
        <f t="shared" ref="H32:V32" si="37">IF(AND(G$3&gt;=$A32,G$3&lt;$B32),1,IF(AND(G$3&gt;=$C32,G$3&lt;$D32),1,""))</f>
        <v/>
      </c>
      <c r="I32" s="203" t="str">
        <f t="shared" si="37"/>
        <v/>
      </c>
      <c r="J32" s="203" t="str">
        <f t="shared" si="37"/>
        <v/>
      </c>
      <c r="K32" s="204" t="str">
        <f t="shared" si="37"/>
        <v/>
      </c>
      <c r="L32" s="205" t="str">
        <f t="shared" si="37"/>
        <v/>
      </c>
      <c r="M32" s="203" t="str">
        <f t="shared" si="37"/>
        <v/>
      </c>
      <c r="N32" s="203" t="str">
        <f t="shared" si="37"/>
        <v/>
      </c>
      <c r="O32" s="204" t="str">
        <f t="shared" si="37"/>
        <v/>
      </c>
      <c r="P32" s="205" t="str">
        <f t="shared" si="37"/>
        <v/>
      </c>
      <c r="Q32" s="203" t="str">
        <f t="shared" si="37"/>
        <v/>
      </c>
      <c r="R32" s="203" t="str">
        <f t="shared" si="37"/>
        <v/>
      </c>
      <c r="S32" s="204" t="str">
        <f t="shared" si="37"/>
        <v/>
      </c>
      <c r="T32" s="205" t="str">
        <f t="shared" si="37"/>
        <v/>
      </c>
      <c r="U32" s="203" t="str">
        <f t="shared" si="37"/>
        <v/>
      </c>
      <c r="V32" s="203" t="str">
        <f t="shared" si="37"/>
        <v/>
      </c>
      <c r="W32" s="204" t="str">
        <f t="shared" si="25"/>
        <v/>
      </c>
      <c r="X32" s="205" t="str">
        <f t="shared" si="22"/>
        <v/>
      </c>
      <c r="Y32" s="203" t="str">
        <f t="shared" si="22"/>
        <v/>
      </c>
      <c r="Z32" s="203" t="str">
        <f t="shared" si="22"/>
        <v/>
      </c>
      <c r="AA32" s="204" t="str">
        <f t="shared" si="22"/>
        <v/>
      </c>
      <c r="AB32" s="205" t="str">
        <f t="shared" si="22"/>
        <v/>
      </c>
      <c r="AC32" s="203" t="str">
        <f t="shared" si="22"/>
        <v/>
      </c>
      <c r="AD32" s="203" t="str">
        <f t="shared" si="22"/>
        <v/>
      </c>
      <c r="AE32" s="204" t="str">
        <f t="shared" si="22"/>
        <v/>
      </c>
      <c r="AF32" s="205" t="str">
        <f t="shared" si="22"/>
        <v/>
      </c>
      <c r="AG32" s="203" t="str">
        <f t="shared" si="22"/>
        <v/>
      </c>
      <c r="AH32" s="203" t="str">
        <f t="shared" si="22"/>
        <v/>
      </c>
      <c r="AI32" s="204" t="str">
        <f t="shared" si="22"/>
        <v/>
      </c>
      <c r="AJ32" s="205" t="str">
        <f t="shared" si="22"/>
        <v/>
      </c>
      <c r="AK32" s="203" t="str">
        <f t="shared" si="22"/>
        <v/>
      </c>
      <c r="AL32" s="203" t="str">
        <f t="shared" si="22"/>
        <v/>
      </c>
      <c r="AM32" s="204" t="str">
        <f t="shared" si="26"/>
        <v/>
      </c>
      <c r="AN32" s="205" t="str">
        <f t="shared" si="26"/>
        <v/>
      </c>
      <c r="AO32" s="203" t="str">
        <f t="shared" si="26"/>
        <v/>
      </c>
      <c r="AP32" s="203" t="str">
        <f t="shared" si="26"/>
        <v/>
      </c>
      <c r="AQ32" s="204" t="str">
        <f t="shared" si="26"/>
        <v/>
      </c>
      <c r="AR32" s="205" t="str">
        <f t="shared" si="26"/>
        <v/>
      </c>
      <c r="AS32" s="203" t="str">
        <f t="shared" si="26"/>
        <v/>
      </c>
      <c r="AT32" s="203" t="str">
        <f t="shared" si="26"/>
        <v/>
      </c>
      <c r="AU32" s="204" t="str">
        <f t="shared" si="26"/>
        <v/>
      </c>
      <c r="AV32" s="205" t="str">
        <f t="shared" si="26"/>
        <v/>
      </c>
      <c r="AW32" s="203" t="str">
        <f t="shared" si="26"/>
        <v/>
      </c>
      <c r="AX32" s="203" t="str">
        <f t="shared" si="26"/>
        <v/>
      </c>
      <c r="AY32" s="204" t="str">
        <f t="shared" si="26"/>
        <v/>
      </c>
      <c r="AZ32" s="205" t="str">
        <f t="shared" si="26"/>
        <v/>
      </c>
      <c r="BA32" s="203" t="str">
        <f t="shared" si="26"/>
        <v/>
      </c>
      <c r="BB32" s="203" t="str">
        <f t="shared" si="26"/>
        <v/>
      </c>
      <c r="BC32" s="204" t="str">
        <f t="shared" si="23"/>
        <v/>
      </c>
      <c r="BD32" s="205" t="str">
        <f t="shared" si="23"/>
        <v/>
      </c>
      <c r="BE32" s="203" t="str">
        <f t="shared" si="23"/>
        <v/>
      </c>
      <c r="BF32" s="203" t="str">
        <f t="shared" si="23"/>
        <v/>
      </c>
      <c r="BG32" s="204" t="str">
        <f t="shared" si="23"/>
        <v/>
      </c>
      <c r="BH32" s="205" t="str">
        <f t="shared" si="23"/>
        <v/>
      </c>
      <c r="BI32" s="203" t="str">
        <f t="shared" si="23"/>
        <v/>
      </c>
      <c r="BJ32" s="203" t="str">
        <f t="shared" si="23"/>
        <v/>
      </c>
      <c r="BK32" s="204" t="str">
        <f t="shared" si="23"/>
        <v/>
      </c>
      <c r="BL32" s="205" t="str">
        <f t="shared" si="23"/>
        <v/>
      </c>
      <c r="BM32" s="203" t="str">
        <f t="shared" si="23"/>
        <v/>
      </c>
      <c r="BN32" s="203" t="str">
        <f t="shared" si="23"/>
        <v/>
      </c>
      <c r="BO32" s="204" t="str">
        <f t="shared" si="23"/>
        <v/>
      </c>
      <c r="BP32" s="205" t="str">
        <f t="shared" si="27"/>
        <v/>
      </c>
      <c r="BQ32" s="203" t="str">
        <f t="shared" si="27"/>
        <v/>
      </c>
      <c r="BR32" s="203" t="str">
        <f t="shared" si="27"/>
        <v/>
      </c>
      <c r="BS32" s="204" t="str">
        <f t="shared" si="27"/>
        <v/>
      </c>
      <c r="BT32" s="205" t="str">
        <f t="shared" si="27"/>
        <v/>
      </c>
      <c r="BU32" s="203" t="str">
        <f t="shared" si="27"/>
        <v/>
      </c>
      <c r="BV32" s="203" t="str">
        <f t="shared" si="27"/>
        <v/>
      </c>
      <c r="BW32" s="204" t="str">
        <f t="shared" si="27"/>
        <v/>
      </c>
      <c r="BX32" s="205" t="str">
        <f t="shared" si="27"/>
        <v/>
      </c>
      <c r="BY32" s="203" t="str">
        <f t="shared" si="27"/>
        <v/>
      </c>
      <c r="BZ32" s="203" t="str">
        <f t="shared" si="27"/>
        <v/>
      </c>
      <c r="CA32" s="204" t="str">
        <f t="shared" si="27"/>
        <v/>
      </c>
      <c r="CB32" s="205" t="str">
        <f t="shared" si="27"/>
        <v/>
      </c>
      <c r="CC32" s="203" t="str">
        <f t="shared" si="27"/>
        <v/>
      </c>
      <c r="CD32" s="203" t="str">
        <f t="shared" si="27"/>
        <v/>
      </c>
      <c r="CE32" s="204" t="str">
        <f t="shared" si="27"/>
        <v/>
      </c>
    </row>
    <row r="33" spans="1:87" ht="18" customHeight="1">
      <c r="A33" s="22">
        <f>+TABELLA!Q37</f>
        <v>0</v>
      </c>
      <c r="B33" s="22">
        <f>+TABELLA!R37</f>
        <v>0</v>
      </c>
      <c r="C33" s="22">
        <f>+TABELLA!S37</f>
        <v>0</v>
      </c>
      <c r="D33" s="22">
        <f>+TABELLA!T37</f>
        <v>0</v>
      </c>
      <c r="E33" s="22"/>
      <c r="F33" s="41">
        <f>IF(TABELLA!B37="","",TABELLA!B37)</f>
        <v>4</v>
      </c>
      <c r="G33" s="42" t="str">
        <f>IF(TABELLA!C37="","",TABELLA!C37)</f>
        <v/>
      </c>
      <c r="H33" s="206" t="str">
        <f t="shared" ref="H33:V33" si="38">IF(AND(G$3&gt;=$A33,G$3&lt;$B33),1,IF(AND(G$3&gt;=$C33,G$3&lt;$D33),1,""))</f>
        <v/>
      </c>
      <c r="I33" s="206" t="str">
        <f t="shared" si="38"/>
        <v/>
      </c>
      <c r="J33" s="206" t="str">
        <f t="shared" si="38"/>
        <v/>
      </c>
      <c r="K33" s="207" t="str">
        <f t="shared" si="38"/>
        <v/>
      </c>
      <c r="L33" s="208" t="str">
        <f t="shared" si="38"/>
        <v/>
      </c>
      <c r="M33" s="206" t="str">
        <f t="shared" si="38"/>
        <v/>
      </c>
      <c r="N33" s="206" t="str">
        <f t="shared" si="38"/>
        <v/>
      </c>
      <c r="O33" s="207" t="str">
        <f t="shared" si="38"/>
        <v/>
      </c>
      <c r="P33" s="208" t="str">
        <f t="shared" si="38"/>
        <v/>
      </c>
      <c r="Q33" s="206" t="str">
        <f t="shared" si="38"/>
        <v/>
      </c>
      <c r="R33" s="206" t="str">
        <f t="shared" si="38"/>
        <v/>
      </c>
      <c r="S33" s="207" t="str">
        <f t="shared" si="38"/>
        <v/>
      </c>
      <c r="T33" s="208" t="str">
        <f t="shared" si="38"/>
        <v/>
      </c>
      <c r="U33" s="206" t="str">
        <f t="shared" si="38"/>
        <v/>
      </c>
      <c r="V33" s="206" t="str">
        <f t="shared" si="38"/>
        <v/>
      </c>
      <c r="W33" s="207" t="str">
        <f t="shared" si="25"/>
        <v/>
      </c>
      <c r="X33" s="208" t="str">
        <f t="shared" si="22"/>
        <v/>
      </c>
      <c r="Y33" s="206" t="str">
        <f t="shared" si="22"/>
        <v/>
      </c>
      <c r="Z33" s="206" t="str">
        <f t="shared" si="22"/>
        <v/>
      </c>
      <c r="AA33" s="207" t="str">
        <f t="shared" si="22"/>
        <v/>
      </c>
      <c r="AB33" s="208" t="str">
        <f t="shared" si="22"/>
        <v/>
      </c>
      <c r="AC33" s="206" t="str">
        <f t="shared" si="22"/>
        <v/>
      </c>
      <c r="AD33" s="206" t="str">
        <f t="shared" si="22"/>
        <v/>
      </c>
      <c r="AE33" s="207" t="str">
        <f t="shared" si="22"/>
        <v/>
      </c>
      <c r="AF33" s="208" t="str">
        <f t="shared" si="22"/>
        <v/>
      </c>
      <c r="AG33" s="206" t="str">
        <f t="shared" si="22"/>
        <v/>
      </c>
      <c r="AH33" s="206" t="str">
        <f t="shared" si="22"/>
        <v/>
      </c>
      <c r="AI33" s="207" t="str">
        <f t="shared" si="22"/>
        <v/>
      </c>
      <c r="AJ33" s="208" t="str">
        <f t="shared" si="22"/>
        <v/>
      </c>
      <c r="AK33" s="206" t="str">
        <f t="shared" si="22"/>
        <v/>
      </c>
      <c r="AL33" s="206" t="str">
        <f t="shared" si="22"/>
        <v/>
      </c>
      <c r="AM33" s="207" t="str">
        <f t="shared" si="26"/>
        <v/>
      </c>
      <c r="AN33" s="208" t="str">
        <f t="shared" si="26"/>
        <v/>
      </c>
      <c r="AO33" s="206" t="str">
        <f t="shared" si="26"/>
        <v/>
      </c>
      <c r="AP33" s="206" t="str">
        <f t="shared" si="26"/>
        <v/>
      </c>
      <c r="AQ33" s="207" t="str">
        <f t="shared" si="26"/>
        <v/>
      </c>
      <c r="AR33" s="208" t="str">
        <f t="shared" si="26"/>
        <v/>
      </c>
      <c r="AS33" s="206" t="str">
        <f t="shared" si="26"/>
        <v/>
      </c>
      <c r="AT33" s="206" t="str">
        <f t="shared" si="26"/>
        <v/>
      </c>
      <c r="AU33" s="207" t="str">
        <f t="shared" si="26"/>
        <v/>
      </c>
      <c r="AV33" s="208" t="str">
        <f t="shared" si="26"/>
        <v/>
      </c>
      <c r="AW33" s="206" t="str">
        <f t="shared" si="26"/>
        <v/>
      </c>
      <c r="AX33" s="206" t="str">
        <f t="shared" si="26"/>
        <v/>
      </c>
      <c r="AY33" s="207" t="str">
        <f t="shared" si="26"/>
        <v/>
      </c>
      <c r="AZ33" s="208" t="str">
        <f t="shared" si="26"/>
        <v/>
      </c>
      <c r="BA33" s="206" t="str">
        <f t="shared" si="26"/>
        <v/>
      </c>
      <c r="BB33" s="206" t="str">
        <f t="shared" si="26"/>
        <v/>
      </c>
      <c r="BC33" s="207" t="str">
        <f t="shared" si="23"/>
        <v/>
      </c>
      <c r="BD33" s="208" t="str">
        <f t="shared" si="23"/>
        <v/>
      </c>
      <c r="BE33" s="206" t="str">
        <f t="shared" si="23"/>
        <v/>
      </c>
      <c r="BF33" s="206" t="str">
        <f t="shared" si="23"/>
        <v/>
      </c>
      <c r="BG33" s="207" t="str">
        <f t="shared" si="23"/>
        <v/>
      </c>
      <c r="BH33" s="208" t="str">
        <f t="shared" si="23"/>
        <v/>
      </c>
      <c r="BI33" s="206" t="str">
        <f t="shared" si="23"/>
        <v/>
      </c>
      <c r="BJ33" s="206" t="str">
        <f t="shared" si="23"/>
        <v/>
      </c>
      <c r="BK33" s="207" t="str">
        <f t="shared" si="23"/>
        <v/>
      </c>
      <c r="BL33" s="208" t="str">
        <f t="shared" si="23"/>
        <v/>
      </c>
      <c r="BM33" s="206" t="str">
        <f t="shared" si="23"/>
        <v/>
      </c>
      <c r="BN33" s="206" t="str">
        <f t="shared" si="23"/>
        <v/>
      </c>
      <c r="BO33" s="207" t="str">
        <f t="shared" si="23"/>
        <v/>
      </c>
      <c r="BP33" s="208" t="str">
        <f t="shared" si="27"/>
        <v/>
      </c>
      <c r="BQ33" s="206" t="str">
        <f t="shared" si="27"/>
        <v/>
      </c>
      <c r="BR33" s="206" t="str">
        <f t="shared" si="27"/>
        <v/>
      </c>
      <c r="BS33" s="207" t="str">
        <f t="shared" si="27"/>
        <v/>
      </c>
      <c r="BT33" s="208" t="str">
        <f t="shared" si="27"/>
        <v/>
      </c>
      <c r="BU33" s="206" t="str">
        <f t="shared" si="27"/>
        <v/>
      </c>
      <c r="BV33" s="206" t="str">
        <f t="shared" si="27"/>
        <v/>
      </c>
      <c r="BW33" s="207" t="str">
        <f t="shared" si="27"/>
        <v/>
      </c>
      <c r="BX33" s="208" t="str">
        <f t="shared" si="27"/>
        <v/>
      </c>
      <c r="BY33" s="206" t="str">
        <f t="shared" si="27"/>
        <v/>
      </c>
      <c r="BZ33" s="206" t="str">
        <f t="shared" si="27"/>
        <v/>
      </c>
      <c r="CA33" s="207" t="str">
        <f t="shared" si="27"/>
        <v/>
      </c>
      <c r="CB33" s="208" t="str">
        <f t="shared" si="27"/>
        <v/>
      </c>
      <c r="CC33" s="206" t="str">
        <f t="shared" si="27"/>
        <v/>
      </c>
      <c r="CD33" s="206" t="str">
        <f t="shared" si="27"/>
        <v/>
      </c>
      <c r="CE33" s="207" t="str">
        <f t="shared" si="27"/>
        <v/>
      </c>
    </row>
    <row r="34" spans="1:87" ht="18" customHeight="1">
      <c r="A34" s="22">
        <f>+TABELLA!Q38</f>
        <v>0</v>
      </c>
      <c r="B34" s="22">
        <f>+TABELLA!R38</f>
        <v>0</v>
      </c>
      <c r="C34" s="22">
        <f>+TABELLA!S38</f>
        <v>0</v>
      </c>
      <c r="D34" s="22">
        <f>+TABELLA!T38</f>
        <v>0</v>
      </c>
      <c r="E34" s="22"/>
      <c r="F34" s="26">
        <f>IF(TABELLA!B38="","",TABELLA!B38)</f>
        <v>4</v>
      </c>
      <c r="G34" s="27" t="str">
        <f>IF(TABELLA!C38="","",TABELLA!C38)</f>
        <v>GREGGIO MONICA</v>
      </c>
      <c r="H34" s="203" t="str">
        <f t="shared" ref="H34:V34" si="39">IF(AND(G$3&gt;=$A34,G$3&lt;$B34),1,IF(AND(G$3&gt;=$C34,G$3&lt;$D34),1,""))</f>
        <v/>
      </c>
      <c r="I34" s="203" t="str">
        <f t="shared" si="39"/>
        <v/>
      </c>
      <c r="J34" s="203" t="str">
        <f t="shared" si="39"/>
        <v/>
      </c>
      <c r="K34" s="204" t="str">
        <f t="shared" si="39"/>
        <v/>
      </c>
      <c r="L34" s="205" t="str">
        <f t="shared" si="39"/>
        <v/>
      </c>
      <c r="M34" s="203" t="str">
        <f t="shared" si="39"/>
        <v/>
      </c>
      <c r="N34" s="203" t="str">
        <f t="shared" si="39"/>
        <v/>
      </c>
      <c r="O34" s="204" t="str">
        <f t="shared" si="39"/>
        <v/>
      </c>
      <c r="P34" s="205" t="str">
        <f t="shared" si="39"/>
        <v/>
      </c>
      <c r="Q34" s="203" t="str">
        <f t="shared" si="39"/>
        <v/>
      </c>
      <c r="R34" s="203" t="str">
        <f t="shared" si="39"/>
        <v/>
      </c>
      <c r="S34" s="204" t="str">
        <f t="shared" si="39"/>
        <v/>
      </c>
      <c r="T34" s="205" t="str">
        <f t="shared" si="39"/>
        <v/>
      </c>
      <c r="U34" s="203" t="str">
        <f t="shared" si="39"/>
        <v/>
      </c>
      <c r="V34" s="203" t="str">
        <f t="shared" si="39"/>
        <v/>
      </c>
      <c r="W34" s="204" t="str">
        <f t="shared" si="25"/>
        <v/>
      </c>
      <c r="X34" s="205" t="str">
        <f t="shared" si="22"/>
        <v/>
      </c>
      <c r="Y34" s="203" t="str">
        <f t="shared" si="22"/>
        <v/>
      </c>
      <c r="Z34" s="203" t="str">
        <f t="shared" si="22"/>
        <v/>
      </c>
      <c r="AA34" s="204" t="str">
        <f t="shared" si="22"/>
        <v/>
      </c>
      <c r="AB34" s="205" t="str">
        <f t="shared" si="22"/>
        <v/>
      </c>
      <c r="AC34" s="203" t="str">
        <f t="shared" si="22"/>
        <v/>
      </c>
      <c r="AD34" s="203" t="str">
        <f t="shared" si="22"/>
        <v/>
      </c>
      <c r="AE34" s="204" t="str">
        <f t="shared" si="22"/>
        <v/>
      </c>
      <c r="AF34" s="205" t="str">
        <f t="shared" si="22"/>
        <v/>
      </c>
      <c r="AG34" s="203" t="str">
        <f t="shared" si="22"/>
        <v/>
      </c>
      <c r="AH34" s="203" t="str">
        <f t="shared" si="22"/>
        <v/>
      </c>
      <c r="AI34" s="204" t="str">
        <f t="shared" si="22"/>
        <v/>
      </c>
      <c r="AJ34" s="205" t="str">
        <f t="shared" si="22"/>
        <v/>
      </c>
      <c r="AK34" s="203" t="str">
        <f t="shared" si="22"/>
        <v/>
      </c>
      <c r="AL34" s="203" t="str">
        <f t="shared" si="22"/>
        <v/>
      </c>
      <c r="AM34" s="204" t="str">
        <f t="shared" si="26"/>
        <v/>
      </c>
      <c r="AN34" s="205" t="str">
        <f t="shared" si="26"/>
        <v/>
      </c>
      <c r="AO34" s="203" t="str">
        <f t="shared" si="26"/>
        <v/>
      </c>
      <c r="AP34" s="203" t="str">
        <f t="shared" si="26"/>
        <v/>
      </c>
      <c r="AQ34" s="204" t="str">
        <f t="shared" si="26"/>
        <v/>
      </c>
      <c r="AR34" s="205" t="str">
        <f t="shared" si="26"/>
        <v/>
      </c>
      <c r="AS34" s="203" t="str">
        <f t="shared" si="26"/>
        <v/>
      </c>
      <c r="AT34" s="203" t="str">
        <f t="shared" si="26"/>
        <v/>
      </c>
      <c r="AU34" s="204" t="str">
        <f t="shared" si="26"/>
        <v/>
      </c>
      <c r="AV34" s="205" t="str">
        <f t="shared" si="26"/>
        <v/>
      </c>
      <c r="AW34" s="203" t="str">
        <f t="shared" si="26"/>
        <v/>
      </c>
      <c r="AX34" s="203" t="str">
        <f t="shared" si="26"/>
        <v/>
      </c>
      <c r="AY34" s="204" t="str">
        <f t="shared" si="26"/>
        <v/>
      </c>
      <c r="AZ34" s="205" t="str">
        <f t="shared" si="26"/>
        <v/>
      </c>
      <c r="BA34" s="203" t="str">
        <f t="shared" si="26"/>
        <v/>
      </c>
      <c r="BB34" s="203" t="str">
        <f t="shared" si="26"/>
        <v/>
      </c>
      <c r="BC34" s="204" t="str">
        <f t="shared" si="23"/>
        <v/>
      </c>
      <c r="BD34" s="205" t="str">
        <f t="shared" si="23"/>
        <v/>
      </c>
      <c r="BE34" s="203" t="str">
        <f t="shared" si="23"/>
        <v/>
      </c>
      <c r="BF34" s="203" t="str">
        <f t="shared" si="23"/>
        <v/>
      </c>
      <c r="BG34" s="204" t="str">
        <f t="shared" si="23"/>
        <v/>
      </c>
      <c r="BH34" s="205" t="str">
        <f t="shared" si="23"/>
        <v/>
      </c>
      <c r="BI34" s="203" t="str">
        <f t="shared" si="23"/>
        <v/>
      </c>
      <c r="BJ34" s="203" t="str">
        <f t="shared" si="23"/>
        <v/>
      </c>
      <c r="BK34" s="204" t="str">
        <f t="shared" si="23"/>
        <v/>
      </c>
      <c r="BL34" s="205" t="str">
        <f t="shared" si="23"/>
        <v/>
      </c>
      <c r="BM34" s="203" t="str">
        <f t="shared" si="23"/>
        <v/>
      </c>
      <c r="BN34" s="203" t="str">
        <f t="shared" si="23"/>
        <v/>
      </c>
      <c r="BO34" s="204" t="str">
        <f t="shared" si="23"/>
        <v/>
      </c>
      <c r="BP34" s="205" t="str">
        <f t="shared" si="27"/>
        <v/>
      </c>
      <c r="BQ34" s="203" t="str">
        <f t="shared" si="27"/>
        <v/>
      </c>
      <c r="BR34" s="203" t="str">
        <f t="shared" si="27"/>
        <v/>
      </c>
      <c r="BS34" s="204" t="str">
        <f t="shared" si="27"/>
        <v/>
      </c>
      <c r="BT34" s="205" t="str">
        <f t="shared" si="27"/>
        <v/>
      </c>
      <c r="BU34" s="203" t="str">
        <f t="shared" si="27"/>
        <v/>
      </c>
      <c r="BV34" s="203" t="str">
        <f t="shared" si="27"/>
        <v/>
      </c>
      <c r="BW34" s="204" t="str">
        <f t="shared" si="27"/>
        <v/>
      </c>
      <c r="BX34" s="205" t="str">
        <f t="shared" si="27"/>
        <v/>
      </c>
      <c r="BY34" s="203" t="str">
        <f t="shared" si="27"/>
        <v/>
      </c>
      <c r="BZ34" s="203" t="str">
        <f t="shared" si="27"/>
        <v/>
      </c>
      <c r="CA34" s="204" t="str">
        <f t="shared" si="27"/>
        <v/>
      </c>
      <c r="CB34" s="205" t="str">
        <f t="shared" si="27"/>
        <v/>
      </c>
      <c r="CC34" s="203" t="str">
        <f t="shared" si="27"/>
        <v/>
      </c>
      <c r="CD34" s="203" t="str">
        <f t="shared" si="27"/>
        <v/>
      </c>
      <c r="CE34" s="204" t="str">
        <f t="shared" si="27"/>
        <v/>
      </c>
    </row>
    <row r="35" spans="1:87" ht="18" customHeight="1">
      <c r="A35" s="22">
        <f>+TABELLA!Q39</f>
        <v>0</v>
      </c>
      <c r="B35" s="22">
        <f>+TABELLA!R39</f>
        <v>0</v>
      </c>
      <c r="C35" s="22">
        <f>+TABELLA!S39</f>
        <v>0</v>
      </c>
      <c r="D35" s="22">
        <f>+TABELLA!T39</f>
        <v>0</v>
      </c>
      <c r="E35" s="22"/>
      <c r="F35" s="41">
        <f>IF(TABELLA!B39="","",TABELLA!B39)</f>
        <v>4</v>
      </c>
      <c r="G35" s="42" t="str">
        <f>IF(TABELLA!C39="","",TABELLA!C39)</f>
        <v>RACCAGNI CRISTIANA</v>
      </c>
      <c r="H35" s="206" t="str">
        <f t="shared" ref="H35:V35" si="40">IF(AND(G$3&gt;=$A35,G$3&lt;$B35),1,IF(AND(G$3&gt;=$C35,G$3&lt;$D35),1,""))</f>
        <v/>
      </c>
      <c r="I35" s="206" t="str">
        <f t="shared" si="40"/>
        <v/>
      </c>
      <c r="J35" s="206" t="str">
        <f t="shared" si="40"/>
        <v/>
      </c>
      <c r="K35" s="207" t="str">
        <f t="shared" si="40"/>
        <v/>
      </c>
      <c r="L35" s="208" t="str">
        <f t="shared" si="40"/>
        <v/>
      </c>
      <c r="M35" s="206" t="str">
        <f t="shared" si="40"/>
        <v/>
      </c>
      <c r="N35" s="206" t="str">
        <f t="shared" si="40"/>
        <v/>
      </c>
      <c r="O35" s="207" t="str">
        <f t="shared" si="40"/>
        <v/>
      </c>
      <c r="P35" s="208" t="str">
        <f t="shared" si="40"/>
        <v/>
      </c>
      <c r="Q35" s="206" t="str">
        <f t="shared" si="40"/>
        <v/>
      </c>
      <c r="R35" s="206" t="str">
        <f t="shared" si="40"/>
        <v/>
      </c>
      <c r="S35" s="207" t="str">
        <f t="shared" si="40"/>
        <v/>
      </c>
      <c r="T35" s="208" t="str">
        <f t="shared" si="40"/>
        <v/>
      </c>
      <c r="U35" s="206" t="str">
        <f t="shared" si="40"/>
        <v/>
      </c>
      <c r="V35" s="206" t="str">
        <f t="shared" si="40"/>
        <v/>
      </c>
      <c r="W35" s="207" t="str">
        <f t="shared" si="25"/>
        <v/>
      </c>
      <c r="X35" s="208" t="str">
        <f t="shared" si="22"/>
        <v/>
      </c>
      <c r="Y35" s="206" t="str">
        <f t="shared" si="22"/>
        <v/>
      </c>
      <c r="Z35" s="206" t="str">
        <f t="shared" si="22"/>
        <v/>
      </c>
      <c r="AA35" s="207" t="str">
        <f t="shared" si="22"/>
        <v/>
      </c>
      <c r="AB35" s="208" t="str">
        <f t="shared" si="22"/>
        <v/>
      </c>
      <c r="AC35" s="206" t="str">
        <f t="shared" si="22"/>
        <v/>
      </c>
      <c r="AD35" s="206" t="str">
        <f t="shared" si="22"/>
        <v/>
      </c>
      <c r="AE35" s="207" t="str">
        <f t="shared" si="22"/>
        <v/>
      </c>
      <c r="AF35" s="208" t="str">
        <f t="shared" si="22"/>
        <v/>
      </c>
      <c r="AG35" s="206" t="str">
        <f t="shared" si="22"/>
        <v/>
      </c>
      <c r="AH35" s="206" t="str">
        <f t="shared" si="22"/>
        <v/>
      </c>
      <c r="AI35" s="207" t="str">
        <f t="shared" si="22"/>
        <v/>
      </c>
      <c r="AJ35" s="208" t="str">
        <f t="shared" si="22"/>
        <v/>
      </c>
      <c r="AK35" s="206" t="str">
        <f t="shared" si="22"/>
        <v/>
      </c>
      <c r="AL35" s="206" t="str">
        <f t="shared" si="22"/>
        <v/>
      </c>
      <c r="AM35" s="207" t="str">
        <f t="shared" si="26"/>
        <v/>
      </c>
      <c r="AN35" s="208" t="str">
        <f t="shared" si="26"/>
        <v/>
      </c>
      <c r="AO35" s="206" t="str">
        <f t="shared" si="26"/>
        <v/>
      </c>
      <c r="AP35" s="206" t="str">
        <f t="shared" si="26"/>
        <v/>
      </c>
      <c r="AQ35" s="207" t="str">
        <f t="shared" si="26"/>
        <v/>
      </c>
      <c r="AR35" s="208" t="str">
        <f t="shared" si="26"/>
        <v/>
      </c>
      <c r="AS35" s="206" t="str">
        <f t="shared" si="26"/>
        <v/>
      </c>
      <c r="AT35" s="206" t="str">
        <f t="shared" si="26"/>
        <v/>
      </c>
      <c r="AU35" s="207" t="str">
        <f t="shared" si="26"/>
        <v/>
      </c>
      <c r="AV35" s="208" t="str">
        <f t="shared" si="26"/>
        <v/>
      </c>
      <c r="AW35" s="206" t="str">
        <f t="shared" si="26"/>
        <v/>
      </c>
      <c r="AX35" s="206" t="str">
        <f t="shared" si="26"/>
        <v/>
      </c>
      <c r="AY35" s="207" t="str">
        <f t="shared" si="26"/>
        <v/>
      </c>
      <c r="AZ35" s="208" t="str">
        <f t="shared" si="26"/>
        <v/>
      </c>
      <c r="BA35" s="206" t="str">
        <f t="shared" si="26"/>
        <v/>
      </c>
      <c r="BB35" s="206" t="str">
        <f t="shared" si="26"/>
        <v/>
      </c>
      <c r="BC35" s="207" t="str">
        <f t="shared" si="23"/>
        <v/>
      </c>
      <c r="BD35" s="208" t="str">
        <f t="shared" si="23"/>
        <v/>
      </c>
      <c r="BE35" s="206" t="str">
        <f t="shared" si="23"/>
        <v/>
      </c>
      <c r="BF35" s="206" t="str">
        <f t="shared" si="23"/>
        <v/>
      </c>
      <c r="BG35" s="207" t="str">
        <f t="shared" si="23"/>
        <v/>
      </c>
      <c r="BH35" s="208" t="str">
        <f t="shared" si="23"/>
        <v/>
      </c>
      <c r="BI35" s="206" t="str">
        <f t="shared" si="23"/>
        <v/>
      </c>
      <c r="BJ35" s="206" t="str">
        <f t="shared" si="23"/>
        <v/>
      </c>
      <c r="BK35" s="207" t="str">
        <f t="shared" si="23"/>
        <v/>
      </c>
      <c r="BL35" s="208" t="str">
        <f t="shared" si="23"/>
        <v/>
      </c>
      <c r="BM35" s="206" t="str">
        <f t="shared" si="23"/>
        <v/>
      </c>
      <c r="BN35" s="206" t="str">
        <f t="shared" si="23"/>
        <v/>
      </c>
      <c r="BO35" s="207" t="str">
        <f t="shared" si="23"/>
        <v/>
      </c>
      <c r="BP35" s="208" t="str">
        <f t="shared" si="27"/>
        <v/>
      </c>
      <c r="BQ35" s="206" t="str">
        <f t="shared" si="27"/>
        <v/>
      </c>
      <c r="BR35" s="206" t="str">
        <f t="shared" si="27"/>
        <v/>
      </c>
      <c r="BS35" s="207" t="str">
        <f t="shared" si="27"/>
        <v/>
      </c>
      <c r="BT35" s="208" t="str">
        <f t="shared" si="27"/>
        <v/>
      </c>
      <c r="BU35" s="206" t="str">
        <f t="shared" si="27"/>
        <v/>
      </c>
      <c r="BV35" s="206" t="str">
        <f t="shared" si="27"/>
        <v/>
      </c>
      <c r="BW35" s="207" t="str">
        <f t="shared" si="27"/>
        <v/>
      </c>
      <c r="BX35" s="208" t="str">
        <f t="shared" si="27"/>
        <v/>
      </c>
      <c r="BY35" s="206" t="str">
        <f t="shared" si="27"/>
        <v/>
      </c>
      <c r="BZ35" s="206" t="str">
        <f t="shared" si="27"/>
        <v/>
      </c>
      <c r="CA35" s="207" t="str">
        <f t="shared" si="27"/>
        <v/>
      </c>
      <c r="CB35" s="208" t="str">
        <f t="shared" si="27"/>
        <v/>
      </c>
      <c r="CC35" s="206" t="str">
        <f t="shared" si="27"/>
        <v/>
      </c>
      <c r="CD35" s="206" t="str">
        <f t="shared" si="27"/>
        <v/>
      </c>
      <c r="CE35" s="207" t="str">
        <f t="shared" si="27"/>
        <v/>
      </c>
    </row>
    <row r="36" spans="1:87" ht="18" customHeight="1">
      <c r="A36" s="22">
        <f>+TABELLA!Q40</f>
        <v>0</v>
      </c>
      <c r="B36" s="22">
        <f>+TABELLA!R40</f>
        <v>0</v>
      </c>
      <c r="C36" s="22">
        <f>+TABELLA!S40</f>
        <v>0</v>
      </c>
      <c r="D36" s="22">
        <f>+TABELLA!T40</f>
        <v>0</v>
      </c>
      <c r="E36" s="22"/>
      <c r="F36" s="26">
        <f>IF(TABELLA!B40="","",TABELLA!B40)</f>
        <v>4</v>
      </c>
      <c r="G36" s="27" t="str">
        <f>IF(TABELLA!C40="","",TABELLA!C40)</f>
        <v>LO BELLO ENRICHETTA</v>
      </c>
      <c r="H36" s="203" t="str">
        <f t="shared" ref="H36:V36" si="41">IF(AND(G$3&gt;=$A36,G$3&lt;$B36),1,IF(AND(G$3&gt;=$C36,G$3&lt;$D36),1,""))</f>
        <v/>
      </c>
      <c r="I36" s="203" t="str">
        <f t="shared" si="41"/>
        <v/>
      </c>
      <c r="J36" s="203" t="str">
        <f t="shared" si="41"/>
        <v/>
      </c>
      <c r="K36" s="204" t="str">
        <f t="shared" si="41"/>
        <v/>
      </c>
      <c r="L36" s="205" t="str">
        <f t="shared" si="41"/>
        <v/>
      </c>
      <c r="M36" s="203" t="str">
        <f t="shared" si="41"/>
        <v/>
      </c>
      <c r="N36" s="203" t="str">
        <f t="shared" si="41"/>
        <v/>
      </c>
      <c r="O36" s="204" t="str">
        <f t="shared" si="41"/>
        <v/>
      </c>
      <c r="P36" s="205" t="str">
        <f t="shared" si="41"/>
        <v/>
      </c>
      <c r="Q36" s="203" t="str">
        <f t="shared" si="41"/>
        <v/>
      </c>
      <c r="R36" s="203" t="str">
        <f t="shared" si="41"/>
        <v/>
      </c>
      <c r="S36" s="204" t="str">
        <f t="shared" si="41"/>
        <v/>
      </c>
      <c r="T36" s="205" t="str">
        <f t="shared" si="41"/>
        <v/>
      </c>
      <c r="U36" s="203" t="str">
        <f t="shared" si="41"/>
        <v/>
      </c>
      <c r="V36" s="203" t="str">
        <f t="shared" si="41"/>
        <v/>
      </c>
      <c r="W36" s="204" t="str">
        <f t="shared" si="25"/>
        <v/>
      </c>
      <c r="X36" s="205" t="str">
        <f t="shared" si="22"/>
        <v/>
      </c>
      <c r="Y36" s="203" t="str">
        <f t="shared" si="22"/>
        <v/>
      </c>
      <c r="Z36" s="203" t="str">
        <f t="shared" si="22"/>
        <v/>
      </c>
      <c r="AA36" s="204" t="str">
        <f t="shared" si="22"/>
        <v/>
      </c>
      <c r="AB36" s="205" t="str">
        <f t="shared" si="22"/>
        <v/>
      </c>
      <c r="AC36" s="203" t="str">
        <f t="shared" si="22"/>
        <v/>
      </c>
      <c r="AD36" s="203" t="str">
        <f t="shared" si="22"/>
        <v/>
      </c>
      <c r="AE36" s="204" t="str">
        <f t="shared" si="22"/>
        <v/>
      </c>
      <c r="AF36" s="205" t="str">
        <f t="shared" si="22"/>
        <v/>
      </c>
      <c r="AG36" s="203" t="str">
        <f t="shared" si="22"/>
        <v/>
      </c>
      <c r="AH36" s="203" t="str">
        <f t="shared" si="22"/>
        <v/>
      </c>
      <c r="AI36" s="204" t="str">
        <f t="shared" si="22"/>
        <v/>
      </c>
      <c r="AJ36" s="205" t="str">
        <f t="shared" si="22"/>
        <v/>
      </c>
      <c r="AK36" s="203" t="str">
        <f t="shared" si="22"/>
        <v/>
      </c>
      <c r="AL36" s="203" t="str">
        <f t="shared" si="22"/>
        <v/>
      </c>
      <c r="AM36" s="204" t="str">
        <f t="shared" si="26"/>
        <v/>
      </c>
      <c r="AN36" s="205" t="str">
        <f t="shared" si="26"/>
        <v/>
      </c>
      <c r="AO36" s="203" t="str">
        <f t="shared" si="26"/>
        <v/>
      </c>
      <c r="AP36" s="203" t="str">
        <f t="shared" si="26"/>
        <v/>
      </c>
      <c r="AQ36" s="204" t="str">
        <f t="shared" si="26"/>
        <v/>
      </c>
      <c r="AR36" s="205" t="str">
        <f t="shared" si="26"/>
        <v/>
      </c>
      <c r="AS36" s="203" t="str">
        <f t="shared" si="26"/>
        <v/>
      </c>
      <c r="AT36" s="203" t="str">
        <f t="shared" si="26"/>
        <v/>
      </c>
      <c r="AU36" s="204" t="str">
        <f t="shared" si="26"/>
        <v/>
      </c>
      <c r="AV36" s="205" t="str">
        <f t="shared" si="26"/>
        <v/>
      </c>
      <c r="AW36" s="203" t="str">
        <f t="shared" si="26"/>
        <v/>
      </c>
      <c r="AX36" s="203" t="str">
        <f t="shared" si="26"/>
        <v/>
      </c>
      <c r="AY36" s="204" t="str">
        <f t="shared" si="26"/>
        <v/>
      </c>
      <c r="AZ36" s="205" t="str">
        <f t="shared" si="26"/>
        <v/>
      </c>
      <c r="BA36" s="203" t="str">
        <f t="shared" si="26"/>
        <v/>
      </c>
      <c r="BB36" s="203" t="str">
        <f t="shared" si="26"/>
        <v/>
      </c>
      <c r="BC36" s="204" t="str">
        <f t="shared" si="23"/>
        <v/>
      </c>
      <c r="BD36" s="205" t="str">
        <f t="shared" si="23"/>
        <v/>
      </c>
      <c r="BE36" s="203" t="str">
        <f t="shared" si="23"/>
        <v/>
      </c>
      <c r="BF36" s="203" t="str">
        <f t="shared" si="23"/>
        <v/>
      </c>
      <c r="BG36" s="204" t="str">
        <f t="shared" si="23"/>
        <v/>
      </c>
      <c r="BH36" s="205" t="str">
        <f t="shared" si="23"/>
        <v/>
      </c>
      <c r="BI36" s="203" t="str">
        <f t="shared" si="23"/>
        <v/>
      </c>
      <c r="BJ36" s="203" t="str">
        <f t="shared" si="23"/>
        <v/>
      </c>
      <c r="BK36" s="204" t="str">
        <f t="shared" si="23"/>
        <v/>
      </c>
      <c r="BL36" s="205" t="str">
        <f t="shared" si="23"/>
        <v/>
      </c>
      <c r="BM36" s="203" t="str">
        <f t="shared" si="23"/>
        <v/>
      </c>
      <c r="BN36" s="203" t="str">
        <f t="shared" si="23"/>
        <v/>
      </c>
      <c r="BO36" s="204" t="str">
        <f t="shared" si="23"/>
        <v/>
      </c>
      <c r="BP36" s="205" t="str">
        <f t="shared" si="27"/>
        <v/>
      </c>
      <c r="BQ36" s="203" t="str">
        <f t="shared" si="27"/>
        <v/>
      </c>
      <c r="BR36" s="203" t="str">
        <f t="shared" si="27"/>
        <v/>
      </c>
      <c r="BS36" s="204" t="str">
        <f t="shared" si="27"/>
        <v/>
      </c>
      <c r="BT36" s="205" t="str">
        <f t="shared" si="27"/>
        <v/>
      </c>
      <c r="BU36" s="203" t="str">
        <f t="shared" si="27"/>
        <v/>
      </c>
      <c r="BV36" s="203" t="str">
        <f t="shared" si="27"/>
        <v/>
      </c>
      <c r="BW36" s="204" t="str">
        <f t="shared" si="27"/>
        <v/>
      </c>
      <c r="BX36" s="205" t="str">
        <f t="shared" si="27"/>
        <v/>
      </c>
      <c r="BY36" s="203" t="str">
        <f t="shared" si="27"/>
        <v/>
      </c>
      <c r="BZ36" s="203" t="str">
        <f t="shared" si="27"/>
        <v/>
      </c>
      <c r="CA36" s="204" t="str">
        <f t="shared" si="27"/>
        <v/>
      </c>
      <c r="CB36" s="205" t="str">
        <f t="shared" si="27"/>
        <v/>
      </c>
      <c r="CC36" s="203" t="str">
        <f t="shared" si="27"/>
        <v/>
      </c>
      <c r="CD36" s="203" t="str">
        <f t="shared" si="27"/>
        <v/>
      </c>
      <c r="CE36" s="204" t="str">
        <f t="shared" si="27"/>
        <v/>
      </c>
    </row>
    <row r="37" spans="1:87" ht="18" customHeight="1">
      <c r="A37" s="22">
        <f>+TABELLA!Q41</f>
        <v>0</v>
      </c>
      <c r="B37" s="22">
        <f>+TABELLA!R41</f>
        <v>0</v>
      </c>
      <c r="C37" s="22">
        <f>+TABELLA!S41</f>
        <v>0</v>
      </c>
      <c r="D37" s="22">
        <f>+TABELLA!T41</f>
        <v>0</v>
      </c>
      <c r="E37" s="22"/>
      <c r="F37" s="41">
        <f>IF(TABELLA!B41="","",TABELLA!B41)</f>
        <v>4</v>
      </c>
      <c r="G37" s="42" t="str">
        <f>IF(TABELLA!C41="","",TABELLA!C41)</f>
        <v/>
      </c>
      <c r="H37" s="206" t="str">
        <f t="shared" ref="H37:V37" si="42">IF(AND(G$3&gt;=$A37,G$3&lt;$B37),1,IF(AND(G$3&gt;=$C37,G$3&lt;$D37),1,""))</f>
        <v/>
      </c>
      <c r="I37" s="206" t="str">
        <f t="shared" si="42"/>
        <v/>
      </c>
      <c r="J37" s="206" t="str">
        <f t="shared" si="42"/>
        <v/>
      </c>
      <c r="K37" s="207" t="str">
        <f t="shared" si="42"/>
        <v/>
      </c>
      <c r="L37" s="208" t="str">
        <f t="shared" si="42"/>
        <v/>
      </c>
      <c r="M37" s="206" t="str">
        <f t="shared" si="42"/>
        <v/>
      </c>
      <c r="N37" s="206" t="str">
        <f t="shared" si="42"/>
        <v/>
      </c>
      <c r="O37" s="207" t="str">
        <f t="shared" si="42"/>
        <v/>
      </c>
      <c r="P37" s="208" t="str">
        <f t="shared" si="42"/>
        <v/>
      </c>
      <c r="Q37" s="206" t="str">
        <f t="shared" si="42"/>
        <v/>
      </c>
      <c r="R37" s="206" t="str">
        <f t="shared" si="42"/>
        <v/>
      </c>
      <c r="S37" s="207" t="str">
        <f t="shared" si="42"/>
        <v/>
      </c>
      <c r="T37" s="208" t="str">
        <f t="shared" si="42"/>
        <v/>
      </c>
      <c r="U37" s="206" t="str">
        <f t="shared" si="42"/>
        <v/>
      </c>
      <c r="V37" s="206" t="str">
        <f t="shared" si="42"/>
        <v/>
      </c>
      <c r="W37" s="207" t="str">
        <f t="shared" ref="W37:AL45" si="43">IF(AND(V$3&gt;=$A37,V$3&lt;$B37),1,IF(AND(V$3&gt;=$C37,V$3&lt;$D37),1,""))</f>
        <v/>
      </c>
      <c r="X37" s="208" t="str">
        <f t="shared" si="43"/>
        <v/>
      </c>
      <c r="Y37" s="206" t="str">
        <f t="shared" si="43"/>
        <v/>
      </c>
      <c r="Z37" s="206" t="str">
        <f t="shared" si="43"/>
        <v/>
      </c>
      <c r="AA37" s="207" t="str">
        <f t="shared" si="43"/>
        <v/>
      </c>
      <c r="AB37" s="208" t="str">
        <f t="shared" si="43"/>
        <v/>
      </c>
      <c r="AC37" s="206" t="str">
        <f t="shared" si="43"/>
        <v/>
      </c>
      <c r="AD37" s="206" t="str">
        <f t="shared" si="43"/>
        <v/>
      </c>
      <c r="AE37" s="207" t="str">
        <f t="shared" si="43"/>
        <v/>
      </c>
      <c r="AF37" s="208" t="str">
        <f t="shared" si="43"/>
        <v/>
      </c>
      <c r="AG37" s="206" t="str">
        <f t="shared" si="43"/>
        <v/>
      </c>
      <c r="AH37" s="206" t="str">
        <f t="shared" si="43"/>
        <v/>
      </c>
      <c r="AI37" s="207" t="str">
        <f t="shared" si="43"/>
        <v/>
      </c>
      <c r="AJ37" s="208" t="str">
        <f t="shared" si="43"/>
        <v/>
      </c>
      <c r="AK37" s="206" t="str">
        <f t="shared" si="43"/>
        <v/>
      </c>
      <c r="AL37" s="206" t="str">
        <f t="shared" si="43"/>
        <v/>
      </c>
      <c r="AM37" s="207" t="str">
        <f t="shared" si="26"/>
        <v/>
      </c>
      <c r="AN37" s="208" t="str">
        <f t="shared" si="26"/>
        <v/>
      </c>
      <c r="AO37" s="206" t="str">
        <f t="shared" si="26"/>
        <v/>
      </c>
      <c r="AP37" s="206" t="str">
        <f t="shared" si="26"/>
        <v/>
      </c>
      <c r="AQ37" s="207" t="str">
        <f t="shared" si="26"/>
        <v/>
      </c>
      <c r="AR37" s="208" t="str">
        <f t="shared" si="26"/>
        <v/>
      </c>
      <c r="AS37" s="206" t="str">
        <f t="shared" si="26"/>
        <v/>
      </c>
      <c r="AT37" s="206" t="str">
        <f t="shared" si="26"/>
        <v/>
      </c>
      <c r="AU37" s="207" t="str">
        <f t="shared" si="26"/>
        <v/>
      </c>
      <c r="AV37" s="208" t="str">
        <f t="shared" si="26"/>
        <v/>
      </c>
      <c r="AW37" s="206" t="str">
        <f t="shared" si="26"/>
        <v/>
      </c>
      <c r="AX37" s="206" t="str">
        <f t="shared" si="26"/>
        <v/>
      </c>
      <c r="AY37" s="207" t="str">
        <f t="shared" si="26"/>
        <v/>
      </c>
      <c r="AZ37" s="208" t="str">
        <f t="shared" si="26"/>
        <v/>
      </c>
      <c r="BA37" s="206" t="str">
        <f t="shared" si="26"/>
        <v/>
      </c>
      <c r="BB37" s="206" t="str">
        <f t="shared" ref="BB37:BQ45" si="44">IF(AND(BA$3&gt;=$A37,BA$3&lt;$B37),1,IF(AND(BA$3&gt;=$C37,BA$3&lt;$D37),1,""))</f>
        <v/>
      </c>
      <c r="BC37" s="207" t="str">
        <f t="shared" si="44"/>
        <v/>
      </c>
      <c r="BD37" s="208" t="str">
        <f t="shared" si="44"/>
        <v/>
      </c>
      <c r="BE37" s="206" t="str">
        <f t="shared" si="44"/>
        <v/>
      </c>
      <c r="BF37" s="206" t="str">
        <f t="shared" si="44"/>
        <v/>
      </c>
      <c r="BG37" s="207" t="str">
        <f t="shared" si="44"/>
        <v/>
      </c>
      <c r="BH37" s="208" t="str">
        <f t="shared" si="44"/>
        <v/>
      </c>
      <c r="BI37" s="206" t="str">
        <f t="shared" si="44"/>
        <v/>
      </c>
      <c r="BJ37" s="206" t="str">
        <f t="shared" si="44"/>
        <v/>
      </c>
      <c r="BK37" s="207" t="str">
        <f t="shared" si="44"/>
        <v/>
      </c>
      <c r="BL37" s="208" t="str">
        <f t="shared" si="44"/>
        <v/>
      </c>
      <c r="BM37" s="206" t="str">
        <f t="shared" si="44"/>
        <v/>
      </c>
      <c r="BN37" s="206" t="str">
        <f t="shared" si="44"/>
        <v/>
      </c>
      <c r="BO37" s="207" t="str">
        <f t="shared" si="44"/>
        <v/>
      </c>
      <c r="BP37" s="208" t="str">
        <f t="shared" si="27"/>
        <v/>
      </c>
      <c r="BQ37" s="206" t="str">
        <f t="shared" si="27"/>
        <v/>
      </c>
      <c r="BR37" s="206" t="str">
        <f t="shared" si="27"/>
        <v/>
      </c>
      <c r="BS37" s="207" t="str">
        <f t="shared" si="27"/>
        <v/>
      </c>
      <c r="BT37" s="208" t="str">
        <f t="shared" si="27"/>
        <v/>
      </c>
      <c r="BU37" s="206" t="str">
        <f t="shared" si="27"/>
        <v/>
      </c>
      <c r="BV37" s="206" t="str">
        <f t="shared" si="27"/>
        <v/>
      </c>
      <c r="BW37" s="207" t="str">
        <f t="shared" si="27"/>
        <v/>
      </c>
      <c r="BX37" s="208" t="str">
        <f t="shared" si="27"/>
        <v/>
      </c>
      <c r="BY37" s="206" t="str">
        <f t="shared" si="27"/>
        <v/>
      </c>
      <c r="BZ37" s="206" t="str">
        <f t="shared" si="27"/>
        <v/>
      </c>
      <c r="CA37" s="207" t="str">
        <f t="shared" si="27"/>
        <v/>
      </c>
      <c r="CB37" s="208" t="str">
        <f t="shared" si="27"/>
        <v/>
      </c>
      <c r="CC37" s="206" t="str">
        <f t="shared" si="27"/>
        <v/>
      </c>
      <c r="CD37" s="206" t="str">
        <f t="shared" si="27"/>
        <v/>
      </c>
      <c r="CE37" s="207" t="str">
        <f t="shared" si="27"/>
        <v/>
      </c>
    </row>
    <row r="38" spans="1:87" ht="18" customHeight="1">
      <c r="A38" s="22">
        <f>+TABELLA!Q42</f>
        <v>0</v>
      </c>
      <c r="B38" s="22">
        <f>+TABELLA!R42</f>
        <v>0</v>
      </c>
      <c r="C38" s="22">
        <f>+TABELLA!S42</f>
        <v>0</v>
      </c>
      <c r="D38" s="22">
        <f>+TABELLA!T42</f>
        <v>0</v>
      </c>
      <c r="E38" s="22"/>
      <c r="F38" s="26">
        <f>IF(TABELLA!B42="","",TABELLA!B42)</f>
        <v>4</v>
      </c>
      <c r="G38" s="27" t="str">
        <f>IF(TABELLA!C42="","",TABELLA!C42)</f>
        <v>BOLZONELLO MARCO</v>
      </c>
      <c r="H38" s="203" t="str">
        <f t="shared" ref="H38:V38" si="45">IF(AND(G$3&gt;=$A38,G$3&lt;$B38),1,IF(AND(G$3&gt;=$C38,G$3&lt;$D38),1,""))</f>
        <v/>
      </c>
      <c r="I38" s="203" t="str">
        <f t="shared" si="45"/>
        <v/>
      </c>
      <c r="J38" s="203" t="str">
        <f t="shared" si="45"/>
        <v/>
      </c>
      <c r="K38" s="204" t="str">
        <f t="shared" si="45"/>
        <v/>
      </c>
      <c r="L38" s="205" t="str">
        <f t="shared" si="45"/>
        <v/>
      </c>
      <c r="M38" s="203" t="str">
        <f t="shared" si="45"/>
        <v/>
      </c>
      <c r="N38" s="203" t="str">
        <f t="shared" si="45"/>
        <v/>
      </c>
      <c r="O38" s="204" t="str">
        <f t="shared" si="45"/>
        <v/>
      </c>
      <c r="P38" s="205" t="str">
        <f t="shared" si="45"/>
        <v/>
      </c>
      <c r="Q38" s="203" t="str">
        <f t="shared" si="45"/>
        <v/>
      </c>
      <c r="R38" s="203" t="str">
        <f t="shared" si="45"/>
        <v/>
      </c>
      <c r="S38" s="204" t="str">
        <f t="shared" si="45"/>
        <v/>
      </c>
      <c r="T38" s="205" t="str">
        <f t="shared" si="45"/>
        <v/>
      </c>
      <c r="U38" s="203" t="str">
        <f t="shared" si="45"/>
        <v/>
      </c>
      <c r="V38" s="203" t="str">
        <f t="shared" si="45"/>
        <v/>
      </c>
      <c r="W38" s="204" t="str">
        <f t="shared" ref="W38:W45" si="46">IF(AND(V$3&gt;=$A38,V$3&lt;$B38),1,IF(AND(V$3&gt;=$C38,V$3&lt;$D38),1,""))</f>
        <v/>
      </c>
      <c r="X38" s="205" t="str">
        <f t="shared" si="43"/>
        <v/>
      </c>
      <c r="Y38" s="203" t="str">
        <f t="shared" si="43"/>
        <v/>
      </c>
      <c r="Z38" s="203" t="str">
        <f t="shared" si="43"/>
        <v/>
      </c>
      <c r="AA38" s="204" t="str">
        <f t="shared" si="43"/>
        <v/>
      </c>
      <c r="AB38" s="205" t="str">
        <f t="shared" si="43"/>
        <v/>
      </c>
      <c r="AC38" s="203" t="str">
        <f t="shared" si="43"/>
        <v/>
      </c>
      <c r="AD38" s="203" t="str">
        <f t="shared" si="43"/>
        <v/>
      </c>
      <c r="AE38" s="204" t="str">
        <f t="shared" si="43"/>
        <v/>
      </c>
      <c r="AF38" s="205" t="str">
        <f t="shared" si="43"/>
        <v/>
      </c>
      <c r="AG38" s="203" t="str">
        <f t="shared" si="43"/>
        <v/>
      </c>
      <c r="AH38" s="203" t="str">
        <f t="shared" si="43"/>
        <v/>
      </c>
      <c r="AI38" s="204" t="str">
        <f t="shared" si="43"/>
        <v/>
      </c>
      <c r="AJ38" s="205" t="str">
        <f t="shared" si="43"/>
        <v/>
      </c>
      <c r="AK38" s="203" t="str">
        <f t="shared" si="43"/>
        <v/>
      </c>
      <c r="AL38" s="203" t="str">
        <f t="shared" si="43"/>
        <v/>
      </c>
      <c r="AM38" s="204" t="str">
        <f t="shared" ref="AM38:BB45" si="47">IF(AND(AL$3&gt;=$A38,AL$3&lt;$B38),1,IF(AND(AL$3&gt;=$C38,AL$3&lt;$D38),1,""))</f>
        <v/>
      </c>
      <c r="AN38" s="205" t="str">
        <f t="shared" si="47"/>
        <v/>
      </c>
      <c r="AO38" s="203" t="str">
        <f t="shared" si="47"/>
        <v/>
      </c>
      <c r="AP38" s="203" t="str">
        <f t="shared" si="47"/>
        <v/>
      </c>
      <c r="AQ38" s="204" t="str">
        <f t="shared" si="47"/>
        <v/>
      </c>
      <c r="AR38" s="205" t="str">
        <f t="shared" si="47"/>
        <v/>
      </c>
      <c r="AS38" s="203" t="str">
        <f t="shared" si="47"/>
        <v/>
      </c>
      <c r="AT38" s="203" t="str">
        <f t="shared" si="47"/>
        <v/>
      </c>
      <c r="AU38" s="204" t="str">
        <f t="shared" si="47"/>
        <v/>
      </c>
      <c r="AV38" s="205" t="str">
        <f t="shared" si="47"/>
        <v/>
      </c>
      <c r="AW38" s="203" t="str">
        <f t="shared" si="47"/>
        <v/>
      </c>
      <c r="AX38" s="203" t="str">
        <f t="shared" si="47"/>
        <v/>
      </c>
      <c r="AY38" s="204" t="str">
        <f t="shared" si="47"/>
        <v/>
      </c>
      <c r="AZ38" s="205" t="str">
        <f t="shared" si="47"/>
        <v/>
      </c>
      <c r="BA38" s="203" t="str">
        <f t="shared" si="47"/>
        <v/>
      </c>
      <c r="BB38" s="203" t="str">
        <f t="shared" si="47"/>
        <v/>
      </c>
      <c r="BC38" s="204" t="str">
        <f t="shared" si="44"/>
        <v/>
      </c>
      <c r="BD38" s="205" t="str">
        <f t="shared" si="44"/>
        <v/>
      </c>
      <c r="BE38" s="203" t="str">
        <f t="shared" si="44"/>
        <v/>
      </c>
      <c r="BF38" s="203" t="str">
        <f t="shared" si="44"/>
        <v/>
      </c>
      <c r="BG38" s="204" t="str">
        <f t="shared" si="44"/>
        <v/>
      </c>
      <c r="BH38" s="205" t="str">
        <f t="shared" si="44"/>
        <v/>
      </c>
      <c r="BI38" s="203" t="str">
        <f t="shared" si="44"/>
        <v/>
      </c>
      <c r="BJ38" s="203" t="str">
        <f t="shared" si="44"/>
        <v/>
      </c>
      <c r="BK38" s="204" t="str">
        <f t="shared" si="44"/>
        <v/>
      </c>
      <c r="BL38" s="205" t="str">
        <f t="shared" si="44"/>
        <v/>
      </c>
      <c r="BM38" s="203" t="str">
        <f t="shared" si="44"/>
        <v/>
      </c>
      <c r="BN38" s="203" t="str">
        <f t="shared" si="44"/>
        <v/>
      </c>
      <c r="BO38" s="204" t="str">
        <f t="shared" si="44"/>
        <v/>
      </c>
      <c r="BP38" s="205" t="str">
        <f t="shared" si="44"/>
        <v/>
      </c>
      <c r="BQ38" s="203" t="str">
        <f t="shared" si="44"/>
        <v/>
      </c>
      <c r="BR38" s="203" t="str">
        <f t="shared" ref="BP38:CE45" si="48">IF(AND(BQ$3&gt;=$A38,BQ$3&lt;$B38),1,IF(AND(BQ$3&gt;=$C38,BQ$3&lt;$D38),1,""))</f>
        <v/>
      </c>
      <c r="BS38" s="204" t="str">
        <f t="shared" si="48"/>
        <v/>
      </c>
      <c r="BT38" s="205" t="str">
        <f t="shared" si="48"/>
        <v/>
      </c>
      <c r="BU38" s="203" t="str">
        <f t="shared" si="48"/>
        <v/>
      </c>
      <c r="BV38" s="203" t="str">
        <f t="shared" si="48"/>
        <v/>
      </c>
      <c r="BW38" s="204" t="str">
        <f t="shared" si="48"/>
        <v/>
      </c>
      <c r="BX38" s="205" t="str">
        <f t="shared" si="48"/>
        <v/>
      </c>
      <c r="BY38" s="203" t="str">
        <f t="shared" si="48"/>
        <v/>
      </c>
      <c r="BZ38" s="203" t="str">
        <f t="shared" si="48"/>
        <v/>
      </c>
      <c r="CA38" s="204" t="str">
        <f t="shared" si="48"/>
        <v/>
      </c>
      <c r="CB38" s="205" t="str">
        <f t="shared" si="48"/>
        <v/>
      </c>
      <c r="CC38" s="203" t="str">
        <f t="shared" si="48"/>
        <v/>
      </c>
      <c r="CD38" s="203" t="str">
        <f t="shared" si="48"/>
        <v/>
      </c>
      <c r="CE38" s="204" t="str">
        <f t="shared" si="48"/>
        <v/>
      </c>
    </row>
    <row r="39" spans="1:87" ht="18" customHeight="1">
      <c r="A39" s="22">
        <f>+TABELLA!Q43</f>
        <v>0</v>
      </c>
      <c r="B39" s="22">
        <f>+TABELLA!R43</f>
        <v>0</v>
      </c>
      <c r="C39" s="22">
        <f>+TABELLA!S43</f>
        <v>0</v>
      </c>
      <c r="D39" s="22">
        <f>+TABELLA!T43</f>
        <v>0</v>
      </c>
      <c r="E39" s="22"/>
      <c r="F39" s="41">
        <f>IF(TABELLA!B43="","",TABELLA!B43)</f>
        <v>4</v>
      </c>
      <c r="G39" s="42" t="str">
        <f>IF(TABELLA!C43="","",TABELLA!C43)</f>
        <v>MOCELLIN MAURIZIO</v>
      </c>
      <c r="H39" s="206" t="str">
        <f t="shared" ref="H39:V39" si="49">IF(AND(G$3&gt;=$A39,G$3&lt;$B39),1,IF(AND(G$3&gt;=$C39,G$3&lt;$D39),1,""))</f>
        <v/>
      </c>
      <c r="I39" s="206" t="str">
        <f t="shared" si="49"/>
        <v/>
      </c>
      <c r="J39" s="206" t="str">
        <f t="shared" si="49"/>
        <v/>
      </c>
      <c r="K39" s="207" t="str">
        <f t="shared" si="49"/>
        <v/>
      </c>
      <c r="L39" s="208" t="str">
        <f t="shared" si="49"/>
        <v/>
      </c>
      <c r="M39" s="206" t="str">
        <f t="shared" si="49"/>
        <v/>
      </c>
      <c r="N39" s="206" t="str">
        <f t="shared" si="49"/>
        <v/>
      </c>
      <c r="O39" s="207" t="str">
        <f t="shared" si="49"/>
        <v/>
      </c>
      <c r="P39" s="208" t="str">
        <f t="shared" si="49"/>
        <v/>
      </c>
      <c r="Q39" s="206" t="str">
        <f t="shared" si="49"/>
        <v/>
      </c>
      <c r="R39" s="206" t="str">
        <f t="shared" si="49"/>
        <v/>
      </c>
      <c r="S39" s="207" t="str">
        <f t="shared" si="49"/>
        <v/>
      </c>
      <c r="T39" s="208" t="str">
        <f t="shared" si="49"/>
        <v/>
      </c>
      <c r="U39" s="206" t="str">
        <f t="shared" si="49"/>
        <v/>
      </c>
      <c r="V39" s="206" t="str">
        <f t="shared" si="49"/>
        <v/>
      </c>
      <c r="W39" s="207" t="str">
        <f t="shared" si="46"/>
        <v/>
      </c>
      <c r="X39" s="208" t="str">
        <f t="shared" si="43"/>
        <v/>
      </c>
      <c r="Y39" s="206" t="str">
        <f t="shared" si="43"/>
        <v/>
      </c>
      <c r="Z39" s="206" t="str">
        <f t="shared" si="43"/>
        <v/>
      </c>
      <c r="AA39" s="207" t="str">
        <f t="shared" si="43"/>
        <v/>
      </c>
      <c r="AB39" s="208" t="str">
        <f t="shared" si="43"/>
        <v/>
      </c>
      <c r="AC39" s="206" t="str">
        <f t="shared" si="43"/>
        <v/>
      </c>
      <c r="AD39" s="206" t="str">
        <f t="shared" si="43"/>
        <v/>
      </c>
      <c r="AE39" s="207" t="str">
        <f t="shared" si="43"/>
        <v/>
      </c>
      <c r="AF39" s="208" t="str">
        <f t="shared" si="43"/>
        <v/>
      </c>
      <c r="AG39" s="206" t="str">
        <f t="shared" si="43"/>
        <v/>
      </c>
      <c r="AH39" s="206" t="str">
        <f t="shared" si="43"/>
        <v/>
      </c>
      <c r="AI39" s="207" t="str">
        <f t="shared" si="43"/>
        <v/>
      </c>
      <c r="AJ39" s="208" t="str">
        <f t="shared" si="43"/>
        <v/>
      </c>
      <c r="AK39" s="206" t="str">
        <f t="shared" si="43"/>
        <v/>
      </c>
      <c r="AL39" s="206" t="str">
        <f t="shared" si="43"/>
        <v/>
      </c>
      <c r="AM39" s="207" t="str">
        <f t="shared" si="47"/>
        <v/>
      </c>
      <c r="AN39" s="208" t="str">
        <f t="shared" si="47"/>
        <v/>
      </c>
      <c r="AO39" s="206" t="str">
        <f t="shared" si="47"/>
        <v/>
      </c>
      <c r="AP39" s="206" t="str">
        <f t="shared" si="47"/>
        <v/>
      </c>
      <c r="AQ39" s="207" t="str">
        <f t="shared" si="47"/>
        <v/>
      </c>
      <c r="AR39" s="208" t="str">
        <f t="shared" si="47"/>
        <v/>
      </c>
      <c r="AS39" s="206" t="str">
        <f t="shared" si="47"/>
        <v/>
      </c>
      <c r="AT39" s="206" t="str">
        <f t="shared" si="47"/>
        <v/>
      </c>
      <c r="AU39" s="207" t="str">
        <f t="shared" si="47"/>
        <v/>
      </c>
      <c r="AV39" s="208" t="str">
        <f t="shared" si="47"/>
        <v/>
      </c>
      <c r="AW39" s="206" t="str">
        <f t="shared" si="47"/>
        <v/>
      </c>
      <c r="AX39" s="206" t="str">
        <f t="shared" si="47"/>
        <v/>
      </c>
      <c r="AY39" s="207" t="str">
        <f t="shared" si="47"/>
        <v/>
      </c>
      <c r="AZ39" s="208" t="str">
        <f t="shared" si="47"/>
        <v/>
      </c>
      <c r="BA39" s="206" t="str">
        <f t="shared" si="47"/>
        <v/>
      </c>
      <c r="BB39" s="206" t="str">
        <f t="shared" si="47"/>
        <v/>
      </c>
      <c r="BC39" s="207" t="str">
        <f t="shared" si="44"/>
        <v/>
      </c>
      <c r="BD39" s="208" t="str">
        <f t="shared" si="44"/>
        <v/>
      </c>
      <c r="BE39" s="206" t="str">
        <f t="shared" si="44"/>
        <v/>
      </c>
      <c r="BF39" s="206" t="str">
        <f t="shared" si="44"/>
        <v/>
      </c>
      <c r="BG39" s="207" t="str">
        <f t="shared" si="44"/>
        <v/>
      </c>
      <c r="BH39" s="208" t="str">
        <f t="shared" si="44"/>
        <v/>
      </c>
      <c r="BI39" s="206" t="str">
        <f t="shared" si="44"/>
        <v/>
      </c>
      <c r="BJ39" s="206" t="str">
        <f t="shared" si="44"/>
        <v/>
      </c>
      <c r="BK39" s="207" t="str">
        <f t="shared" si="44"/>
        <v/>
      </c>
      <c r="BL39" s="208" t="str">
        <f t="shared" si="44"/>
        <v/>
      </c>
      <c r="BM39" s="206" t="str">
        <f t="shared" si="44"/>
        <v/>
      </c>
      <c r="BN39" s="206" t="str">
        <f t="shared" si="44"/>
        <v/>
      </c>
      <c r="BO39" s="207" t="str">
        <f t="shared" si="44"/>
        <v/>
      </c>
      <c r="BP39" s="208" t="str">
        <f t="shared" si="48"/>
        <v/>
      </c>
      <c r="BQ39" s="206" t="str">
        <f t="shared" si="48"/>
        <v/>
      </c>
      <c r="BR39" s="206" t="str">
        <f t="shared" si="48"/>
        <v/>
      </c>
      <c r="BS39" s="207" t="str">
        <f t="shared" si="48"/>
        <v/>
      </c>
      <c r="BT39" s="208" t="str">
        <f t="shared" si="48"/>
        <v/>
      </c>
      <c r="BU39" s="206" t="str">
        <f t="shared" si="48"/>
        <v/>
      </c>
      <c r="BV39" s="206" t="str">
        <f t="shared" si="48"/>
        <v/>
      </c>
      <c r="BW39" s="207" t="str">
        <f t="shared" si="48"/>
        <v/>
      </c>
      <c r="BX39" s="208" t="str">
        <f t="shared" si="48"/>
        <v/>
      </c>
      <c r="BY39" s="206" t="str">
        <f t="shared" si="48"/>
        <v/>
      </c>
      <c r="BZ39" s="206" t="str">
        <f t="shared" si="48"/>
        <v/>
      </c>
      <c r="CA39" s="207" t="str">
        <f t="shared" si="48"/>
        <v/>
      </c>
      <c r="CB39" s="208" t="str">
        <f t="shared" si="48"/>
        <v/>
      </c>
      <c r="CC39" s="206" t="str">
        <f t="shared" si="48"/>
        <v/>
      </c>
      <c r="CD39" s="206" t="str">
        <f t="shared" si="48"/>
        <v/>
      </c>
      <c r="CE39" s="207" t="str">
        <f t="shared" si="48"/>
        <v/>
      </c>
    </row>
    <row r="40" spans="1:87" ht="18" customHeight="1">
      <c r="A40" s="22">
        <f>+TABELLA!Q44</f>
        <v>0</v>
      </c>
      <c r="B40" s="22">
        <f>+TABELLA!R44</f>
        <v>0</v>
      </c>
      <c r="C40" s="22">
        <f>+TABELLA!S44</f>
        <v>0</v>
      </c>
      <c r="D40" s="22">
        <f>+TABELLA!T44</f>
        <v>0</v>
      </c>
      <c r="E40" s="22"/>
      <c r="F40" s="26" t="str">
        <f>IF(TABELLA!B44="","",TABELLA!B44)</f>
        <v/>
      </c>
      <c r="G40" s="27" t="str">
        <f>IF(TABELLA!C44="","",TABELLA!C44)</f>
        <v/>
      </c>
      <c r="H40" s="203" t="str">
        <f t="shared" ref="H40:V40" si="50">IF(AND(G$3&gt;=$A40,G$3&lt;$B40),1,IF(AND(G$3&gt;=$C40,G$3&lt;$D40),1,""))</f>
        <v/>
      </c>
      <c r="I40" s="203" t="str">
        <f t="shared" si="50"/>
        <v/>
      </c>
      <c r="J40" s="203" t="str">
        <f t="shared" si="50"/>
        <v/>
      </c>
      <c r="K40" s="204" t="str">
        <f t="shared" si="50"/>
        <v/>
      </c>
      <c r="L40" s="205" t="str">
        <f t="shared" si="50"/>
        <v/>
      </c>
      <c r="M40" s="203" t="str">
        <f t="shared" si="50"/>
        <v/>
      </c>
      <c r="N40" s="203" t="str">
        <f t="shared" si="50"/>
        <v/>
      </c>
      <c r="O40" s="204" t="str">
        <f t="shared" si="50"/>
        <v/>
      </c>
      <c r="P40" s="205" t="str">
        <f t="shared" si="50"/>
        <v/>
      </c>
      <c r="Q40" s="203" t="str">
        <f t="shared" si="50"/>
        <v/>
      </c>
      <c r="R40" s="203" t="str">
        <f t="shared" si="50"/>
        <v/>
      </c>
      <c r="S40" s="204" t="str">
        <f t="shared" si="50"/>
        <v/>
      </c>
      <c r="T40" s="205" t="str">
        <f t="shared" si="50"/>
        <v/>
      </c>
      <c r="U40" s="203" t="str">
        <f t="shared" si="50"/>
        <v/>
      </c>
      <c r="V40" s="203" t="str">
        <f t="shared" si="50"/>
        <v/>
      </c>
      <c r="W40" s="204" t="str">
        <f t="shared" si="46"/>
        <v/>
      </c>
      <c r="X40" s="205" t="str">
        <f t="shared" si="43"/>
        <v/>
      </c>
      <c r="Y40" s="203" t="str">
        <f t="shared" si="43"/>
        <v/>
      </c>
      <c r="Z40" s="203" t="str">
        <f t="shared" si="43"/>
        <v/>
      </c>
      <c r="AA40" s="204" t="str">
        <f t="shared" si="43"/>
        <v/>
      </c>
      <c r="AB40" s="205" t="str">
        <f t="shared" si="43"/>
        <v/>
      </c>
      <c r="AC40" s="203" t="str">
        <f t="shared" si="43"/>
        <v/>
      </c>
      <c r="AD40" s="203" t="str">
        <f t="shared" si="43"/>
        <v/>
      </c>
      <c r="AE40" s="204" t="str">
        <f t="shared" si="43"/>
        <v/>
      </c>
      <c r="AF40" s="205" t="str">
        <f t="shared" si="43"/>
        <v/>
      </c>
      <c r="AG40" s="203" t="str">
        <f t="shared" si="43"/>
        <v/>
      </c>
      <c r="AH40" s="203" t="str">
        <f t="shared" si="43"/>
        <v/>
      </c>
      <c r="AI40" s="204" t="str">
        <f t="shared" si="43"/>
        <v/>
      </c>
      <c r="AJ40" s="205" t="str">
        <f t="shared" si="43"/>
        <v/>
      </c>
      <c r="AK40" s="203" t="str">
        <f t="shared" si="43"/>
        <v/>
      </c>
      <c r="AL40" s="203" t="str">
        <f t="shared" si="43"/>
        <v/>
      </c>
      <c r="AM40" s="204" t="str">
        <f t="shared" si="47"/>
        <v/>
      </c>
      <c r="AN40" s="205" t="str">
        <f t="shared" si="47"/>
        <v/>
      </c>
      <c r="AO40" s="203" t="str">
        <f t="shared" si="47"/>
        <v/>
      </c>
      <c r="AP40" s="203" t="str">
        <f t="shared" si="47"/>
        <v/>
      </c>
      <c r="AQ40" s="204" t="str">
        <f t="shared" si="47"/>
        <v/>
      </c>
      <c r="AR40" s="205" t="str">
        <f t="shared" si="47"/>
        <v/>
      </c>
      <c r="AS40" s="203" t="str">
        <f t="shared" si="47"/>
        <v/>
      </c>
      <c r="AT40" s="203" t="str">
        <f t="shared" si="47"/>
        <v/>
      </c>
      <c r="AU40" s="204" t="str">
        <f t="shared" si="47"/>
        <v/>
      </c>
      <c r="AV40" s="205" t="str">
        <f t="shared" si="47"/>
        <v/>
      </c>
      <c r="AW40" s="203" t="str">
        <f t="shared" si="47"/>
        <v/>
      </c>
      <c r="AX40" s="203" t="str">
        <f t="shared" si="47"/>
        <v/>
      </c>
      <c r="AY40" s="204" t="str">
        <f t="shared" si="47"/>
        <v/>
      </c>
      <c r="AZ40" s="205" t="str">
        <f t="shared" si="47"/>
        <v/>
      </c>
      <c r="BA40" s="203" t="str">
        <f t="shared" si="47"/>
        <v/>
      </c>
      <c r="BB40" s="203" t="str">
        <f t="shared" si="47"/>
        <v/>
      </c>
      <c r="BC40" s="204" t="str">
        <f t="shared" si="44"/>
        <v/>
      </c>
      <c r="BD40" s="205" t="str">
        <f t="shared" si="44"/>
        <v/>
      </c>
      <c r="BE40" s="203" t="str">
        <f t="shared" si="44"/>
        <v/>
      </c>
      <c r="BF40" s="203" t="str">
        <f t="shared" si="44"/>
        <v/>
      </c>
      <c r="BG40" s="204" t="str">
        <f t="shared" si="44"/>
        <v/>
      </c>
      <c r="BH40" s="205" t="str">
        <f t="shared" si="44"/>
        <v/>
      </c>
      <c r="BI40" s="203" t="str">
        <f t="shared" si="44"/>
        <v/>
      </c>
      <c r="BJ40" s="203" t="str">
        <f t="shared" si="44"/>
        <v/>
      </c>
      <c r="BK40" s="204" t="str">
        <f t="shared" si="44"/>
        <v/>
      </c>
      <c r="BL40" s="205" t="str">
        <f t="shared" si="44"/>
        <v/>
      </c>
      <c r="BM40" s="203" t="str">
        <f t="shared" si="44"/>
        <v/>
      </c>
      <c r="BN40" s="203" t="str">
        <f t="shared" si="44"/>
        <v/>
      </c>
      <c r="BO40" s="204" t="str">
        <f t="shared" si="44"/>
        <v/>
      </c>
      <c r="BP40" s="205" t="str">
        <f t="shared" si="48"/>
        <v/>
      </c>
      <c r="BQ40" s="203" t="str">
        <f t="shared" si="48"/>
        <v/>
      </c>
      <c r="BR40" s="203" t="str">
        <f t="shared" si="48"/>
        <v/>
      </c>
      <c r="BS40" s="204" t="str">
        <f t="shared" si="48"/>
        <v/>
      </c>
      <c r="BT40" s="205" t="str">
        <f t="shared" si="48"/>
        <v/>
      </c>
      <c r="BU40" s="203" t="str">
        <f t="shared" si="48"/>
        <v/>
      </c>
      <c r="BV40" s="203" t="str">
        <f t="shared" si="48"/>
        <v/>
      </c>
      <c r="BW40" s="204" t="str">
        <f t="shared" si="48"/>
        <v/>
      </c>
      <c r="BX40" s="205" t="str">
        <f t="shared" si="48"/>
        <v/>
      </c>
      <c r="BY40" s="203" t="str">
        <f t="shared" si="48"/>
        <v/>
      </c>
      <c r="BZ40" s="203" t="str">
        <f t="shared" si="48"/>
        <v/>
      </c>
      <c r="CA40" s="204" t="str">
        <f t="shared" si="48"/>
        <v/>
      </c>
      <c r="CB40" s="205" t="str">
        <f t="shared" si="48"/>
        <v/>
      </c>
      <c r="CC40" s="203" t="str">
        <f t="shared" si="48"/>
        <v/>
      </c>
      <c r="CD40" s="203" t="str">
        <f t="shared" si="48"/>
        <v/>
      </c>
      <c r="CE40" s="204" t="str">
        <f t="shared" si="48"/>
        <v/>
      </c>
    </row>
    <row r="41" spans="1:87" ht="18" customHeight="1">
      <c r="A41" s="22">
        <f>+TABELLA!Q45</f>
        <v>0</v>
      </c>
      <c r="B41" s="22">
        <f>+TABELLA!R45</f>
        <v>0</v>
      </c>
      <c r="C41" s="22">
        <f>+TABELLA!S45</f>
        <v>0</v>
      </c>
      <c r="D41" s="22">
        <f>+TABELLA!T45</f>
        <v>0</v>
      </c>
      <c r="E41" s="22"/>
      <c r="F41" s="41">
        <f>IF(TABELLA!B45="","",TABELLA!B45)</f>
        <v>9</v>
      </c>
      <c r="G41" s="42" t="str">
        <f>IF(TABELLA!C45="","",TABELLA!C45)</f>
        <v>CANELLA PAOLO</v>
      </c>
      <c r="H41" s="206" t="str">
        <f t="shared" ref="H41:V41" si="51">IF(AND(G$3&gt;=$A41,G$3&lt;$B41),1,IF(AND(G$3&gt;=$C41,G$3&lt;$D41),1,""))</f>
        <v/>
      </c>
      <c r="I41" s="206" t="str">
        <f t="shared" si="51"/>
        <v/>
      </c>
      <c r="J41" s="206" t="str">
        <f t="shared" si="51"/>
        <v/>
      </c>
      <c r="K41" s="207" t="str">
        <f t="shared" si="51"/>
        <v/>
      </c>
      <c r="L41" s="208" t="str">
        <f t="shared" si="51"/>
        <v/>
      </c>
      <c r="M41" s="206" t="str">
        <f t="shared" si="51"/>
        <v/>
      </c>
      <c r="N41" s="206" t="str">
        <f t="shared" si="51"/>
        <v/>
      </c>
      <c r="O41" s="207" t="str">
        <f t="shared" si="51"/>
        <v/>
      </c>
      <c r="P41" s="208" t="str">
        <f t="shared" si="51"/>
        <v/>
      </c>
      <c r="Q41" s="206" t="str">
        <f t="shared" si="51"/>
        <v/>
      </c>
      <c r="R41" s="206" t="str">
        <f t="shared" si="51"/>
        <v/>
      </c>
      <c r="S41" s="207" t="str">
        <f t="shared" si="51"/>
        <v/>
      </c>
      <c r="T41" s="208" t="str">
        <f t="shared" si="51"/>
        <v/>
      </c>
      <c r="U41" s="206" t="str">
        <f t="shared" si="51"/>
        <v/>
      </c>
      <c r="V41" s="206" t="str">
        <f t="shared" si="51"/>
        <v/>
      </c>
      <c r="W41" s="207" t="str">
        <f t="shared" si="46"/>
        <v/>
      </c>
      <c r="X41" s="208" t="str">
        <f t="shared" si="43"/>
        <v/>
      </c>
      <c r="Y41" s="206" t="str">
        <f t="shared" si="43"/>
        <v/>
      </c>
      <c r="Z41" s="206" t="str">
        <f t="shared" si="43"/>
        <v/>
      </c>
      <c r="AA41" s="207" t="str">
        <f t="shared" si="43"/>
        <v/>
      </c>
      <c r="AB41" s="208" t="str">
        <f t="shared" si="43"/>
        <v/>
      </c>
      <c r="AC41" s="206" t="str">
        <f t="shared" si="43"/>
        <v/>
      </c>
      <c r="AD41" s="206" t="str">
        <f t="shared" si="43"/>
        <v/>
      </c>
      <c r="AE41" s="207" t="str">
        <f t="shared" si="43"/>
        <v/>
      </c>
      <c r="AF41" s="208" t="str">
        <f t="shared" si="43"/>
        <v/>
      </c>
      <c r="AG41" s="206" t="str">
        <f t="shared" si="43"/>
        <v/>
      </c>
      <c r="AH41" s="206" t="str">
        <f t="shared" si="43"/>
        <v/>
      </c>
      <c r="AI41" s="207" t="str">
        <f t="shared" si="43"/>
        <v/>
      </c>
      <c r="AJ41" s="208" t="str">
        <f t="shared" si="43"/>
        <v/>
      </c>
      <c r="AK41" s="206" t="str">
        <f t="shared" si="43"/>
        <v/>
      </c>
      <c r="AL41" s="206" t="str">
        <f t="shared" si="43"/>
        <v/>
      </c>
      <c r="AM41" s="207" t="str">
        <f t="shared" si="47"/>
        <v/>
      </c>
      <c r="AN41" s="208" t="str">
        <f t="shared" si="47"/>
        <v/>
      </c>
      <c r="AO41" s="206" t="str">
        <f t="shared" si="47"/>
        <v/>
      </c>
      <c r="AP41" s="206" t="str">
        <f t="shared" si="47"/>
        <v/>
      </c>
      <c r="AQ41" s="207" t="str">
        <f t="shared" si="47"/>
        <v/>
      </c>
      <c r="AR41" s="208" t="str">
        <f t="shared" si="47"/>
        <v/>
      </c>
      <c r="AS41" s="206" t="str">
        <f t="shared" si="47"/>
        <v/>
      </c>
      <c r="AT41" s="206" t="str">
        <f t="shared" si="47"/>
        <v/>
      </c>
      <c r="AU41" s="207" t="str">
        <f t="shared" si="47"/>
        <v/>
      </c>
      <c r="AV41" s="208" t="str">
        <f t="shared" si="47"/>
        <v/>
      </c>
      <c r="AW41" s="206" t="str">
        <f t="shared" si="47"/>
        <v/>
      </c>
      <c r="AX41" s="206" t="str">
        <f t="shared" si="47"/>
        <v/>
      </c>
      <c r="AY41" s="207" t="str">
        <f t="shared" si="47"/>
        <v/>
      </c>
      <c r="AZ41" s="208" t="str">
        <f t="shared" si="47"/>
        <v/>
      </c>
      <c r="BA41" s="206" t="str">
        <f t="shared" si="47"/>
        <v/>
      </c>
      <c r="BB41" s="206" t="str">
        <f t="shared" si="47"/>
        <v/>
      </c>
      <c r="BC41" s="207" t="str">
        <f t="shared" si="44"/>
        <v/>
      </c>
      <c r="BD41" s="208" t="str">
        <f t="shared" si="44"/>
        <v/>
      </c>
      <c r="BE41" s="206" t="str">
        <f t="shared" si="44"/>
        <v/>
      </c>
      <c r="BF41" s="206" t="str">
        <f t="shared" si="44"/>
        <v/>
      </c>
      <c r="BG41" s="207" t="str">
        <f t="shared" si="44"/>
        <v/>
      </c>
      <c r="BH41" s="208" t="str">
        <f t="shared" si="44"/>
        <v/>
      </c>
      <c r="BI41" s="206" t="str">
        <f t="shared" si="44"/>
        <v/>
      </c>
      <c r="BJ41" s="206" t="str">
        <f t="shared" si="44"/>
        <v/>
      </c>
      <c r="BK41" s="207" t="str">
        <f t="shared" si="44"/>
        <v/>
      </c>
      <c r="BL41" s="208" t="str">
        <f t="shared" si="44"/>
        <v/>
      </c>
      <c r="BM41" s="206" t="str">
        <f t="shared" si="44"/>
        <v/>
      </c>
      <c r="BN41" s="206" t="str">
        <f t="shared" si="44"/>
        <v/>
      </c>
      <c r="BO41" s="207" t="str">
        <f t="shared" si="44"/>
        <v/>
      </c>
      <c r="BP41" s="208" t="str">
        <f t="shared" si="48"/>
        <v/>
      </c>
      <c r="BQ41" s="206" t="str">
        <f t="shared" si="48"/>
        <v/>
      </c>
      <c r="BR41" s="206" t="str">
        <f t="shared" si="48"/>
        <v/>
      </c>
      <c r="BS41" s="207" t="str">
        <f t="shared" si="48"/>
        <v/>
      </c>
      <c r="BT41" s="208" t="str">
        <f t="shared" si="48"/>
        <v/>
      </c>
      <c r="BU41" s="206" t="str">
        <f t="shared" si="48"/>
        <v/>
      </c>
      <c r="BV41" s="206" t="str">
        <f t="shared" si="48"/>
        <v/>
      </c>
      <c r="BW41" s="207" t="str">
        <f t="shared" si="48"/>
        <v/>
      </c>
      <c r="BX41" s="208" t="str">
        <f t="shared" si="48"/>
        <v/>
      </c>
      <c r="BY41" s="206" t="str">
        <f t="shared" si="48"/>
        <v/>
      </c>
      <c r="BZ41" s="206" t="str">
        <f t="shared" si="48"/>
        <v/>
      </c>
      <c r="CA41" s="207" t="str">
        <f t="shared" si="48"/>
        <v/>
      </c>
      <c r="CB41" s="208" t="str">
        <f t="shared" si="48"/>
        <v/>
      </c>
      <c r="CC41" s="206" t="str">
        <f t="shared" si="48"/>
        <v/>
      </c>
      <c r="CD41" s="206" t="str">
        <f t="shared" si="48"/>
        <v/>
      </c>
      <c r="CE41" s="207" t="str">
        <f t="shared" si="48"/>
        <v/>
      </c>
    </row>
    <row r="42" spans="1:87" ht="18" customHeight="1">
      <c r="A42" s="22">
        <f>+TABELLA!Q46</f>
        <v>0</v>
      </c>
      <c r="B42" s="22">
        <f>+TABELLA!R46</f>
        <v>0</v>
      </c>
      <c r="C42" s="22">
        <f>+TABELLA!S46</f>
        <v>0</v>
      </c>
      <c r="D42" s="22">
        <f>+TABELLA!T46</f>
        <v>0</v>
      </c>
      <c r="E42" s="22"/>
      <c r="F42" s="26" t="str">
        <f>IF(TABELLA!B46="","",TABELLA!B46)</f>
        <v/>
      </c>
      <c r="G42" s="27" t="str">
        <f>IF(TABELLA!C46="","",TABELLA!C46)</f>
        <v/>
      </c>
      <c r="H42" s="203" t="str">
        <f t="shared" ref="H42:V42" si="52">IF(AND(G$3&gt;=$A42,G$3&lt;$B42),1,IF(AND(G$3&gt;=$C42,G$3&lt;$D42),1,""))</f>
        <v/>
      </c>
      <c r="I42" s="203" t="str">
        <f t="shared" si="52"/>
        <v/>
      </c>
      <c r="J42" s="203" t="str">
        <f t="shared" si="52"/>
        <v/>
      </c>
      <c r="K42" s="204" t="str">
        <f t="shared" si="52"/>
        <v/>
      </c>
      <c r="L42" s="205" t="str">
        <f t="shared" si="52"/>
        <v/>
      </c>
      <c r="M42" s="203" t="str">
        <f t="shared" si="52"/>
        <v/>
      </c>
      <c r="N42" s="203" t="str">
        <f t="shared" si="52"/>
        <v/>
      </c>
      <c r="O42" s="204" t="str">
        <f t="shared" si="52"/>
        <v/>
      </c>
      <c r="P42" s="205" t="str">
        <f t="shared" si="52"/>
        <v/>
      </c>
      <c r="Q42" s="203" t="str">
        <f t="shared" si="52"/>
        <v/>
      </c>
      <c r="R42" s="203" t="str">
        <f t="shared" si="52"/>
        <v/>
      </c>
      <c r="S42" s="204" t="str">
        <f t="shared" si="52"/>
        <v/>
      </c>
      <c r="T42" s="205" t="str">
        <f t="shared" si="52"/>
        <v/>
      </c>
      <c r="U42" s="203" t="str">
        <f t="shared" si="52"/>
        <v/>
      </c>
      <c r="V42" s="203" t="str">
        <f t="shared" si="52"/>
        <v/>
      </c>
      <c r="W42" s="204" t="str">
        <f t="shared" si="46"/>
        <v/>
      </c>
      <c r="X42" s="205" t="str">
        <f t="shared" si="43"/>
        <v/>
      </c>
      <c r="Y42" s="203" t="str">
        <f t="shared" si="43"/>
        <v/>
      </c>
      <c r="Z42" s="203" t="str">
        <f t="shared" si="43"/>
        <v/>
      </c>
      <c r="AA42" s="204" t="str">
        <f t="shared" si="43"/>
        <v/>
      </c>
      <c r="AB42" s="205" t="str">
        <f t="shared" si="43"/>
        <v/>
      </c>
      <c r="AC42" s="203" t="str">
        <f t="shared" si="43"/>
        <v/>
      </c>
      <c r="AD42" s="203" t="str">
        <f t="shared" si="43"/>
        <v/>
      </c>
      <c r="AE42" s="204" t="str">
        <f t="shared" si="43"/>
        <v/>
      </c>
      <c r="AF42" s="205" t="str">
        <f t="shared" si="43"/>
        <v/>
      </c>
      <c r="AG42" s="203" t="str">
        <f t="shared" si="43"/>
        <v/>
      </c>
      <c r="AH42" s="203" t="str">
        <f t="shared" si="43"/>
        <v/>
      </c>
      <c r="AI42" s="204" t="str">
        <f t="shared" si="43"/>
        <v/>
      </c>
      <c r="AJ42" s="205" t="str">
        <f t="shared" si="43"/>
        <v/>
      </c>
      <c r="AK42" s="203" t="str">
        <f t="shared" si="43"/>
        <v/>
      </c>
      <c r="AL42" s="203" t="str">
        <f t="shared" si="43"/>
        <v/>
      </c>
      <c r="AM42" s="204" t="str">
        <f t="shared" si="47"/>
        <v/>
      </c>
      <c r="AN42" s="205" t="str">
        <f t="shared" si="47"/>
        <v/>
      </c>
      <c r="AO42" s="203" t="str">
        <f t="shared" si="47"/>
        <v/>
      </c>
      <c r="AP42" s="203" t="str">
        <f t="shared" si="47"/>
        <v/>
      </c>
      <c r="AQ42" s="204" t="str">
        <f t="shared" si="47"/>
        <v/>
      </c>
      <c r="AR42" s="205" t="str">
        <f t="shared" si="47"/>
        <v/>
      </c>
      <c r="AS42" s="203" t="str">
        <f t="shared" si="47"/>
        <v/>
      </c>
      <c r="AT42" s="203" t="str">
        <f t="shared" si="47"/>
        <v/>
      </c>
      <c r="AU42" s="204" t="str">
        <f t="shared" si="47"/>
        <v/>
      </c>
      <c r="AV42" s="205" t="str">
        <f t="shared" si="47"/>
        <v/>
      </c>
      <c r="AW42" s="203" t="str">
        <f t="shared" si="47"/>
        <v/>
      </c>
      <c r="AX42" s="203" t="str">
        <f t="shared" si="47"/>
        <v/>
      </c>
      <c r="AY42" s="204" t="str">
        <f t="shared" si="47"/>
        <v/>
      </c>
      <c r="AZ42" s="205" t="str">
        <f t="shared" si="47"/>
        <v/>
      </c>
      <c r="BA42" s="203" t="str">
        <f t="shared" si="47"/>
        <v/>
      </c>
      <c r="BB42" s="203" t="str">
        <f t="shared" si="47"/>
        <v/>
      </c>
      <c r="BC42" s="204" t="str">
        <f t="shared" si="44"/>
        <v/>
      </c>
      <c r="BD42" s="205" t="str">
        <f t="shared" si="44"/>
        <v/>
      </c>
      <c r="BE42" s="203" t="str">
        <f t="shared" si="44"/>
        <v/>
      </c>
      <c r="BF42" s="203" t="str">
        <f t="shared" si="44"/>
        <v/>
      </c>
      <c r="BG42" s="204" t="str">
        <f t="shared" si="44"/>
        <v/>
      </c>
      <c r="BH42" s="205" t="str">
        <f t="shared" si="44"/>
        <v/>
      </c>
      <c r="BI42" s="203" t="str">
        <f t="shared" si="44"/>
        <v/>
      </c>
      <c r="BJ42" s="203" t="str">
        <f t="shared" si="44"/>
        <v/>
      </c>
      <c r="BK42" s="204" t="str">
        <f t="shared" si="44"/>
        <v/>
      </c>
      <c r="BL42" s="205" t="str">
        <f t="shared" si="44"/>
        <v/>
      </c>
      <c r="BM42" s="203" t="str">
        <f t="shared" si="44"/>
        <v/>
      </c>
      <c r="BN42" s="203" t="str">
        <f t="shared" si="44"/>
        <v/>
      </c>
      <c r="BO42" s="204" t="str">
        <f t="shared" si="44"/>
        <v/>
      </c>
      <c r="BP42" s="205" t="str">
        <f t="shared" si="48"/>
        <v/>
      </c>
      <c r="BQ42" s="203" t="str">
        <f t="shared" si="48"/>
        <v/>
      </c>
      <c r="BR42" s="203" t="str">
        <f t="shared" si="48"/>
        <v/>
      </c>
      <c r="BS42" s="204" t="str">
        <f t="shared" si="48"/>
        <v/>
      </c>
      <c r="BT42" s="205" t="str">
        <f t="shared" si="48"/>
        <v/>
      </c>
      <c r="BU42" s="203" t="str">
        <f t="shared" si="48"/>
        <v/>
      </c>
      <c r="BV42" s="203" t="str">
        <f t="shared" si="48"/>
        <v/>
      </c>
      <c r="BW42" s="204" t="str">
        <f t="shared" si="48"/>
        <v/>
      </c>
      <c r="BX42" s="205" t="str">
        <f t="shared" si="48"/>
        <v/>
      </c>
      <c r="BY42" s="203" t="str">
        <f t="shared" si="48"/>
        <v/>
      </c>
      <c r="BZ42" s="203" t="str">
        <f t="shared" si="48"/>
        <v/>
      </c>
      <c r="CA42" s="204" t="str">
        <f t="shared" si="48"/>
        <v/>
      </c>
      <c r="CB42" s="205" t="str">
        <f t="shared" si="48"/>
        <v/>
      </c>
      <c r="CC42" s="203" t="str">
        <f t="shared" si="48"/>
        <v/>
      </c>
      <c r="CD42" s="203" t="str">
        <f t="shared" si="48"/>
        <v/>
      </c>
      <c r="CE42" s="204" t="str">
        <f t="shared" si="48"/>
        <v/>
      </c>
    </row>
    <row r="43" spans="1:87" ht="18" customHeight="1">
      <c r="A43" s="22">
        <f>+TABELLA!Q47</f>
        <v>0</v>
      </c>
      <c r="B43" s="22">
        <f>+TABELLA!R47</f>
        <v>0</v>
      </c>
      <c r="C43" s="22">
        <f>+TABELLA!S47</f>
        <v>0</v>
      </c>
      <c r="D43" s="22">
        <f>+TABELLA!T47</f>
        <v>0</v>
      </c>
      <c r="E43" s="22"/>
      <c r="F43" s="41" t="str">
        <f>IF(TABELLA!B47="","",TABELLA!B47)</f>
        <v/>
      </c>
      <c r="G43" s="42" t="str">
        <f>IF(TABELLA!C47="","",TABELLA!C47)</f>
        <v/>
      </c>
      <c r="H43" s="206" t="str">
        <f t="shared" ref="H43:V43" si="53">IF(AND(G$3&gt;=$A43,G$3&lt;$B43),1,IF(AND(G$3&gt;=$C43,G$3&lt;$D43),1,""))</f>
        <v/>
      </c>
      <c r="I43" s="206" t="str">
        <f t="shared" si="53"/>
        <v/>
      </c>
      <c r="J43" s="206" t="str">
        <f t="shared" si="53"/>
        <v/>
      </c>
      <c r="K43" s="207" t="str">
        <f t="shared" si="53"/>
        <v/>
      </c>
      <c r="L43" s="208" t="str">
        <f t="shared" si="53"/>
        <v/>
      </c>
      <c r="M43" s="206" t="str">
        <f t="shared" si="53"/>
        <v/>
      </c>
      <c r="N43" s="206" t="str">
        <f t="shared" si="53"/>
        <v/>
      </c>
      <c r="O43" s="207" t="str">
        <f t="shared" si="53"/>
        <v/>
      </c>
      <c r="P43" s="208" t="str">
        <f t="shared" si="53"/>
        <v/>
      </c>
      <c r="Q43" s="206" t="str">
        <f t="shared" si="53"/>
        <v/>
      </c>
      <c r="R43" s="206" t="str">
        <f t="shared" si="53"/>
        <v/>
      </c>
      <c r="S43" s="207" t="str">
        <f t="shared" si="53"/>
        <v/>
      </c>
      <c r="T43" s="208" t="str">
        <f t="shared" si="53"/>
        <v/>
      </c>
      <c r="U43" s="206" t="str">
        <f t="shared" si="53"/>
        <v/>
      </c>
      <c r="V43" s="206" t="str">
        <f t="shared" si="53"/>
        <v/>
      </c>
      <c r="W43" s="207" t="str">
        <f t="shared" si="46"/>
        <v/>
      </c>
      <c r="X43" s="208" t="str">
        <f t="shared" si="43"/>
        <v/>
      </c>
      <c r="Y43" s="206" t="str">
        <f t="shared" si="43"/>
        <v/>
      </c>
      <c r="Z43" s="206" t="str">
        <f t="shared" si="43"/>
        <v/>
      </c>
      <c r="AA43" s="207" t="str">
        <f t="shared" si="43"/>
        <v/>
      </c>
      <c r="AB43" s="208" t="str">
        <f t="shared" si="43"/>
        <v/>
      </c>
      <c r="AC43" s="206" t="str">
        <f t="shared" si="43"/>
        <v/>
      </c>
      <c r="AD43" s="206" t="str">
        <f t="shared" si="43"/>
        <v/>
      </c>
      <c r="AE43" s="207" t="str">
        <f t="shared" si="43"/>
        <v/>
      </c>
      <c r="AF43" s="208" t="str">
        <f t="shared" si="43"/>
        <v/>
      </c>
      <c r="AG43" s="206" t="str">
        <f t="shared" si="43"/>
        <v/>
      </c>
      <c r="AH43" s="206" t="str">
        <f t="shared" si="43"/>
        <v/>
      </c>
      <c r="AI43" s="207" t="str">
        <f t="shared" si="43"/>
        <v/>
      </c>
      <c r="AJ43" s="208" t="str">
        <f t="shared" si="43"/>
        <v/>
      </c>
      <c r="AK43" s="206" t="str">
        <f t="shared" si="43"/>
        <v/>
      </c>
      <c r="AL43" s="206" t="str">
        <f t="shared" si="43"/>
        <v/>
      </c>
      <c r="AM43" s="207" t="str">
        <f t="shared" si="47"/>
        <v/>
      </c>
      <c r="AN43" s="208" t="str">
        <f t="shared" si="47"/>
        <v/>
      </c>
      <c r="AO43" s="206" t="str">
        <f t="shared" si="47"/>
        <v/>
      </c>
      <c r="AP43" s="206" t="str">
        <f t="shared" si="47"/>
        <v/>
      </c>
      <c r="AQ43" s="207" t="str">
        <f t="shared" si="47"/>
        <v/>
      </c>
      <c r="AR43" s="208" t="str">
        <f t="shared" si="47"/>
        <v/>
      </c>
      <c r="AS43" s="206" t="str">
        <f t="shared" si="47"/>
        <v/>
      </c>
      <c r="AT43" s="206" t="str">
        <f t="shared" si="47"/>
        <v/>
      </c>
      <c r="AU43" s="207" t="str">
        <f t="shared" si="47"/>
        <v/>
      </c>
      <c r="AV43" s="208" t="str">
        <f t="shared" si="47"/>
        <v/>
      </c>
      <c r="AW43" s="206" t="str">
        <f t="shared" si="47"/>
        <v/>
      </c>
      <c r="AX43" s="206" t="str">
        <f t="shared" si="47"/>
        <v/>
      </c>
      <c r="AY43" s="207" t="str">
        <f t="shared" si="47"/>
        <v/>
      </c>
      <c r="AZ43" s="208" t="str">
        <f t="shared" si="47"/>
        <v/>
      </c>
      <c r="BA43" s="206" t="str">
        <f t="shared" si="47"/>
        <v/>
      </c>
      <c r="BB43" s="206" t="str">
        <f t="shared" si="47"/>
        <v/>
      </c>
      <c r="BC43" s="207" t="str">
        <f t="shared" si="44"/>
        <v/>
      </c>
      <c r="BD43" s="208" t="str">
        <f t="shared" si="44"/>
        <v/>
      </c>
      <c r="BE43" s="206" t="str">
        <f t="shared" si="44"/>
        <v/>
      </c>
      <c r="BF43" s="206" t="str">
        <f t="shared" si="44"/>
        <v/>
      </c>
      <c r="BG43" s="207" t="str">
        <f t="shared" si="44"/>
        <v/>
      </c>
      <c r="BH43" s="208" t="str">
        <f t="shared" si="44"/>
        <v/>
      </c>
      <c r="BI43" s="206" t="str">
        <f t="shared" si="44"/>
        <v/>
      </c>
      <c r="BJ43" s="206" t="str">
        <f t="shared" si="44"/>
        <v/>
      </c>
      <c r="BK43" s="207" t="str">
        <f t="shared" si="44"/>
        <v/>
      </c>
      <c r="BL43" s="208" t="str">
        <f t="shared" si="44"/>
        <v/>
      </c>
      <c r="BM43" s="206" t="str">
        <f t="shared" si="44"/>
        <v/>
      </c>
      <c r="BN43" s="206" t="str">
        <f t="shared" si="44"/>
        <v/>
      </c>
      <c r="BO43" s="207" t="str">
        <f t="shared" si="44"/>
        <v/>
      </c>
      <c r="BP43" s="208" t="str">
        <f t="shared" si="48"/>
        <v/>
      </c>
      <c r="BQ43" s="206" t="str">
        <f t="shared" si="48"/>
        <v/>
      </c>
      <c r="BR43" s="206" t="str">
        <f t="shared" si="48"/>
        <v/>
      </c>
      <c r="BS43" s="207" t="str">
        <f t="shared" si="48"/>
        <v/>
      </c>
      <c r="BT43" s="208" t="str">
        <f t="shared" si="48"/>
        <v/>
      </c>
      <c r="BU43" s="206" t="str">
        <f t="shared" si="48"/>
        <v/>
      </c>
      <c r="BV43" s="206" t="str">
        <f t="shared" si="48"/>
        <v/>
      </c>
      <c r="BW43" s="207" t="str">
        <f t="shared" si="48"/>
        <v/>
      </c>
      <c r="BX43" s="208" t="str">
        <f t="shared" si="48"/>
        <v/>
      </c>
      <c r="BY43" s="206" t="str">
        <f t="shared" si="48"/>
        <v/>
      </c>
      <c r="BZ43" s="206" t="str">
        <f t="shared" si="48"/>
        <v/>
      </c>
      <c r="CA43" s="207" t="str">
        <f t="shared" si="48"/>
        <v/>
      </c>
      <c r="CB43" s="208" t="str">
        <f t="shared" si="48"/>
        <v/>
      </c>
      <c r="CC43" s="206" t="str">
        <f t="shared" si="48"/>
        <v/>
      </c>
      <c r="CD43" s="206" t="str">
        <f t="shared" si="48"/>
        <v/>
      </c>
      <c r="CE43" s="207" t="str">
        <f t="shared" si="48"/>
        <v/>
      </c>
    </row>
    <row r="44" spans="1:87" ht="18" customHeight="1">
      <c r="A44" s="22">
        <f>+TABELLA!Q48</f>
        <v>0</v>
      </c>
      <c r="B44" s="22">
        <f>+TABELLA!R48</f>
        <v>0</v>
      </c>
      <c r="C44" s="22">
        <f>+TABELLA!S48</f>
        <v>0</v>
      </c>
      <c r="D44" s="22">
        <f>+TABELLA!T48</f>
        <v>0</v>
      </c>
      <c r="E44" s="22"/>
      <c r="F44" s="26" t="str">
        <f>IF(TABELLA!B48="","",TABELLA!B48)</f>
        <v/>
      </c>
      <c r="G44" s="27" t="str">
        <f>IF(TABELLA!C48="","",TABELLA!C48)</f>
        <v/>
      </c>
      <c r="H44" s="203" t="str">
        <f t="shared" ref="H44:V44" si="54">IF(AND(G$3&gt;=$A44,G$3&lt;$B44),1,IF(AND(G$3&gt;=$C44,G$3&lt;$D44),1,""))</f>
        <v/>
      </c>
      <c r="I44" s="203" t="str">
        <f t="shared" si="54"/>
        <v/>
      </c>
      <c r="J44" s="203" t="str">
        <f t="shared" si="54"/>
        <v/>
      </c>
      <c r="K44" s="204" t="str">
        <f t="shared" si="54"/>
        <v/>
      </c>
      <c r="L44" s="205" t="str">
        <f t="shared" si="54"/>
        <v/>
      </c>
      <c r="M44" s="203" t="str">
        <f t="shared" si="54"/>
        <v/>
      </c>
      <c r="N44" s="203" t="str">
        <f t="shared" si="54"/>
        <v/>
      </c>
      <c r="O44" s="204" t="str">
        <f t="shared" si="54"/>
        <v/>
      </c>
      <c r="P44" s="205" t="str">
        <f t="shared" si="54"/>
        <v/>
      </c>
      <c r="Q44" s="203" t="str">
        <f t="shared" si="54"/>
        <v/>
      </c>
      <c r="R44" s="203" t="str">
        <f t="shared" si="54"/>
        <v/>
      </c>
      <c r="S44" s="204" t="str">
        <f t="shared" si="54"/>
        <v/>
      </c>
      <c r="T44" s="205" t="str">
        <f t="shared" si="54"/>
        <v/>
      </c>
      <c r="U44" s="203" t="str">
        <f t="shared" si="54"/>
        <v/>
      </c>
      <c r="V44" s="203" t="str">
        <f t="shared" si="54"/>
        <v/>
      </c>
      <c r="W44" s="204" t="str">
        <f t="shared" si="46"/>
        <v/>
      </c>
      <c r="X44" s="205" t="str">
        <f t="shared" si="43"/>
        <v/>
      </c>
      <c r="Y44" s="203" t="str">
        <f t="shared" si="43"/>
        <v/>
      </c>
      <c r="Z44" s="203" t="str">
        <f t="shared" si="43"/>
        <v/>
      </c>
      <c r="AA44" s="204" t="str">
        <f t="shared" si="43"/>
        <v/>
      </c>
      <c r="AB44" s="205" t="str">
        <f t="shared" si="43"/>
        <v/>
      </c>
      <c r="AC44" s="203" t="str">
        <f t="shared" si="43"/>
        <v/>
      </c>
      <c r="AD44" s="203" t="str">
        <f t="shared" si="43"/>
        <v/>
      </c>
      <c r="AE44" s="204" t="str">
        <f t="shared" si="43"/>
        <v/>
      </c>
      <c r="AF44" s="205" t="str">
        <f t="shared" si="43"/>
        <v/>
      </c>
      <c r="AG44" s="203" t="str">
        <f t="shared" si="43"/>
        <v/>
      </c>
      <c r="AH44" s="203" t="str">
        <f t="shared" si="43"/>
        <v/>
      </c>
      <c r="AI44" s="204" t="str">
        <f t="shared" si="43"/>
        <v/>
      </c>
      <c r="AJ44" s="205" t="str">
        <f t="shared" si="43"/>
        <v/>
      </c>
      <c r="AK44" s="203" t="str">
        <f t="shared" si="43"/>
        <v/>
      </c>
      <c r="AL44" s="203" t="str">
        <f t="shared" si="43"/>
        <v/>
      </c>
      <c r="AM44" s="204" t="str">
        <f t="shared" si="47"/>
        <v/>
      </c>
      <c r="AN44" s="205" t="str">
        <f t="shared" si="47"/>
        <v/>
      </c>
      <c r="AO44" s="203" t="str">
        <f t="shared" si="47"/>
        <v/>
      </c>
      <c r="AP44" s="203" t="str">
        <f t="shared" si="47"/>
        <v/>
      </c>
      <c r="AQ44" s="204" t="str">
        <f t="shared" si="47"/>
        <v/>
      </c>
      <c r="AR44" s="205" t="str">
        <f t="shared" si="47"/>
        <v/>
      </c>
      <c r="AS44" s="203" t="str">
        <f t="shared" si="47"/>
        <v/>
      </c>
      <c r="AT44" s="203" t="str">
        <f t="shared" si="47"/>
        <v/>
      </c>
      <c r="AU44" s="204" t="str">
        <f t="shared" si="47"/>
        <v/>
      </c>
      <c r="AV44" s="205" t="str">
        <f t="shared" si="47"/>
        <v/>
      </c>
      <c r="AW44" s="203" t="str">
        <f t="shared" si="47"/>
        <v/>
      </c>
      <c r="AX44" s="203" t="str">
        <f t="shared" si="47"/>
        <v/>
      </c>
      <c r="AY44" s="204" t="str">
        <f t="shared" si="47"/>
        <v/>
      </c>
      <c r="AZ44" s="205" t="str">
        <f t="shared" si="47"/>
        <v/>
      </c>
      <c r="BA44" s="203" t="str">
        <f t="shared" si="47"/>
        <v/>
      </c>
      <c r="BB44" s="203" t="str">
        <f t="shared" si="47"/>
        <v/>
      </c>
      <c r="BC44" s="204" t="str">
        <f t="shared" si="44"/>
        <v/>
      </c>
      <c r="BD44" s="205" t="str">
        <f t="shared" si="44"/>
        <v/>
      </c>
      <c r="BE44" s="203" t="str">
        <f t="shared" si="44"/>
        <v/>
      </c>
      <c r="BF44" s="203" t="str">
        <f t="shared" si="44"/>
        <v/>
      </c>
      <c r="BG44" s="204" t="str">
        <f t="shared" si="44"/>
        <v/>
      </c>
      <c r="BH44" s="205" t="str">
        <f t="shared" si="44"/>
        <v/>
      </c>
      <c r="BI44" s="203" t="str">
        <f t="shared" si="44"/>
        <v/>
      </c>
      <c r="BJ44" s="203" t="str">
        <f t="shared" si="44"/>
        <v/>
      </c>
      <c r="BK44" s="204" t="str">
        <f t="shared" si="44"/>
        <v/>
      </c>
      <c r="BL44" s="205" t="str">
        <f t="shared" si="44"/>
        <v/>
      </c>
      <c r="BM44" s="203" t="str">
        <f t="shared" si="44"/>
        <v/>
      </c>
      <c r="BN44" s="203" t="str">
        <f t="shared" si="44"/>
        <v/>
      </c>
      <c r="BO44" s="204" t="str">
        <f t="shared" si="44"/>
        <v/>
      </c>
      <c r="BP44" s="205" t="str">
        <f t="shared" si="48"/>
        <v/>
      </c>
      <c r="BQ44" s="203" t="str">
        <f t="shared" si="48"/>
        <v/>
      </c>
      <c r="BR44" s="203" t="str">
        <f t="shared" si="48"/>
        <v/>
      </c>
      <c r="BS44" s="204" t="str">
        <f t="shared" si="48"/>
        <v/>
      </c>
      <c r="BT44" s="205" t="str">
        <f t="shared" si="48"/>
        <v/>
      </c>
      <c r="BU44" s="203" t="str">
        <f t="shared" si="48"/>
        <v/>
      </c>
      <c r="BV44" s="203" t="str">
        <f t="shared" si="48"/>
        <v/>
      </c>
      <c r="BW44" s="204" t="str">
        <f t="shared" si="48"/>
        <v/>
      </c>
      <c r="BX44" s="205" t="str">
        <f t="shared" si="48"/>
        <v/>
      </c>
      <c r="BY44" s="203" t="str">
        <f t="shared" si="48"/>
        <v/>
      </c>
      <c r="BZ44" s="203" t="str">
        <f t="shared" si="48"/>
        <v/>
      </c>
      <c r="CA44" s="204" t="str">
        <f t="shared" si="48"/>
        <v/>
      </c>
      <c r="CB44" s="205" t="str">
        <f t="shared" si="48"/>
        <v/>
      </c>
      <c r="CC44" s="203" t="str">
        <f t="shared" si="48"/>
        <v/>
      </c>
      <c r="CD44" s="203" t="str">
        <f t="shared" si="48"/>
        <v/>
      </c>
      <c r="CE44" s="204" t="str">
        <f t="shared" si="48"/>
        <v/>
      </c>
    </row>
    <row r="45" spans="1:87" ht="18" customHeight="1">
      <c r="A45" s="22">
        <f>+TABELLA!Q49</f>
        <v>0</v>
      </c>
      <c r="B45" s="22">
        <f>+TABELLA!R49</f>
        <v>0</v>
      </c>
      <c r="C45" s="22">
        <f>+TABELLA!S49</f>
        <v>0</v>
      </c>
      <c r="D45" s="22">
        <f>+TABELLA!T49</f>
        <v>0</v>
      </c>
      <c r="E45" s="22"/>
      <c r="F45" s="41" t="str">
        <f>IF(TABELLA!B49="","",TABELLA!B49)</f>
        <v/>
      </c>
      <c r="G45" s="42" t="str">
        <f>IF(TABELLA!C49="","",TABELLA!C49)</f>
        <v/>
      </c>
      <c r="H45" s="206" t="str">
        <f t="shared" ref="H45:V45" si="55">IF(AND(G$3&gt;=$A45,G$3&lt;$B45),1,IF(AND(G$3&gt;=$C45,G$3&lt;$D45),1,""))</f>
        <v/>
      </c>
      <c r="I45" s="206" t="str">
        <f t="shared" si="55"/>
        <v/>
      </c>
      <c r="J45" s="206" t="str">
        <f t="shared" si="55"/>
        <v/>
      </c>
      <c r="K45" s="207" t="str">
        <f t="shared" si="55"/>
        <v/>
      </c>
      <c r="L45" s="208" t="str">
        <f t="shared" si="55"/>
        <v/>
      </c>
      <c r="M45" s="206" t="str">
        <f t="shared" si="55"/>
        <v/>
      </c>
      <c r="N45" s="206" t="str">
        <f t="shared" si="55"/>
        <v/>
      </c>
      <c r="O45" s="207" t="str">
        <f t="shared" si="55"/>
        <v/>
      </c>
      <c r="P45" s="208" t="str">
        <f t="shared" si="55"/>
        <v/>
      </c>
      <c r="Q45" s="206" t="str">
        <f t="shared" si="55"/>
        <v/>
      </c>
      <c r="R45" s="206" t="str">
        <f t="shared" si="55"/>
        <v/>
      </c>
      <c r="S45" s="207" t="str">
        <f t="shared" si="55"/>
        <v/>
      </c>
      <c r="T45" s="208" t="str">
        <f t="shared" si="55"/>
        <v/>
      </c>
      <c r="U45" s="206" t="str">
        <f t="shared" si="55"/>
        <v/>
      </c>
      <c r="V45" s="206" t="str">
        <f t="shared" si="55"/>
        <v/>
      </c>
      <c r="W45" s="207" t="str">
        <f t="shared" si="46"/>
        <v/>
      </c>
      <c r="X45" s="208" t="str">
        <f t="shared" si="43"/>
        <v/>
      </c>
      <c r="Y45" s="206" t="str">
        <f t="shared" si="43"/>
        <v/>
      </c>
      <c r="Z45" s="206" t="str">
        <f t="shared" si="43"/>
        <v/>
      </c>
      <c r="AA45" s="207" t="str">
        <f t="shared" si="43"/>
        <v/>
      </c>
      <c r="AB45" s="208" t="str">
        <f t="shared" si="43"/>
        <v/>
      </c>
      <c r="AC45" s="206" t="str">
        <f t="shared" si="43"/>
        <v/>
      </c>
      <c r="AD45" s="206" t="str">
        <f t="shared" si="43"/>
        <v/>
      </c>
      <c r="AE45" s="207" t="str">
        <f t="shared" si="43"/>
        <v/>
      </c>
      <c r="AF45" s="208" t="str">
        <f t="shared" si="43"/>
        <v/>
      </c>
      <c r="AG45" s="206" t="str">
        <f t="shared" si="43"/>
        <v/>
      </c>
      <c r="AH45" s="206" t="str">
        <f t="shared" si="43"/>
        <v/>
      </c>
      <c r="AI45" s="207" t="str">
        <f t="shared" si="43"/>
        <v/>
      </c>
      <c r="AJ45" s="208" t="str">
        <f t="shared" si="43"/>
        <v/>
      </c>
      <c r="AK45" s="206" t="str">
        <f t="shared" si="43"/>
        <v/>
      </c>
      <c r="AL45" s="206" t="str">
        <f t="shared" si="43"/>
        <v/>
      </c>
      <c r="AM45" s="207" t="str">
        <f t="shared" si="47"/>
        <v/>
      </c>
      <c r="AN45" s="208" t="str">
        <f t="shared" si="47"/>
        <v/>
      </c>
      <c r="AO45" s="206" t="str">
        <f t="shared" si="47"/>
        <v/>
      </c>
      <c r="AP45" s="206" t="str">
        <f t="shared" si="47"/>
        <v/>
      </c>
      <c r="AQ45" s="207" t="str">
        <f t="shared" si="47"/>
        <v/>
      </c>
      <c r="AR45" s="208" t="str">
        <f t="shared" si="47"/>
        <v/>
      </c>
      <c r="AS45" s="206" t="str">
        <f t="shared" si="47"/>
        <v/>
      </c>
      <c r="AT45" s="206" t="str">
        <f t="shared" si="47"/>
        <v/>
      </c>
      <c r="AU45" s="207" t="str">
        <f t="shared" si="47"/>
        <v/>
      </c>
      <c r="AV45" s="208" t="str">
        <f t="shared" si="47"/>
        <v/>
      </c>
      <c r="AW45" s="206" t="str">
        <f t="shared" si="47"/>
        <v/>
      </c>
      <c r="AX45" s="206" t="str">
        <f t="shared" si="47"/>
        <v/>
      </c>
      <c r="AY45" s="207" t="str">
        <f t="shared" si="47"/>
        <v/>
      </c>
      <c r="AZ45" s="208" t="str">
        <f t="shared" si="47"/>
        <v/>
      </c>
      <c r="BA45" s="206" t="str">
        <f t="shared" si="47"/>
        <v/>
      </c>
      <c r="BB45" s="206" t="str">
        <f t="shared" si="47"/>
        <v/>
      </c>
      <c r="BC45" s="207" t="str">
        <f t="shared" si="44"/>
        <v/>
      </c>
      <c r="BD45" s="208" t="str">
        <f t="shared" si="44"/>
        <v/>
      </c>
      <c r="BE45" s="206" t="str">
        <f t="shared" si="44"/>
        <v/>
      </c>
      <c r="BF45" s="206" t="str">
        <f t="shared" si="44"/>
        <v/>
      </c>
      <c r="BG45" s="207" t="str">
        <f t="shared" si="44"/>
        <v/>
      </c>
      <c r="BH45" s="208" t="str">
        <f t="shared" si="44"/>
        <v/>
      </c>
      <c r="BI45" s="206" t="str">
        <f t="shared" si="44"/>
        <v/>
      </c>
      <c r="BJ45" s="206" t="str">
        <f t="shared" si="44"/>
        <v/>
      </c>
      <c r="BK45" s="207" t="str">
        <f t="shared" si="44"/>
        <v/>
      </c>
      <c r="BL45" s="208" t="str">
        <f t="shared" si="44"/>
        <v/>
      </c>
      <c r="BM45" s="206" t="str">
        <f t="shared" si="44"/>
        <v/>
      </c>
      <c r="BN45" s="206" t="str">
        <f t="shared" si="44"/>
        <v/>
      </c>
      <c r="BO45" s="207" t="str">
        <f t="shared" si="44"/>
        <v/>
      </c>
      <c r="BP45" s="208" t="str">
        <f t="shared" si="48"/>
        <v/>
      </c>
      <c r="BQ45" s="206" t="str">
        <f t="shared" si="48"/>
        <v/>
      </c>
      <c r="BR45" s="206" t="str">
        <f t="shared" si="48"/>
        <v/>
      </c>
      <c r="BS45" s="207" t="str">
        <f t="shared" si="48"/>
        <v/>
      </c>
      <c r="BT45" s="208" t="str">
        <f t="shared" si="48"/>
        <v/>
      </c>
      <c r="BU45" s="206" t="str">
        <f t="shared" si="48"/>
        <v/>
      </c>
      <c r="BV45" s="206" t="str">
        <f t="shared" si="48"/>
        <v/>
      </c>
      <c r="BW45" s="207" t="str">
        <f t="shared" si="48"/>
        <v/>
      </c>
      <c r="BX45" s="208" t="str">
        <f t="shared" si="48"/>
        <v/>
      </c>
      <c r="BY45" s="206" t="str">
        <f t="shared" si="48"/>
        <v/>
      </c>
      <c r="BZ45" s="206" t="str">
        <f t="shared" si="48"/>
        <v/>
      </c>
      <c r="CA45" s="207" t="str">
        <f t="shared" si="48"/>
        <v/>
      </c>
      <c r="CB45" s="208" t="str">
        <f t="shared" si="48"/>
        <v/>
      </c>
      <c r="CC45" s="206" t="str">
        <f t="shared" si="48"/>
        <v/>
      </c>
      <c r="CD45" s="206" t="str">
        <f t="shared" si="48"/>
        <v/>
      </c>
      <c r="CE45" s="207" t="str">
        <f t="shared" si="48"/>
        <v/>
      </c>
    </row>
    <row r="46" spans="1:87" ht="20.100000000000001" customHeight="1">
      <c r="F46" s="9">
        <v>1</v>
      </c>
      <c r="G46" s="10" t="s">
        <v>80</v>
      </c>
      <c r="H46" s="177">
        <f t="shared" ref="H46:W54" si="56">SUMIF($F$6:$F$45,$F46,H$6:H$45)</f>
        <v>0</v>
      </c>
      <c r="I46" s="178">
        <f t="shared" si="56"/>
        <v>0</v>
      </c>
      <c r="J46" s="178">
        <f t="shared" si="56"/>
        <v>0</v>
      </c>
      <c r="K46" s="179">
        <f t="shared" si="56"/>
        <v>0</v>
      </c>
      <c r="L46" s="177">
        <f t="shared" si="56"/>
        <v>0</v>
      </c>
      <c r="M46" s="178">
        <f t="shared" si="56"/>
        <v>0</v>
      </c>
      <c r="N46" s="178">
        <f t="shared" si="56"/>
        <v>0</v>
      </c>
      <c r="O46" s="179">
        <f t="shared" si="56"/>
        <v>0</v>
      </c>
      <c r="P46" s="177">
        <f t="shared" si="56"/>
        <v>0</v>
      </c>
      <c r="Q46" s="178">
        <f t="shared" si="56"/>
        <v>0</v>
      </c>
      <c r="R46" s="178">
        <f t="shared" si="56"/>
        <v>0</v>
      </c>
      <c r="S46" s="179">
        <f t="shared" si="56"/>
        <v>0</v>
      </c>
      <c r="T46" s="177">
        <f t="shared" si="56"/>
        <v>0</v>
      </c>
      <c r="U46" s="178">
        <f t="shared" si="56"/>
        <v>0</v>
      </c>
      <c r="V46" s="178">
        <f t="shared" si="56"/>
        <v>0</v>
      </c>
      <c r="W46" s="179">
        <f t="shared" si="56"/>
        <v>0</v>
      </c>
      <c r="X46" s="177">
        <f t="shared" ref="X46:AM54" si="57">SUMIF($F$6:$F$45,$F46,X$6:X$45)</f>
        <v>0</v>
      </c>
      <c r="Y46" s="178">
        <f t="shared" si="57"/>
        <v>0</v>
      </c>
      <c r="Z46" s="178">
        <f t="shared" si="57"/>
        <v>0</v>
      </c>
      <c r="AA46" s="179">
        <f t="shared" si="57"/>
        <v>0</v>
      </c>
      <c r="AB46" s="177">
        <f t="shared" si="57"/>
        <v>0</v>
      </c>
      <c r="AC46" s="178">
        <f t="shared" si="57"/>
        <v>0</v>
      </c>
      <c r="AD46" s="178">
        <f t="shared" si="57"/>
        <v>0</v>
      </c>
      <c r="AE46" s="179">
        <f t="shared" si="57"/>
        <v>0</v>
      </c>
      <c r="AF46" s="177">
        <f t="shared" si="57"/>
        <v>0</v>
      </c>
      <c r="AG46" s="178">
        <f t="shared" si="57"/>
        <v>0</v>
      </c>
      <c r="AH46" s="178">
        <f t="shared" si="57"/>
        <v>0</v>
      </c>
      <c r="AI46" s="179">
        <f t="shared" si="57"/>
        <v>0</v>
      </c>
      <c r="AJ46" s="177">
        <f t="shared" si="57"/>
        <v>0</v>
      </c>
      <c r="AK46" s="178">
        <f t="shared" si="57"/>
        <v>0</v>
      </c>
      <c r="AL46" s="178">
        <f t="shared" si="57"/>
        <v>0</v>
      </c>
      <c r="AM46" s="179">
        <f t="shared" si="57"/>
        <v>0</v>
      </c>
      <c r="AN46" s="177">
        <f t="shared" ref="AN46:BC54" si="58">SUMIF($F$6:$F$45,$F46,AN$6:AN$45)</f>
        <v>0</v>
      </c>
      <c r="AO46" s="178">
        <f t="shared" si="58"/>
        <v>0</v>
      </c>
      <c r="AP46" s="178">
        <f t="shared" si="58"/>
        <v>0</v>
      </c>
      <c r="AQ46" s="179">
        <f t="shared" si="58"/>
        <v>0</v>
      </c>
      <c r="AR46" s="177">
        <f t="shared" si="58"/>
        <v>0</v>
      </c>
      <c r="AS46" s="178">
        <f t="shared" si="58"/>
        <v>0</v>
      </c>
      <c r="AT46" s="178">
        <f t="shared" si="58"/>
        <v>0</v>
      </c>
      <c r="AU46" s="179">
        <f t="shared" si="58"/>
        <v>0</v>
      </c>
      <c r="AV46" s="177">
        <f t="shared" si="58"/>
        <v>0</v>
      </c>
      <c r="AW46" s="178">
        <f t="shared" si="58"/>
        <v>0</v>
      </c>
      <c r="AX46" s="178">
        <f t="shared" si="58"/>
        <v>0</v>
      </c>
      <c r="AY46" s="179">
        <f t="shared" si="58"/>
        <v>0</v>
      </c>
      <c r="AZ46" s="177">
        <f t="shared" si="58"/>
        <v>0</v>
      </c>
      <c r="BA46" s="178">
        <f t="shared" si="58"/>
        <v>0</v>
      </c>
      <c r="BB46" s="178">
        <f t="shared" si="58"/>
        <v>0</v>
      </c>
      <c r="BC46" s="179">
        <f t="shared" si="58"/>
        <v>0</v>
      </c>
      <c r="BD46" s="177">
        <f t="shared" ref="BD46:BS54" si="59">SUMIF($F$6:$F$45,$F46,BD$6:BD$45)</f>
        <v>0</v>
      </c>
      <c r="BE46" s="178">
        <f t="shared" si="59"/>
        <v>0</v>
      </c>
      <c r="BF46" s="178">
        <f t="shared" si="59"/>
        <v>0</v>
      </c>
      <c r="BG46" s="179">
        <f t="shared" si="59"/>
        <v>0</v>
      </c>
      <c r="BH46" s="177">
        <f t="shared" si="59"/>
        <v>0</v>
      </c>
      <c r="BI46" s="178">
        <f t="shared" si="59"/>
        <v>0</v>
      </c>
      <c r="BJ46" s="178">
        <f t="shared" si="59"/>
        <v>0</v>
      </c>
      <c r="BK46" s="179">
        <f t="shared" si="59"/>
        <v>0</v>
      </c>
      <c r="BL46" s="177">
        <f t="shared" si="59"/>
        <v>0</v>
      </c>
      <c r="BM46" s="178">
        <f t="shared" si="59"/>
        <v>0</v>
      </c>
      <c r="BN46" s="178">
        <f t="shared" si="59"/>
        <v>0</v>
      </c>
      <c r="BO46" s="179">
        <f t="shared" si="59"/>
        <v>0</v>
      </c>
      <c r="BP46" s="177">
        <f t="shared" si="59"/>
        <v>0</v>
      </c>
      <c r="BQ46" s="178">
        <f t="shared" si="59"/>
        <v>0</v>
      </c>
      <c r="BR46" s="178">
        <f t="shared" si="59"/>
        <v>0</v>
      </c>
      <c r="BS46" s="179">
        <f t="shared" si="59"/>
        <v>0</v>
      </c>
      <c r="BT46" s="177">
        <f t="shared" ref="BT46:CE54" si="60">SUMIF($F$6:$F$45,$F46,BT$6:BT$45)</f>
        <v>0</v>
      </c>
      <c r="BU46" s="178">
        <f t="shared" si="60"/>
        <v>0</v>
      </c>
      <c r="BV46" s="178">
        <f t="shared" si="60"/>
        <v>0</v>
      </c>
      <c r="BW46" s="179">
        <f t="shared" si="60"/>
        <v>0</v>
      </c>
      <c r="BX46" s="177">
        <f t="shared" si="60"/>
        <v>0</v>
      </c>
      <c r="BY46" s="178">
        <f t="shared" si="60"/>
        <v>0</v>
      </c>
      <c r="BZ46" s="178">
        <f t="shared" si="60"/>
        <v>0</v>
      </c>
      <c r="CA46" s="179">
        <f t="shared" si="60"/>
        <v>0</v>
      </c>
      <c r="CB46" s="177">
        <f t="shared" si="60"/>
        <v>0</v>
      </c>
      <c r="CC46" s="178">
        <f t="shared" si="60"/>
        <v>0</v>
      </c>
      <c r="CD46" s="178">
        <f t="shared" si="60"/>
        <v>0</v>
      </c>
      <c r="CE46" s="179">
        <f t="shared" si="60"/>
        <v>0</v>
      </c>
      <c r="CF46" s="13"/>
      <c r="CG46" s="13"/>
      <c r="CH46" s="13"/>
      <c r="CI46" s="13"/>
    </row>
    <row r="47" spans="1:87" ht="20.100000000000001" customHeight="1">
      <c r="F47" s="3">
        <v>2</v>
      </c>
      <c r="G47" s="4" t="s">
        <v>11</v>
      </c>
      <c r="H47" s="180">
        <f t="shared" si="56"/>
        <v>0</v>
      </c>
      <c r="I47" s="181">
        <f t="shared" si="56"/>
        <v>0</v>
      </c>
      <c r="J47" s="181">
        <f t="shared" si="56"/>
        <v>0</v>
      </c>
      <c r="K47" s="182">
        <f t="shared" si="56"/>
        <v>0</v>
      </c>
      <c r="L47" s="180">
        <f t="shared" si="56"/>
        <v>0</v>
      </c>
      <c r="M47" s="181">
        <f t="shared" si="56"/>
        <v>0</v>
      </c>
      <c r="N47" s="181">
        <f t="shared" si="56"/>
        <v>0</v>
      </c>
      <c r="O47" s="182">
        <f t="shared" si="56"/>
        <v>0</v>
      </c>
      <c r="P47" s="180">
        <f t="shared" si="56"/>
        <v>0</v>
      </c>
      <c r="Q47" s="181">
        <f t="shared" si="56"/>
        <v>0</v>
      </c>
      <c r="R47" s="181">
        <f t="shared" si="56"/>
        <v>0</v>
      </c>
      <c r="S47" s="182">
        <f t="shared" si="56"/>
        <v>0</v>
      </c>
      <c r="T47" s="180">
        <f t="shared" si="56"/>
        <v>0</v>
      </c>
      <c r="U47" s="181">
        <f t="shared" si="56"/>
        <v>0</v>
      </c>
      <c r="V47" s="181">
        <f t="shared" si="56"/>
        <v>0</v>
      </c>
      <c r="W47" s="182">
        <f t="shared" si="56"/>
        <v>0</v>
      </c>
      <c r="X47" s="180">
        <f t="shared" si="57"/>
        <v>0</v>
      </c>
      <c r="Y47" s="181">
        <f t="shared" si="57"/>
        <v>0</v>
      </c>
      <c r="Z47" s="181">
        <f t="shared" si="57"/>
        <v>0</v>
      </c>
      <c r="AA47" s="182">
        <f t="shared" si="57"/>
        <v>0</v>
      </c>
      <c r="AB47" s="180">
        <f t="shared" si="57"/>
        <v>0</v>
      </c>
      <c r="AC47" s="181">
        <f t="shared" si="57"/>
        <v>0</v>
      </c>
      <c r="AD47" s="181">
        <f t="shared" si="57"/>
        <v>0</v>
      </c>
      <c r="AE47" s="182">
        <f t="shared" si="57"/>
        <v>0</v>
      </c>
      <c r="AF47" s="180">
        <f t="shared" si="57"/>
        <v>0</v>
      </c>
      <c r="AG47" s="181">
        <f t="shared" si="57"/>
        <v>0</v>
      </c>
      <c r="AH47" s="181">
        <f t="shared" si="57"/>
        <v>0</v>
      </c>
      <c r="AI47" s="182">
        <f t="shared" si="57"/>
        <v>0</v>
      </c>
      <c r="AJ47" s="180">
        <f t="shared" si="57"/>
        <v>0</v>
      </c>
      <c r="AK47" s="181">
        <f t="shared" si="57"/>
        <v>0</v>
      </c>
      <c r="AL47" s="181">
        <f t="shared" si="57"/>
        <v>0</v>
      </c>
      <c r="AM47" s="182">
        <f t="shared" si="57"/>
        <v>0</v>
      </c>
      <c r="AN47" s="180">
        <f t="shared" si="58"/>
        <v>0</v>
      </c>
      <c r="AO47" s="181">
        <f t="shared" si="58"/>
        <v>0</v>
      </c>
      <c r="AP47" s="181">
        <f t="shared" si="58"/>
        <v>0</v>
      </c>
      <c r="AQ47" s="182">
        <f t="shared" si="58"/>
        <v>0</v>
      </c>
      <c r="AR47" s="180">
        <f t="shared" si="58"/>
        <v>0</v>
      </c>
      <c r="AS47" s="181">
        <f t="shared" si="58"/>
        <v>0</v>
      </c>
      <c r="AT47" s="181">
        <f t="shared" si="58"/>
        <v>0</v>
      </c>
      <c r="AU47" s="182">
        <f t="shared" si="58"/>
        <v>0</v>
      </c>
      <c r="AV47" s="180">
        <f t="shared" si="58"/>
        <v>0</v>
      </c>
      <c r="AW47" s="181">
        <f t="shared" si="58"/>
        <v>0</v>
      </c>
      <c r="AX47" s="181">
        <f t="shared" si="58"/>
        <v>0</v>
      </c>
      <c r="AY47" s="182">
        <f t="shared" si="58"/>
        <v>0</v>
      </c>
      <c r="AZ47" s="180">
        <f t="shared" si="58"/>
        <v>0</v>
      </c>
      <c r="BA47" s="181">
        <f t="shared" si="58"/>
        <v>0</v>
      </c>
      <c r="BB47" s="181">
        <f t="shared" si="58"/>
        <v>0</v>
      </c>
      <c r="BC47" s="182">
        <f t="shared" si="58"/>
        <v>0</v>
      </c>
      <c r="BD47" s="180">
        <f t="shared" si="59"/>
        <v>0</v>
      </c>
      <c r="BE47" s="181">
        <f t="shared" si="59"/>
        <v>0</v>
      </c>
      <c r="BF47" s="181">
        <f t="shared" si="59"/>
        <v>0</v>
      </c>
      <c r="BG47" s="182">
        <f t="shared" si="59"/>
        <v>0</v>
      </c>
      <c r="BH47" s="180">
        <f t="shared" si="59"/>
        <v>0</v>
      </c>
      <c r="BI47" s="181">
        <f t="shared" si="59"/>
        <v>0</v>
      </c>
      <c r="BJ47" s="181">
        <f t="shared" si="59"/>
        <v>0</v>
      </c>
      <c r="BK47" s="182">
        <f t="shared" si="59"/>
        <v>0</v>
      </c>
      <c r="BL47" s="180">
        <f t="shared" si="59"/>
        <v>0</v>
      </c>
      <c r="BM47" s="181">
        <f t="shared" si="59"/>
        <v>0</v>
      </c>
      <c r="BN47" s="181">
        <f t="shared" si="59"/>
        <v>0</v>
      </c>
      <c r="BO47" s="182">
        <f t="shared" si="59"/>
        <v>0</v>
      </c>
      <c r="BP47" s="180">
        <f t="shared" si="59"/>
        <v>0</v>
      </c>
      <c r="BQ47" s="181">
        <f t="shared" si="59"/>
        <v>0</v>
      </c>
      <c r="BR47" s="181">
        <f t="shared" si="59"/>
        <v>0</v>
      </c>
      <c r="BS47" s="182">
        <f t="shared" si="59"/>
        <v>0</v>
      </c>
      <c r="BT47" s="180">
        <f t="shared" si="60"/>
        <v>0</v>
      </c>
      <c r="BU47" s="181">
        <f t="shared" si="60"/>
        <v>0</v>
      </c>
      <c r="BV47" s="181">
        <f t="shared" si="60"/>
        <v>0</v>
      </c>
      <c r="BW47" s="182">
        <f t="shared" si="60"/>
        <v>0</v>
      </c>
      <c r="BX47" s="180">
        <f t="shared" si="60"/>
        <v>0</v>
      </c>
      <c r="BY47" s="181">
        <f t="shared" si="60"/>
        <v>0</v>
      </c>
      <c r="BZ47" s="181">
        <f t="shared" si="60"/>
        <v>0</v>
      </c>
      <c r="CA47" s="182">
        <f t="shared" si="60"/>
        <v>0</v>
      </c>
      <c r="CB47" s="180">
        <f t="shared" si="60"/>
        <v>0</v>
      </c>
      <c r="CC47" s="181">
        <f t="shared" si="60"/>
        <v>0</v>
      </c>
      <c r="CD47" s="181">
        <f t="shared" si="60"/>
        <v>0</v>
      </c>
      <c r="CE47" s="182">
        <f t="shared" si="60"/>
        <v>0</v>
      </c>
      <c r="CF47" s="13"/>
      <c r="CG47" s="13"/>
      <c r="CH47" s="13"/>
      <c r="CI47" s="13"/>
    </row>
    <row r="48" spans="1:87" ht="20.100000000000001" customHeight="1">
      <c r="F48" s="198">
        <v>3</v>
      </c>
      <c r="G48" s="199" t="s">
        <v>12</v>
      </c>
      <c r="H48" s="219">
        <f t="shared" si="56"/>
        <v>0</v>
      </c>
      <c r="I48" s="220">
        <f t="shared" si="56"/>
        <v>0</v>
      </c>
      <c r="J48" s="220">
        <f t="shared" si="56"/>
        <v>0</v>
      </c>
      <c r="K48" s="221">
        <f t="shared" si="56"/>
        <v>0</v>
      </c>
      <c r="L48" s="219">
        <f t="shared" si="56"/>
        <v>0</v>
      </c>
      <c r="M48" s="220">
        <f t="shared" si="56"/>
        <v>0</v>
      </c>
      <c r="N48" s="220">
        <f t="shared" si="56"/>
        <v>0</v>
      </c>
      <c r="O48" s="221">
        <f t="shared" si="56"/>
        <v>0</v>
      </c>
      <c r="P48" s="219">
        <f t="shared" si="56"/>
        <v>0</v>
      </c>
      <c r="Q48" s="220">
        <f t="shared" si="56"/>
        <v>0</v>
      </c>
      <c r="R48" s="220">
        <f t="shared" si="56"/>
        <v>0</v>
      </c>
      <c r="S48" s="221">
        <f t="shared" si="56"/>
        <v>0</v>
      </c>
      <c r="T48" s="219">
        <f t="shared" si="56"/>
        <v>0</v>
      </c>
      <c r="U48" s="220">
        <f t="shared" si="56"/>
        <v>0</v>
      </c>
      <c r="V48" s="220">
        <f t="shared" si="56"/>
        <v>0</v>
      </c>
      <c r="W48" s="221">
        <f t="shared" si="56"/>
        <v>0</v>
      </c>
      <c r="X48" s="219">
        <f t="shared" si="57"/>
        <v>0</v>
      </c>
      <c r="Y48" s="220">
        <f t="shared" si="57"/>
        <v>0</v>
      </c>
      <c r="Z48" s="220">
        <f t="shared" si="57"/>
        <v>0</v>
      </c>
      <c r="AA48" s="221">
        <f t="shared" si="57"/>
        <v>0</v>
      </c>
      <c r="AB48" s="219">
        <f t="shared" si="57"/>
        <v>0</v>
      </c>
      <c r="AC48" s="220">
        <f t="shared" si="57"/>
        <v>0</v>
      </c>
      <c r="AD48" s="220">
        <f t="shared" si="57"/>
        <v>0</v>
      </c>
      <c r="AE48" s="221">
        <f t="shared" si="57"/>
        <v>0</v>
      </c>
      <c r="AF48" s="219">
        <f t="shared" si="57"/>
        <v>0</v>
      </c>
      <c r="AG48" s="220">
        <f t="shared" si="57"/>
        <v>0</v>
      </c>
      <c r="AH48" s="220">
        <f t="shared" si="57"/>
        <v>0</v>
      </c>
      <c r="AI48" s="221">
        <f t="shared" si="57"/>
        <v>0</v>
      </c>
      <c r="AJ48" s="219">
        <f t="shared" si="57"/>
        <v>0</v>
      </c>
      <c r="AK48" s="220">
        <f t="shared" si="57"/>
        <v>0</v>
      </c>
      <c r="AL48" s="220">
        <f t="shared" si="57"/>
        <v>0</v>
      </c>
      <c r="AM48" s="221">
        <f t="shared" si="57"/>
        <v>0</v>
      </c>
      <c r="AN48" s="219">
        <f t="shared" si="58"/>
        <v>0</v>
      </c>
      <c r="AO48" s="220">
        <f t="shared" si="58"/>
        <v>0</v>
      </c>
      <c r="AP48" s="220">
        <f t="shared" si="58"/>
        <v>0</v>
      </c>
      <c r="AQ48" s="221">
        <f t="shared" si="58"/>
        <v>0</v>
      </c>
      <c r="AR48" s="219">
        <f t="shared" si="58"/>
        <v>0</v>
      </c>
      <c r="AS48" s="220">
        <f t="shared" si="58"/>
        <v>0</v>
      </c>
      <c r="AT48" s="220">
        <f t="shared" si="58"/>
        <v>0</v>
      </c>
      <c r="AU48" s="221">
        <f t="shared" si="58"/>
        <v>0</v>
      </c>
      <c r="AV48" s="219">
        <f t="shared" si="58"/>
        <v>0</v>
      </c>
      <c r="AW48" s="220">
        <f t="shared" si="58"/>
        <v>0</v>
      </c>
      <c r="AX48" s="220">
        <f t="shared" si="58"/>
        <v>0</v>
      </c>
      <c r="AY48" s="221">
        <f t="shared" si="58"/>
        <v>0</v>
      </c>
      <c r="AZ48" s="219">
        <f t="shared" si="58"/>
        <v>0</v>
      </c>
      <c r="BA48" s="220">
        <f t="shared" si="58"/>
        <v>0</v>
      </c>
      <c r="BB48" s="220">
        <f t="shared" si="58"/>
        <v>0</v>
      </c>
      <c r="BC48" s="221">
        <f t="shared" si="58"/>
        <v>0</v>
      </c>
      <c r="BD48" s="219">
        <f t="shared" si="59"/>
        <v>0</v>
      </c>
      <c r="BE48" s="220">
        <f t="shared" si="59"/>
        <v>0</v>
      </c>
      <c r="BF48" s="220">
        <f t="shared" si="59"/>
        <v>0</v>
      </c>
      <c r="BG48" s="221">
        <f t="shared" si="59"/>
        <v>0</v>
      </c>
      <c r="BH48" s="219">
        <f t="shared" si="59"/>
        <v>0</v>
      </c>
      <c r="BI48" s="220">
        <f t="shared" si="59"/>
        <v>0</v>
      </c>
      <c r="BJ48" s="220">
        <f t="shared" si="59"/>
        <v>0</v>
      </c>
      <c r="BK48" s="221">
        <f t="shared" si="59"/>
        <v>0</v>
      </c>
      <c r="BL48" s="219">
        <f t="shared" si="59"/>
        <v>0</v>
      </c>
      <c r="BM48" s="220">
        <f t="shared" si="59"/>
        <v>0</v>
      </c>
      <c r="BN48" s="220">
        <f t="shared" si="59"/>
        <v>0</v>
      </c>
      <c r="BO48" s="221">
        <f t="shared" si="59"/>
        <v>0</v>
      </c>
      <c r="BP48" s="219">
        <f t="shared" si="59"/>
        <v>0</v>
      </c>
      <c r="BQ48" s="220">
        <f t="shared" si="59"/>
        <v>0</v>
      </c>
      <c r="BR48" s="220">
        <f t="shared" si="59"/>
        <v>0</v>
      </c>
      <c r="BS48" s="221">
        <f t="shared" si="59"/>
        <v>0</v>
      </c>
      <c r="BT48" s="219">
        <f t="shared" si="60"/>
        <v>0</v>
      </c>
      <c r="BU48" s="220">
        <f t="shared" si="60"/>
        <v>0</v>
      </c>
      <c r="BV48" s="220">
        <f t="shared" si="60"/>
        <v>0</v>
      </c>
      <c r="BW48" s="221">
        <f t="shared" si="60"/>
        <v>0</v>
      </c>
      <c r="BX48" s="219">
        <f t="shared" si="60"/>
        <v>0</v>
      </c>
      <c r="BY48" s="220">
        <f t="shared" si="60"/>
        <v>0</v>
      </c>
      <c r="BZ48" s="220">
        <f t="shared" si="60"/>
        <v>0</v>
      </c>
      <c r="CA48" s="221">
        <f t="shared" si="60"/>
        <v>0</v>
      </c>
      <c r="CB48" s="219">
        <f t="shared" si="60"/>
        <v>0</v>
      </c>
      <c r="CC48" s="220">
        <f t="shared" si="60"/>
        <v>0</v>
      </c>
      <c r="CD48" s="220">
        <f t="shared" si="60"/>
        <v>0</v>
      </c>
      <c r="CE48" s="221">
        <f t="shared" si="60"/>
        <v>0</v>
      </c>
      <c r="CF48" s="13"/>
      <c r="CG48" s="13"/>
      <c r="CH48" s="13"/>
      <c r="CI48" s="13"/>
    </row>
    <row r="49" spans="1:87" ht="20.100000000000001" customHeight="1">
      <c r="B49" s="28"/>
      <c r="F49" s="1">
        <v>4</v>
      </c>
      <c r="G49" s="2" t="s">
        <v>81</v>
      </c>
      <c r="H49" s="214">
        <f t="shared" si="56"/>
        <v>0</v>
      </c>
      <c r="I49" s="215">
        <f t="shared" si="56"/>
        <v>0</v>
      </c>
      <c r="J49" s="215">
        <f t="shared" si="56"/>
        <v>0</v>
      </c>
      <c r="K49" s="216">
        <f t="shared" si="56"/>
        <v>0</v>
      </c>
      <c r="L49" s="214">
        <f t="shared" si="56"/>
        <v>0</v>
      </c>
      <c r="M49" s="215">
        <f t="shared" si="56"/>
        <v>0</v>
      </c>
      <c r="N49" s="215">
        <f t="shared" si="56"/>
        <v>0</v>
      </c>
      <c r="O49" s="216">
        <f t="shared" si="56"/>
        <v>0</v>
      </c>
      <c r="P49" s="214">
        <f t="shared" si="56"/>
        <v>0</v>
      </c>
      <c r="Q49" s="215">
        <f t="shared" si="56"/>
        <v>0</v>
      </c>
      <c r="R49" s="215">
        <f t="shared" si="56"/>
        <v>0</v>
      </c>
      <c r="S49" s="216">
        <f t="shared" si="56"/>
        <v>0</v>
      </c>
      <c r="T49" s="214">
        <f t="shared" si="56"/>
        <v>0</v>
      </c>
      <c r="U49" s="215">
        <f t="shared" si="56"/>
        <v>0</v>
      </c>
      <c r="V49" s="215">
        <f t="shared" si="56"/>
        <v>0</v>
      </c>
      <c r="W49" s="216">
        <f t="shared" si="56"/>
        <v>0</v>
      </c>
      <c r="X49" s="214">
        <f t="shared" si="57"/>
        <v>0</v>
      </c>
      <c r="Y49" s="215">
        <f t="shared" si="57"/>
        <v>0</v>
      </c>
      <c r="Z49" s="215">
        <f t="shared" si="57"/>
        <v>0</v>
      </c>
      <c r="AA49" s="216">
        <f t="shared" si="57"/>
        <v>0</v>
      </c>
      <c r="AB49" s="214">
        <f t="shared" si="57"/>
        <v>0</v>
      </c>
      <c r="AC49" s="215">
        <f t="shared" si="57"/>
        <v>0</v>
      </c>
      <c r="AD49" s="215">
        <f t="shared" si="57"/>
        <v>0</v>
      </c>
      <c r="AE49" s="216">
        <f t="shared" si="57"/>
        <v>0</v>
      </c>
      <c r="AF49" s="214">
        <f t="shared" si="57"/>
        <v>0</v>
      </c>
      <c r="AG49" s="215">
        <f t="shared" si="57"/>
        <v>0</v>
      </c>
      <c r="AH49" s="215">
        <f t="shared" si="57"/>
        <v>0</v>
      </c>
      <c r="AI49" s="216">
        <f t="shared" si="57"/>
        <v>0</v>
      </c>
      <c r="AJ49" s="214">
        <f t="shared" si="57"/>
        <v>0</v>
      </c>
      <c r="AK49" s="215">
        <f t="shared" si="57"/>
        <v>0</v>
      </c>
      <c r="AL49" s="215">
        <f t="shared" si="57"/>
        <v>0</v>
      </c>
      <c r="AM49" s="216">
        <f t="shared" si="57"/>
        <v>0</v>
      </c>
      <c r="AN49" s="214">
        <f t="shared" si="58"/>
        <v>0</v>
      </c>
      <c r="AO49" s="215">
        <f t="shared" si="58"/>
        <v>0</v>
      </c>
      <c r="AP49" s="215">
        <f t="shared" si="58"/>
        <v>0</v>
      </c>
      <c r="AQ49" s="216">
        <f t="shared" si="58"/>
        <v>0</v>
      </c>
      <c r="AR49" s="214">
        <f t="shared" si="58"/>
        <v>0</v>
      </c>
      <c r="AS49" s="215">
        <f t="shared" si="58"/>
        <v>0</v>
      </c>
      <c r="AT49" s="215">
        <f t="shared" si="58"/>
        <v>0</v>
      </c>
      <c r="AU49" s="216">
        <f t="shared" si="58"/>
        <v>0</v>
      </c>
      <c r="AV49" s="214">
        <f t="shared" si="58"/>
        <v>0</v>
      </c>
      <c r="AW49" s="215">
        <f t="shared" si="58"/>
        <v>0</v>
      </c>
      <c r="AX49" s="215">
        <f t="shared" si="58"/>
        <v>0</v>
      </c>
      <c r="AY49" s="216">
        <f t="shared" si="58"/>
        <v>0</v>
      </c>
      <c r="AZ49" s="214">
        <f t="shared" si="58"/>
        <v>0</v>
      </c>
      <c r="BA49" s="215">
        <f t="shared" si="58"/>
        <v>0</v>
      </c>
      <c r="BB49" s="215">
        <f t="shared" si="58"/>
        <v>0</v>
      </c>
      <c r="BC49" s="216">
        <f t="shared" si="58"/>
        <v>0</v>
      </c>
      <c r="BD49" s="214">
        <f t="shared" si="59"/>
        <v>0</v>
      </c>
      <c r="BE49" s="215">
        <f t="shared" si="59"/>
        <v>0</v>
      </c>
      <c r="BF49" s="215">
        <f t="shared" si="59"/>
        <v>0</v>
      </c>
      <c r="BG49" s="216">
        <f t="shared" si="59"/>
        <v>0</v>
      </c>
      <c r="BH49" s="214">
        <f t="shared" si="59"/>
        <v>0</v>
      </c>
      <c r="BI49" s="215">
        <f t="shared" si="59"/>
        <v>0</v>
      </c>
      <c r="BJ49" s="215">
        <f t="shared" si="59"/>
        <v>0</v>
      </c>
      <c r="BK49" s="216">
        <f t="shared" si="59"/>
        <v>0</v>
      </c>
      <c r="BL49" s="214">
        <f t="shared" si="59"/>
        <v>0</v>
      </c>
      <c r="BM49" s="215">
        <f t="shared" si="59"/>
        <v>0</v>
      </c>
      <c r="BN49" s="215">
        <f t="shared" si="59"/>
        <v>0</v>
      </c>
      <c r="BO49" s="216">
        <f t="shared" si="59"/>
        <v>0</v>
      </c>
      <c r="BP49" s="214">
        <f t="shared" si="59"/>
        <v>0</v>
      </c>
      <c r="BQ49" s="215">
        <f t="shared" si="59"/>
        <v>0</v>
      </c>
      <c r="BR49" s="215">
        <f t="shared" si="59"/>
        <v>0</v>
      </c>
      <c r="BS49" s="216">
        <f t="shared" si="59"/>
        <v>0</v>
      </c>
      <c r="BT49" s="214">
        <f t="shared" si="60"/>
        <v>0</v>
      </c>
      <c r="BU49" s="215">
        <f t="shared" si="60"/>
        <v>0</v>
      </c>
      <c r="BV49" s="215">
        <f t="shared" si="60"/>
        <v>0</v>
      </c>
      <c r="BW49" s="216">
        <f t="shared" si="60"/>
        <v>0</v>
      </c>
      <c r="BX49" s="214">
        <f t="shared" si="60"/>
        <v>0</v>
      </c>
      <c r="BY49" s="215">
        <f t="shared" si="60"/>
        <v>0</v>
      </c>
      <c r="BZ49" s="215">
        <f t="shared" si="60"/>
        <v>0</v>
      </c>
      <c r="CA49" s="216">
        <f t="shared" si="60"/>
        <v>0</v>
      </c>
      <c r="CB49" s="214">
        <f t="shared" si="60"/>
        <v>0</v>
      </c>
      <c r="CC49" s="215">
        <f t="shared" si="60"/>
        <v>0</v>
      </c>
      <c r="CD49" s="215">
        <f t="shared" si="60"/>
        <v>0</v>
      </c>
      <c r="CE49" s="216">
        <f t="shared" si="60"/>
        <v>0</v>
      </c>
      <c r="CF49" s="13"/>
      <c r="CG49" s="13"/>
      <c r="CH49" s="13"/>
      <c r="CI49" s="13"/>
    </row>
    <row r="50" spans="1:87" ht="20.100000000000001" customHeight="1">
      <c r="F50" s="217">
        <v>8</v>
      </c>
      <c r="G50" s="218" t="s">
        <v>14</v>
      </c>
      <c r="H50" s="183">
        <f t="shared" si="56"/>
        <v>0</v>
      </c>
      <c r="I50" s="184">
        <f t="shared" si="56"/>
        <v>0</v>
      </c>
      <c r="J50" s="184">
        <f t="shared" si="56"/>
        <v>0</v>
      </c>
      <c r="K50" s="185">
        <f t="shared" si="56"/>
        <v>0</v>
      </c>
      <c r="L50" s="183">
        <f t="shared" si="56"/>
        <v>0</v>
      </c>
      <c r="M50" s="184">
        <f t="shared" si="56"/>
        <v>0</v>
      </c>
      <c r="N50" s="184">
        <f t="shared" si="56"/>
        <v>0</v>
      </c>
      <c r="O50" s="185">
        <f t="shared" si="56"/>
        <v>0</v>
      </c>
      <c r="P50" s="183">
        <f t="shared" si="56"/>
        <v>0</v>
      </c>
      <c r="Q50" s="184">
        <f t="shared" si="56"/>
        <v>0</v>
      </c>
      <c r="R50" s="184">
        <f t="shared" si="56"/>
        <v>0</v>
      </c>
      <c r="S50" s="185">
        <f t="shared" si="56"/>
        <v>0</v>
      </c>
      <c r="T50" s="183">
        <f t="shared" si="56"/>
        <v>0</v>
      </c>
      <c r="U50" s="184">
        <f t="shared" si="56"/>
        <v>0</v>
      </c>
      <c r="V50" s="184">
        <f t="shared" si="56"/>
        <v>0</v>
      </c>
      <c r="W50" s="185">
        <f t="shared" si="56"/>
        <v>0</v>
      </c>
      <c r="X50" s="183">
        <f t="shared" si="57"/>
        <v>0</v>
      </c>
      <c r="Y50" s="184">
        <f t="shared" si="57"/>
        <v>0</v>
      </c>
      <c r="Z50" s="184">
        <f t="shared" si="57"/>
        <v>0</v>
      </c>
      <c r="AA50" s="185">
        <f t="shared" si="57"/>
        <v>0</v>
      </c>
      <c r="AB50" s="183">
        <f t="shared" si="57"/>
        <v>0</v>
      </c>
      <c r="AC50" s="184">
        <f t="shared" si="57"/>
        <v>0</v>
      </c>
      <c r="AD50" s="184">
        <f t="shared" si="57"/>
        <v>0</v>
      </c>
      <c r="AE50" s="185">
        <f t="shared" si="57"/>
        <v>0</v>
      </c>
      <c r="AF50" s="183">
        <f t="shared" si="57"/>
        <v>0</v>
      </c>
      <c r="AG50" s="184">
        <f t="shared" si="57"/>
        <v>0</v>
      </c>
      <c r="AH50" s="184">
        <f t="shared" si="57"/>
        <v>0</v>
      </c>
      <c r="AI50" s="185">
        <f t="shared" si="57"/>
        <v>0</v>
      </c>
      <c r="AJ50" s="183">
        <f t="shared" si="57"/>
        <v>0</v>
      </c>
      <c r="AK50" s="184">
        <f t="shared" si="57"/>
        <v>0</v>
      </c>
      <c r="AL50" s="184">
        <f t="shared" si="57"/>
        <v>0</v>
      </c>
      <c r="AM50" s="185">
        <f t="shared" si="57"/>
        <v>0</v>
      </c>
      <c r="AN50" s="183">
        <f t="shared" si="58"/>
        <v>0</v>
      </c>
      <c r="AO50" s="184">
        <f t="shared" si="58"/>
        <v>0</v>
      </c>
      <c r="AP50" s="184">
        <f t="shared" si="58"/>
        <v>0</v>
      </c>
      <c r="AQ50" s="185">
        <f t="shared" si="58"/>
        <v>0</v>
      </c>
      <c r="AR50" s="183">
        <f t="shared" si="58"/>
        <v>0</v>
      </c>
      <c r="AS50" s="184">
        <f t="shared" si="58"/>
        <v>0</v>
      </c>
      <c r="AT50" s="184">
        <f t="shared" si="58"/>
        <v>0</v>
      </c>
      <c r="AU50" s="185">
        <f t="shared" si="58"/>
        <v>0</v>
      </c>
      <c r="AV50" s="183">
        <f t="shared" si="58"/>
        <v>0</v>
      </c>
      <c r="AW50" s="184">
        <f t="shared" si="58"/>
        <v>0</v>
      </c>
      <c r="AX50" s="184">
        <f t="shared" si="58"/>
        <v>0</v>
      </c>
      <c r="AY50" s="185">
        <f t="shared" si="58"/>
        <v>0</v>
      </c>
      <c r="AZ50" s="183">
        <f t="shared" si="58"/>
        <v>0</v>
      </c>
      <c r="BA50" s="184">
        <f t="shared" si="58"/>
        <v>0</v>
      </c>
      <c r="BB50" s="184">
        <f t="shared" si="58"/>
        <v>0</v>
      </c>
      <c r="BC50" s="185">
        <f t="shared" si="58"/>
        <v>0</v>
      </c>
      <c r="BD50" s="183">
        <f t="shared" si="59"/>
        <v>0</v>
      </c>
      <c r="BE50" s="184">
        <f t="shared" si="59"/>
        <v>0</v>
      </c>
      <c r="BF50" s="184">
        <f t="shared" si="59"/>
        <v>0</v>
      </c>
      <c r="BG50" s="185">
        <f t="shared" si="59"/>
        <v>0</v>
      </c>
      <c r="BH50" s="183">
        <f t="shared" si="59"/>
        <v>0</v>
      </c>
      <c r="BI50" s="184">
        <f t="shared" si="59"/>
        <v>0</v>
      </c>
      <c r="BJ50" s="184">
        <f t="shared" si="59"/>
        <v>0</v>
      </c>
      <c r="BK50" s="185">
        <f t="shared" si="59"/>
        <v>0</v>
      </c>
      <c r="BL50" s="183">
        <f t="shared" si="59"/>
        <v>0</v>
      </c>
      <c r="BM50" s="184">
        <f t="shared" si="59"/>
        <v>0</v>
      </c>
      <c r="BN50" s="184">
        <f t="shared" si="59"/>
        <v>0</v>
      </c>
      <c r="BO50" s="185">
        <f t="shared" si="59"/>
        <v>0</v>
      </c>
      <c r="BP50" s="183">
        <f t="shared" si="59"/>
        <v>0</v>
      </c>
      <c r="BQ50" s="184">
        <f t="shared" si="59"/>
        <v>0</v>
      </c>
      <c r="BR50" s="184">
        <f t="shared" si="59"/>
        <v>0</v>
      </c>
      <c r="BS50" s="185">
        <f t="shared" si="59"/>
        <v>0</v>
      </c>
      <c r="BT50" s="183">
        <f t="shared" si="60"/>
        <v>0</v>
      </c>
      <c r="BU50" s="184">
        <f t="shared" si="60"/>
        <v>0</v>
      </c>
      <c r="BV50" s="184">
        <f t="shared" si="60"/>
        <v>0</v>
      </c>
      <c r="BW50" s="185">
        <f t="shared" si="60"/>
        <v>0</v>
      </c>
      <c r="BX50" s="183">
        <f t="shared" si="60"/>
        <v>0</v>
      </c>
      <c r="BY50" s="184">
        <f t="shared" si="60"/>
        <v>0</v>
      </c>
      <c r="BZ50" s="184">
        <f t="shared" si="60"/>
        <v>0</v>
      </c>
      <c r="CA50" s="185">
        <f t="shared" si="60"/>
        <v>0</v>
      </c>
      <c r="CB50" s="183">
        <f t="shared" si="60"/>
        <v>0</v>
      </c>
      <c r="CC50" s="184">
        <f t="shared" si="60"/>
        <v>0</v>
      </c>
      <c r="CD50" s="184">
        <f t="shared" si="60"/>
        <v>0</v>
      </c>
      <c r="CE50" s="185">
        <f t="shared" si="60"/>
        <v>0</v>
      </c>
      <c r="CF50" s="13"/>
      <c r="CG50" s="13"/>
      <c r="CH50" s="13"/>
      <c r="CI50" s="13"/>
    </row>
    <row r="51" spans="1:87" ht="20.100000000000001" customHeight="1">
      <c r="F51" s="5">
        <v>9</v>
      </c>
      <c r="G51" s="6" t="s">
        <v>82</v>
      </c>
      <c r="H51" s="186">
        <f t="shared" si="56"/>
        <v>0</v>
      </c>
      <c r="I51" s="187">
        <f t="shared" si="56"/>
        <v>0</v>
      </c>
      <c r="J51" s="187">
        <f t="shared" si="56"/>
        <v>0</v>
      </c>
      <c r="K51" s="188">
        <f t="shared" si="56"/>
        <v>0</v>
      </c>
      <c r="L51" s="186">
        <f t="shared" si="56"/>
        <v>0</v>
      </c>
      <c r="M51" s="187">
        <f t="shared" si="56"/>
        <v>0</v>
      </c>
      <c r="N51" s="187">
        <f t="shared" si="56"/>
        <v>0</v>
      </c>
      <c r="O51" s="188">
        <f t="shared" si="56"/>
        <v>0</v>
      </c>
      <c r="P51" s="186">
        <f t="shared" si="56"/>
        <v>0</v>
      </c>
      <c r="Q51" s="187">
        <f t="shared" si="56"/>
        <v>0</v>
      </c>
      <c r="R51" s="187">
        <f t="shared" si="56"/>
        <v>0</v>
      </c>
      <c r="S51" s="188">
        <f t="shared" si="56"/>
        <v>0</v>
      </c>
      <c r="T51" s="186">
        <f t="shared" si="56"/>
        <v>0</v>
      </c>
      <c r="U51" s="187">
        <f t="shared" si="56"/>
        <v>0</v>
      </c>
      <c r="V51" s="187">
        <f t="shared" si="56"/>
        <v>0</v>
      </c>
      <c r="W51" s="188">
        <f t="shared" si="56"/>
        <v>0</v>
      </c>
      <c r="X51" s="186">
        <f t="shared" si="57"/>
        <v>0</v>
      </c>
      <c r="Y51" s="187">
        <f t="shared" si="57"/>
        <v>0</v>
      </c>
      <c r="Z51" s="187">
        <f t="shared" si="57"/>
        <v>0</v>
      </c>
      <c r="AA51" s="188">
        <f t="shared" si="57"/>
        <v>0</v>
      </c>
      <c r="AB51" s="186">
        <f t="shared" si="57"/>
        <v>0</v>
      </c>
      <c r="AC51" s="187">
        <f t="shared" si="57"/>
        <v>0</v>
      </c>
      <c r="AD51" s="187">
        <f t="shared" si="57"/>
        <v>0</v>
      </c>
      <c r="AE51" s="188">
        <f t="shared" si="57"/>
        <v>0</v>
      </c>
      <c r="AF51" s="186">
        <f t="shared" si="57"/>
        <v>0</v>
      </c>
      <c r="AG51" s="187">
        <f t="shared" si="57"/>
        <v>0</v>
      </c>
      <c r="AH51" s="187">
        <f t="shared" si="57"/>
        <v>0</v>
      </c>
      <c r="AI51" s="188">
        <f t="shared" si="57"/>
        <v>0</v>
      </c>
      <c r="AJ51" s="186">
        <f t="shared" si="57"/>
        <v>0</v>
      </c>
      <c r="AK51" s="187">
        <f t="shared" si="57"/>
        <v>0</v>
      </c>
      <c r="AL51" s="187">
        <f t="shared" si="57"/>
        <v>0</v>
      </c>
      <c r="AM51" s="188">
        <f t="shared" si="57"/>
        <v>0</v>
      </c>
      <c r="AN51" s="186">
        <f t="shared" si="58"/>
        <v>0</v>
      </c>
      <c r="AO51" s="187">
        <f t="shared" si="58"/>
        <v>0</v>
      </c>
      <c r="AP51" s="187">
        <f t="shared" si="58"/>
        <v>0</v>
      </c>
      <c r="AQ51" s="188">
        <f t="shared" si="58"/>
        <v>0</v>
      </c>
      <c r="AR51" s="186">
        <f t="shared" si="58"/>
        <v>0</v>
      </c>
      <c r="AS51" s="187">
        <f t="shared" si="58"/>
        <v>0</v>
      </c>
      <c r="AT51" s="187">
        <f t="shared" si="58"/>
        <v>0</v>
      </c>
      <c r="AU51" s="188">
        <f t="shared" si="58"/>
        <v>0</v>
      </c>
      <c r="AV51" s="186">
        <f t="shared" si="58"/>
        <v>0</v>
      </c>
      <c r="AW51" s="187">
        <f t="shared" si="58"/>
        <v>0</v>
      </c>
      <c r="AX51" s="187">
        <f t="shared" si="58"/>
        <v>0</v>
      </c>
      <c r="AY51" s="188">
        <f t="shared" si="58"/>
        <v>0</v>
      </c>
      <c r="AZ51" s="186">
        <f t="shared" si="58"/>
        <v>0</v>
      </c>
      <c r="BA51" s="187">
        <f t="shared" si="58"/>
        <v>0</v>
      </c>
      <c r="BB51" s="187">
        <f t="shared" si="58"/>
        <v>0</v>
      </c>
      <c r="BC51" s="188">
        <f t="shared" si="58"/>
        <v>0</v>
      </c>
      <c r="BD51" s="186">
        <f t="shared" si="59"/>
        <v>0</v>
      </c>
      <c r="BE51" s="187">
        <f t="shared" si="59"/>
        <v>0</v>
      </c>
      <c r="BF51" s="187">
        <f t="shared" si="59"/>
        <v>0</v>
      </c>
      <c r="BG51" s="188">
        <f t="shared" si="59"/>
        <v>0</v>
      </c>
      <c r="BH51" s="186">
        <f t="shared" si="59"/>
        <v>0</v>
      </c>
      <c r="BI51" s="187">
        <f t="shared" si="59"/>
        <v>0</v>
      </c>
      <c r="BJ51" s="187">
        <f t="shared" si="59"/>
        <v>0</v>
      </c>
      <c r="BK51" s="188">
        <f t="shared" si="59"/>
        <v>0</v>
      </c>
      <c r="BL51" s="186">
        <f t="shared" si="59"/>
        <v>0</v>
      </c>
      <c r="BM51" s="187">
        <f t="shared" si="59"/>
        <v>0</v>
      </c>
      <c r="BN51" s="187">
        <f t="shared" si="59"/>
        <v>0</v>
      </c>
      <c r="BO51" s="188">
        <f t="shared" si="59"/>
        <v>0</v>
      </c>
      <c r="BP51" s="186">
        <f t="shared" si="59"/>
        <v>0</v>
      </c>
      <c r="BQ51" s="187">
        <f t="shared" si="59"/>
        <v>0</v>
      </c>
      <c r="BR51" s="187">
        <f t="shared" si="59"/>
        <v>0</v>
      </c>
      <c r="BS51" s="188">
        <f t="shared" si="59"/>
        <v>0</v>
      </c>
      <c r="BT51" s="186">
        <f t="shared" si="60"/>
        <v>0</v>
      </c>
      <c r="BU51" s="187">
        <f t="shared" si="60"/>
        <v>0</v>
      </c>
      <c r="BV51" s="187">
        <f t="shared" si="60"/>
        <v>0</v>
      </c>
      <c r="BW51" s="188">
        <f t="shared" si="60"/>
        <v>0</v>
      </c>
      <c r="BX51" s="186">
        <f t="shared" si="60"/>
        <v>0</v>
      </c>
      <c r="BY51" s="187">
        <f t="shared" si="60"/>
        <v>0</v>
      </c>
      <c r="BZ51" s="187">
        <f t="shared" si="60"/>
        <v>0</v>
      </c>
      <c r="CA51" s="188">
        <f t="shared" si="60"/>
        <v>0</v>
      </c>
      <c r="CB51" s="186">
        <f t="shared" si="60"/>
        <v>0</v>
      </c>
      <c r="CC51" s="187">
        <f t="shared" si="60"/>
        <v>0</v>
      </c>
      <c r="CD51" s="187">
        <f t="shared" si="60"/>
        <v>0</v>
      </c>
      <c r="CE51" s="188">
        <f t="shared" si="60"/>
        <v>0</v>
      </c>
      <c r="CF51" s="13"/>
      <c r="CG51" s="13"/>
      <c r="CH51" s="13"/>
      <c r="CI51" s="13"/>
    </row>
    <row r="52" spans="1:87" ht="20.100000000000001" customHeight="1">
      <c r="F52" s="212">
        <v>10</v>
      </c>
      <c r="G52" s="213" t="s">
        <v>16</v>
      </c>
      <c r="H52" s="209">
        <f t="shared" si="56"/>
        <v>0</v>
      </c>
      <c r="I52" s="210">
        <f t="shared" si="56"/>
        <v>0</v>
      </c>
      <c r="J52" s="210">
        <f t="shared" si="56"/>
        <v>0</v>
      </c>
      <c r="K52" s="211">
        <f t="shared" si="56"/>
        <v>0</v>
      </c>
      <c r="L52" s="209">
        <f t="shared" si="56"/>
        <v>0</v>
      </c>
      <c r="M52" s="210">
        <f t="shared" si="56"/>
        <v>0</v>
      </c>
      <c r="N52" s="210">
        <f t="shared" si="56"/>
        <v>0</v>
      </c>
      <c r="O52" s="211">
        <f t="shared" si="56"/>
        <v>0</v>
      </c>
      <c r="P52" s="209">
        <f t="shared" si="56"/>
        <v>0</v>
      </c>
      <c r="Q52" s="210">
        <f t="shared" si="56"/>
        <v>0</v>
      </c>
      <c r="R52" s="210">
        <f t="shared" si="56"/>
        <v>0</v>
      </c>
      <c r="S52" s="211">
        <f t="shared" si="56"/>
        <v>0</v>
      </c>
      <c r="T52" s="209">
        <f t="shared" si="56"/>
        <v>1</v>
      </c>
      <c r="U52" s="210">
        <f t="shared" si="56"/>
        <v>1</v>
      </c>
      <c r="V52" s="210">
        <f t="shared" si="56"/>
        <v>1</v>
      </c>
      <c r="W52" s="211">
        <f t="shared" si="56"/>
        <v>1</v>
      </c>
      <c r="X52" s="209">
        <f t="shared" si="57"/>
        <v>2</v>
      </c>
      <c r="Y52" s="210">
        <f t="shared" si="57"/>
        <v>2</v>
      </c>
      <c r="Z52" s="210">
        <f t="shared" si="57"/>
        <v>3</v>
      </c>
      <c r="AA52" s="211">
        <f t="shared" si="57"/>
        <v>3</v>
      </c>
      <c r="AB52" s="209">
        <f t="shared" si="57"/>
        <v>3</v>
      </c>
      <c r="AC52" s="210">
        <f t="shared" si="57"/>
        <v>3</v>
      </c>
      <c r="AD52" s="210">
        <f t="shared" si="57"/>
        <v>3</v>
      </c>
      <c r="AE52" s="211">
        <f t="shared" si="57"/>
        <v>3</v>
      </c>
      <c r="AF52" s="209">
        <f t="shared" si="57"/>
        <v>3</v>
      </c>
      <c r="AG52" s="210">
        <f t="shared" si="57"/>
        <v>3</v>
      </c>
      <c r="AH52" s="210">
        <f t="shared" si="57"/>
        <v>3</v>
      </c>
      <c r="AI52" s="211">
        <f t="shared" si="57"/>
        <v>3</v>
      </c>
      <c r="AJ52" s="209">
        <f t="shared" si="57"/>
        <v>3</v>
      </c>
      <c r="AK52" s="210">
        <f t="shared" si="57"/>
        <v>3</v>
      </c>
      <c r="AL52" s="210">
        <f t="shared" si="57"/>
        <v>3</v>
      </c>
      <c r="AM52" s="211">
        <f t="shared" si="57"/>
        <v>4</v>
      </c>
      <c r="AN52" s="209">
        <f t="shared" si="58"/>
        <v>2</v>
      </c>
      <c r="AO52" s="210">
        <f t="shared" si="58"/>
        <v>2</v>
      </c>
      <c r="AP52" s="210">
        <f t="shared" si="58"/>
        <v>1</v>
      </c>
      <c r="AQ52" s="211">
        <f t="shared" si="58"/>
        <v>1</v>
      </c>
      <c r="AR52" s="209">
        <f t="shared" si="58"/>
        <v>2</v>
      </c>
      <c r="AS52" s="210">
        <f t="shared" si="58"/>
        <v>2</v>
      </c>
      <c r="AT52" s="210">
        <f t="shared" si="58"/>
        <v>2</v>
      </c>
      <c r="AU52" s="211">
        <f t="shared" si="58"/>
        <v>2</v>
      </c>
      <c r="AV52" s="209">
        <f t="shared" si="58"/>
        <v>2</v>
      </c>
      <c r="AW52" s="210">
        <f t="shared" si="58"/>
        <v>2</v>
      </c>
      <c r="AX52" s="210">
        <f t="shared" si="58"/>
        <v>2</v>
      </c>
      <c r="AY52" s="211">
        <f t="shared" si="58"/>
        <v>2</v>
      </c>
      <c r="AZ52" s="209">
        <f t="shared" si="58"/>
        <v>2</v>
      </c>
      <c r="BA52" s="210">
        <f t="shared" si="58"/>
        <v>3</v>
      </c>
      <c r="BB52" s="210">
        <f t="shared" si="58"/>
        <v>2</v>
      </c>
      <c r="BC52" s="211">
        <f t="shared" si="58"/>
        <v>2</v>
      </c>
      <c r="BD52" s="209">
        <f t="shared" si="59"/>
        <v>2</v>
      </c>
      <c r="BE52" s="210">
        <f t="shared" si="59"/>
        <v>3</v>
      </c>
      <c r="BF52" s="210">
        <f t="shared" si="59"/>
        <v>3</v>
      </c>
      <c r="BG52" s="211">
        <f t="shared" si="59"/>
        <v>3</v>
      </c>
      <c r="BH52" s="209">
        <f t="shared" si="59"/>
        <v>3</v>
      </c>
      <c r="BI52" s="210">
        <f t="shared" si="59"/>
        <v>3</v>
      </c>
      <c r="BJ52" s="210">
        <f t="shared" si="59"/>
        <v>3</v>
      </c>
      <c r="BK52" s="211">
        <f t="shared" si="59"/>
        <v>3</v>
      </c>
      <c r="BL52" s="209">
        <f t="shared" si="59"/>
        <v>3</v>
      </c>
      <c r="BM52" s="210">
        <f t="shared" si="59"/>
        <v>3</v>
      </c>
      <c r="BN52" s="210">
        <f t="shared" si="59"/>
        <v>2</v>
      </c>
      <c r="BO52" s="211">
        <f t="shared" si="59"/>
        <v>2</v>
      </c>
      <c r="BP52" s="209">
        <f t="shared" si="59"/>
        <v>2</v>
      </c>
      <c r="BQ52" s="210">
        <f t="shared" si="59"/>
        <v>2</v>
      </c>
      <c r="BR52" s="210">
        <f t="shared" si="59"/>
        <v>2</v>
      </c>
      <c r="BS52" s="211">
        <f t="shared" si="59"/>
        <v>0</v>
      </c>
      <c r="BT52" s="209">
        <f t="shared" si="60"/>
        <v>0</v>
      </c>
      <c r="BU52" s="210">
        <f t="shared" si="60"/>
        <v>0</v>
      </c>
      <c r="BV52" s="210">
        <f t="shared" si="60"/>
        <v>0</v>
      </c>
      <c r="BW52" s="211">
        <f t="shared" si="60"/>
        <v>0</v>
      </c>
      <c r="BX52" s="209">
        <f t="shared" si="60"/>
        <v>0</v>
      </c>
      <c r="BY52" s="210">
        <f t="shared" si="60"/>
        <v>0</v>
      </c>
      <c r="BZ52" s="210">
        <f t="shared" si="60"/>
        <v>0</v>
      </c>
      <c r="CA52" s="211">
        <f t="shared" si="60"/>
        <v>0</v>
      </c>
      <c r="CB52" s="209">
        <f t="shared" si="60"/>
        <v>0</v>
      </c>
      <c r="CC52" s="210">
        <f t="shared" si="60"/>
        <v>0</v>
      </c>
      <c r="CD52" s="210">
        <f t="shared" si="60"/>
        <v>0</v>
      </c>
      <c r="CE52" s="211">
        <f t="shared" si="60"/>
        <v>0</v>
      </c>
      <c r="CF52" s="13"/>
      <c r="CG52" s="13"/>
      <c r="CH52" s="13"/>
      <c r="CI52" s="13"/>
    </row>
    <row r="53" spans="1:87" ht="20.100000000000001" customHeight="1">
      <c r="F53" s="7">
        <v>12</v>
      </c>
      <c r="G53" s="8" t="s">
        <v>17</v>
      </c>
      <c r="H53" s="189">
        <f t="shared" si="56"/>
        <v>0</v>
      </c>
      <c r="I53" s="190">
        <f t="shared" si="56"/>
        <v>0</v>
      </c>
      <c r="J53" s="190">
        <f t="shared" si="56"/>
        <v>0</v>
      </c>
      <c r="K53" s="191">
        <f t="shared" si="56"/>
        <v>0</v>
      </c>
      <c r="L53" s="189">
        <f t="shared" si="56"/>
        <v>0</v>
      </c>
      <c r="M53" s="190">
        <f t="shared" si="56"/>
        <v>0</v>
      </c>
      <c r="N53" s="190">
        <f t="shared" si="56"/>
        <v>0</v>
      </c>
      <c r="O53" s="191">
        <f t="shared" si="56"/>
        <v>0</v>
      </c>
      <c r="P53" s="189">
        <f t="shared" si="56"/>
        <v>0</v>
      </c>
      <c r="Q53" s="190">
        <f t="shared" si="56"/>
        <v>0</v>
      </c>
      <c r="R53" s="190">
        <f t="shared" si="56"/>
        <v>0</v>
      </c>
      <c r="S53" s="191">
        <f t="shared" si="56"/>
        <v>0</v>
      </c>
      <c r="T53" s="189">
        <f t="shared" si="56"/>
        <v>0</v>
      </c>
      <c r="U53" s="190">
        <f t="shared" si="56"/>
        <v>0</v>
      </c>
      <c r="V53" s="190">
        <f t="shared" si="56"/>
        <v>0</v>
      </c>
      <c r="W53" s="191">
        <f t="shared" si="56"/>
        <v>0</v>
      </c>
      <c r="X53" s="189">
        <f t="shared" si="57"/>
        <v>0</v>
      </c>
      <c r="Y53" s="190">
        <f t="shared" si="57"/>
        <v>0</v>
      </c>
      <c r="Z53" s="190">
        <f t="shared" si="57"/>
        <v>0</v>
      </c>
      <c r="AA53" s="191">
        <f t="shared" si="57"/>
        <v>0</v>
      </c>
      <c r="AB53" s="189">
        <f t="shared" si="57"/>
        <v>0</v>
      </c>
      <c r="AC53" s="190">
        <f t="shared" si="57"/>
        <v>0</v>
      </c>
      <c r="AD53" s="190">
        <f t="shared" si="57"/>
        <v>0</v>
      </c>
      <c r="AE53" s="191">
        <f t="shared" si="57"/>
        <v>0</v>
      </c>
      <c r="AF53" s="189">
        <f t="shared" si="57"/>
        <v>0</v>
      </c>
      <c r="AG53" s="190">
        <f t="shared" si="57"/>
        <v>0</v>
      </c>
      <c r="AH53" s="190">
        <f t="shared" si="57"/>
        <v>0</v>
      </c>
      <c r="AI53" s="191">
        <f t="shared" si="57"/>
        <v>0</v>
      </c>
      <c r="AJ53" s="189">
        <f t="shared" si="57"/>
        <v>0</v>
      </c>
      <c r="AK53" s="190">
        <f t="shared" si="57"/>
        <v>0</v>
      </c>
      <c r="AL53" s="190">
        <f t="shared" si="57"/>
        <v>0</v>
      </c>
      <c r="AM53" s="191">
        <f t="shared" si="57"/>
        <v>0</v>
      </c>
      <c r="AN53" s="189">
        <f t="shared" si="58"/>
        <v>0</v>
      </c>
      <c r="AO53" s="190">
        <f t="shared" si="58"/>
        <v>0</v>
      </c>
      <c r="AP53" s="190">
        <f t="shared" si="58"/>
        <v>0</v>
      </c>
      <c r="AQ53" s="191">
        <f t="shared" si="58"/>
        <v>0</v>
      </c>
      <c r="AR53" s="189">
        <f t="shared" si="58"/>
        <v>0</v>
      </c>
      <c r="AS53" s="190">
        <f t="shared" si="58"/>
        <v>0</v>
      </c>
      <c r="AT53" s="190">
        <f t="shared" si="58"/>
        <v>0</v>
      </c>
      <c r="AU53" s="191">
        <f t="shared" si="58"/>
        <v>0</v>
      </c>
      <c r="AV53" s="189">
        <f t="shared" si="58"/>
        <v>0</v>
      </c>
      <c r="AW53" s="190">
        <f t="shared" si="58"/>
        <v>0</v>
      </c>
      <c r="AX53" s="190">
        <f t="shared" si="58"/>
        <v>0</v>
      </c>
      <c r="AY53" s="191">
        <f t="shared" si="58"/>
        <v>0</v>
      </c>
      <c r="AZ53" s="189">
        <f t="shared" si="58"/>
        <v>0</v>
      </c>
      <c r="BA53" s="190">
        <f t="shared" si="58"/>
        <v>0</v>
      </c>
      <c r="BB53" s="190">
        <f t="shared" si="58"/>
        <v>0</v>
      </c>
      <c r="BC53" s="191">
        <f t="shared" si="58"/>
        <v>0</v>
      </c>
      <c r="BD53" s="189">
        <f t="shared" si="59"/>
        <v>0</v>
      </c>
      <c r="BE53" s="190">
        <f t="shared" si="59"/>
        <v>0</v>
      </c>
      <c r="BF53" s="190">
        <f t="shared" si="59"/>
        <v>0</v>
      </c>
      <c r="BG53" s="191">
        <f t="shared" si="59"/>
        <v>0</v>
      </c>
      <c r="BH53" s="189">
        <f t="shared" si="59"/>
        <v>0</v>
      </c>
      <c r="BI53" s="190">
        <f t="shared" si="59"/>
        <v>0</v>
      </c>
      <c r="BJ53" s="190">
        <f t="shared" si="59"/>
        <v>0</v>
      </c>
      <c r="BK53" s="191">
        <f t="shared" si="59"/>
        <v>0</v>
      </c>
      <c r="BL53" s="189">
        <f t="shared" si="59"/>
        <v>0</v>
      </c>
      <c r="BM53" s="190">
        <f t="shared" si="59"/>
        <v>0</v>
      </c>
      <c r="BN53" s="190">
        <f t="shared" si="59"/>
        <v>0</v>
      </c>
      <c r="BO53" s="191">
        <f t="shared" si="59"/>
        <v>0</v>
      </c>
      <c r="BP53" s="189">
        <f t="shared" si="59"/>
        <v>0</v>
      </c>
      <c r="BQ53" s="190">
        <f t="shared" si="59"/>
        <v>0</v>
      </c>
      <c r="BR53" s="190">
        <f t="shared" si="59"/>
        <v>0</v>
      </c>
      <c r="BS53" s="191">
        <f t="shared" si="59"/>
        <v>0</v>
      </c>
      <c r="BT53" s="189">
        <f t="shared" si="60"/>
        <v>0</v>
      </c>
      <c r="BU53" s="190">
        <f t="shared" si="60"/>
        <v>0</v>
      </c>
      <c r="BV53" s="190">
        <f t="shared" si="60"/>
        <v>0</v>
      </c>
      <c r="BW53" s="191">
        <f t="shared" si="60"/>
        <v>0</v>
      </c>
      <c r="BX53" s="189">
        <f t="shared" si="60"/>
        <v>0</v>
      </c>
      <c r="BY53" s="190">
        <f t="shared" si="60"/>
        <v>0</v>
      </c>
      <c r="BZ53" s="190">
        <f t="shared" si="60"/>
        <v>0</v>
      </c>
      <c r="CA53" s="191">
        <f t="shared" si="60"/>
        <v>0</v>
      </c>
      <c r="CB53" s="189">
        <f t="shared" si="60"/>
        <v>0</v>
      </c>
      <c r="CC53" s="190">
        <f t="shared" si="60"/>
        <v>0</v>
      </c>
      <c r="CD53" s="190">
        <f t="shared" si="60"/>
        <v>0</v>
      </c>
      <c r="CE53" s="191">
        <f t="shared" si="60"/>
        <v>0</v>
      </c>
      <c r="CF53" s="13"/>
      <c r="CG53" s="13"/>
      <c r="CH53" s="13"/>
      <c r="CI53" s="13"/>
    </row>
    <row r="54" spans="1:87" ht="20.100000000000001" customHeight="1">
      <c r="F54" s="155">
        <v>13</v>
      </c>
      <c r="G54" s="156" t="s">
        <v>83</v>
      </c>
      <c r="H54" s="192">
        <f t="shared" si="56"/>
        <v>0</v>
      </c>
      <c r="I54" s="193">
        <f t="shared" si="56"/>
        <v>0</v>
      </c>
      <c r="J54" s="193">
        <f t="shared" si="56"/>
        <v>0</v>
      </c>
      <c r="K54" s="194">
        <f t="shared" si="56"/>
        <v>0</v>
      </c>
      <c r="L54" s="192">
        <f t="shared" si="56"/>
        <v>0</v>
      </c>
      <c r="M54" s="193">
        <f t="shared" si="56"/>
        <v>0</v>
      </c>
      <c r="N54" s="193">
        <f t="shared" si="56"/>
        <v>0</v>
      </c>
      <c r="O54" s="194">
        <f t="shared" si="56"/>
        <v>0</v>
      </c>
      <c r="P54" s="192">
        <f t="shared" si="56"/>
        <v>0</v>
      </c>
      <c r="Q54" s="193">
        <f t="shared" si="56"/>
        <v>0</v>
      </c>
      <c r="R54" s="193">
        <f t="shared" si="56"/>
        <v>0</v>
      </c>
      <c r="S54" s="194">
        <f t="shared" si="56"/>
        <v>0</v>
      </c>
      <c r="T54" s="192">
        <f t="shared" si="56"/>
        <v>0</v>
      </c>
      <c r="U54" s="193">
        <f t="shared" si="56"/>
        <v>0</v>
      </c>
      <c r="V54" s="193">
        <f t="shared" si="56"/>
        <v>0</v>
      </c>
      <c r="W54" s="194">
        <f t="shared" si="56"/>
        <v>0</v>
      </c>
      <c r="X54" s="192">
        <f t="shared" si="57"/>
        <v>0</v>
      </c>
      <c r="Y54" s="193">
        <f t="shared" si="57"/>
        <v>0</v>
      </c>
      <c r="Z54" s="193">
        <f t="shared" si="57"/>
        <v>0</v>
      </c>
      <c r="AA54" s="194">
        <f t="shared" si="57"/>
        <v>0</v>
      </c>
      <c r="AB54" s="192">
        <f t="shared" si="57"/>
        <v>0</v>
      </c>
      <c r="AC54" s="193">
        <f t="shared" si="57"/>
        <v>0</v>
      </c>
      <c r="AD54" s="193">
        <f t="shared" si="57"/>
        <v>0</v>
      </c>
      <c r="AE54" s="194">
        <f t="shared" si="57"/>
        <v>0</v>
      </c>
      <c r="AF54" s="192">
        <f t="shared" si="57"/>
        <v>0</v>
      </c>
      <c r="AG54" s="193">
        <f t="shared" si="57"/>
        <v>0</v>
      </c>
      <c r="AH54" s="193">
        <f t="shared" si="57"/>
        <v>0</v>
      </c>
      <c r="AI54" s="194">
        <f t="shared" si="57"/>
        <v>0</v>
      </c>
      <c r="AJ54" s="192">
        <f t="shared" si="57"/>
        <v>0</v>
      </c>
      <c r="AK54" s="193">
        <f t="shared" si="57"/>
        <v>0</v>
      </c>
      <c r="AL54" s="193">
        <f t="shared" si="57"/>
        <v>0</v>
      </c>
      <c r="AM54" s="194">
        <f t="shared" si="57"/>
        <v>0</v>
      </c>
      <c r="AN54" s="192">
        <f t="shared" si="58"/>
        <v>0</v>
      </c>
      <c r="AO54" s="193">
        <f t="shared" si="58"/>
        <v>0</v>
      </c>
      <c r="AP54" s="193">
        <f t="shared" si="58"/>
        <v>0</v>
      </c>
      <c r="AQ54" s="194">
        <f t="shared" si="58"/>
        <v>0</v>
      </c>
      <c r="AR54" s="192">
        <f t="shared" si="58"/>
        <v>0</v>
      </c>
      <c r="AS54" s="193">
        <f t="shared" si="58"/>
        <v>0</v>
      </c>
      <c r="AT54" s="193">
        <f t="shared" si="58"/>
        <v>0</v>
      </c>
      <c r="AU54" s="194">
        <f t="shared" si="58"/>
        <v>0</v>
      </c>
      <c r="AV54" s="192">
        <f t="shared" si="58"/>
        <v>0</v>
      </c>
      <c r="AW54" s="193">
        <f t="shared" si="58"/>
        <v>0</v>
      </c>
      <c r="AX54" s="193">
        <f t="shared" si="58"/>
        <v>0</v>
      </c>
      <c r="AY54" s="194">
        <f t="shared" si="58"/>
        <v>0</v>
      </c>
      <c r="AZ54" s="192">
        <f t="shared" si="58"/>
        <v>0</v>
      </c>
      <c r="BA54" s="193">
        <f t="shared" si="58"/>
        <v>0</v>
      </c>
      <c r="BB54" s="193">
        <f t="shared" si="58"/>
        <v>0</v>
      </c>
      <c r="BC54" s="194">
        <f t="shared" si="58"/>
        <v>0</v>
      </c>
      <c r="BD54" s="192">
        <f t="shared" si="59"/>
        <v>0</v>
      </c>
      <c r="BE54" s="193">
        <f t="shared" si="59"/>
        <v>0</v>
      </c>
      <c r="BF54" s="193">
        <f t="shared" si="59"/>
        <v>0</v>
      </c>
      <c r="BG54" s="194">
        <f t="shared" si="59"/>
        <v>0</v>
      </c>
      <c r="BH54" s="192">
        <f t="shared" si="59"/>
        <v>0</v>
      </c>
      <c r="BI54" s="193">
        <f t="shared" si="59"/>
        <v>0</v>
      </c>
      <c r="BJ54" s="193">
        <f t="shared" si="59"/>
        <v>0</v>
      </c>
      <c r="BK54" s="194">
        <f t="shared" si="59"/>
        <v>0</v>
      </c>
      <c r="BL54" s="192">
        <f t="shared" si="59"/>
        <v>0</v>
      </c>
      <c r="BM54" s="193">
        <f t="shared" si="59"/>
        <v>0</v>
      </c>
      <c r="BN54" s="193">
        <f t="shared" si="59"/>
        <v>0</v>
      </c>
      <c r="BO54" s="194">
        <f t="shared" si="59"/>
        <v>0</v>
      </c>
      <c r="BP54" s="192">
        <f t="shared" si="59"/>
        <v>0</v>
      </c>
      <c r="BQ54" s="193">
        <f t="shared" si="59"/>
        <v>0</v>
      </c>
      <c r="BR54" s="193">
        <f t="shared" si="59"/>
        <v>0</v>
      </c>
      <c r="BS54" s="194">
        <f t="shared" si="59"/>
        <v>0</v>
      </c>
      <c r="BT54" s="192">
        <f t="shared" si="60"/>
        <v>0</v>
      </c>
      <c r="BU54" s="193">
        <f t="shared" si="60"/>
        <v>0</v>
      </c>
      <c r="BV54" s="193">
        <f t="shared" si="60"/>
        <v>0</v>
      </c>
      <c r="BW54" s="194">
        <f t="shared" si="60"/>
        <v>0</v>
      </c>
      <c r="BX54" s="192">
        <f t="shared" si="60"/>
        <v>0</v>
      </c>
      <c r="BY54" s="193">
        <f t="shared" si="60"/>
        <v>0</v>
      </c>
      <c r="BZ54" s="193">
        <f t="shared" si="60"/>
        <v>0</v>
      </c>
      <c r="CA54" s="194">
        <f t="shared" si="60"/>
        <v>0</v>
      </c>
      <c r="CB54" s="192">
        <f t="shared" si="60"/>
        <v>0</v>
      </c>
      <c r="CC54" s="193">
        <f t="shared" si="60"/>
        <v>0</v>
      </c>
      <c r="CD54" s="193">
        <f t="shared" si="60"/>
        <v>0</v>
      </c>
      <c r="CE54" s="194">
        <f t="shared" si="60"/>
        <v>0</v>
      </c>
      <c r="CF54" s="13"/>
      <c r="CG54" s="13"/>
      <c r="CH54" s="13"/>
      <c r="CI54" s="13"/>
    </row>
    <row r="55" spans="1:87" ht="41.25" customHeight="1">
      <c r="A55" s="22"/>
      <c r="B55" s="22"/>
      <c r="C55" s="22"/>
      <c r="D55" s="22"/>
      <c r="E55" s="22"/>
      <c r="F55" s="152"/>
      <c r="G55" s="151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</row>
    <row r="56" spans="1:87" ht="20.100000000000001" customHeight="1">
      <c r="A56" s="22"/>
      <c r="B56" s="22"/>
      <c r="C56" s="22"/>
      <c r="D56" s="22"/>
      <c r="E56" s="22"/>
      <c r="F56" s="152"/>
      <c r="G56" s="151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</row>
    <row r="57" spans="1:87" ht="20.100000000000001" customHeight="1">
      <c r="A57" s="22"/>
      <c r="B57" s="22"/>
      <c r="C57" s="22"/>
      <c r="D57" s="22"/>
      <c r="E57" s="22"/>
      <c r="F57" s="152"/>
      <c r="G57" s="151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</row>
    <row r="58" spans="1:87" ht="20.100000000000001" customHeight="1">
      <c r="A58" s="22"/>
      <c r="B58" s="22"/>
      <c r="C58" s="22"/>
      <c r="D58" s="22"/>
      <c r="E58" s="22"/>
      <c r="F58" s="152"/>
      <c r="G58" s="151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</row>
    <row r="59" spans="1:87" ht="20.100000000000001" customHeight="1">
      <c r="F59" s="152"/>
      <c r="G59" s="151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</row>
    <row r="60" spans="1:87" ht="20.100000000000001" customHeight="1">
      <c r="F60" s="152"/>
      <c r="G60" s="151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</row>
    <row r="61" spans="1:87" ht="20.100000000000001" customHeight="1">
      <c r="F61" s="152"/>
      <c r="G61" s="151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</row>
    <row r="62" spans="1:87" ht="20.100000000000001" customHeight="1">
      <c r="F62" s="152"/>
      <c r="G62" s="151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</row>
    <row r="63" spans="1:87" ht="20.100000000000001" customHeight="1">
      <c r="F63" s="152"/>
      <c r="G63" s="151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</row>
    <row r="64" spans="1:87" ht="20.100000000000001" customHeight="1">
      <c r="F64" s="152"/>
      <c r="G64" s="151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</row>
    <row r="65" spans="1:84" ht="20.100000000000001" customHeight="1">
      <c r="F65" s="152"/>
      <c r="G65" s="151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</row>
    <row r="66" spans="1:84" ht="20.100000000000001" customHeight="1">
      <c r="F66" s="152"/>
      <c r="G66" s="151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</row>
    <row r="67" spans="1:84" s="154" customFormat="1" ht="30" hidden="1" customHeight="1">
      <c r="A67" s="153"/>
      <c r="B67" s="153"/>
      <c r="C67" s="153"/>
      <c r="D67" s="153"/>
      <c r="E67" s="153"/>
      <c r="F67" s="355" t="s">
        <v>25</v>
      </c>
      <c r="G67" s="290" t="s">
        <v>35</v>
      </c>
      <c r="H67" s="302">
        <f t="shared" ref="H67:BS67" si="61">H5/$CF$5*100</f>
        <v>0</v>
      </c>
      <c r="I67" s="302">
        <f t="shared" si="61"/>
        <v>0</v>
      </c>
      <c r="J67" s="302">
        <f t="shared" si="61"/>
        <v>0</v>
      </c>
      <c r="K67" s="303">
        <f t="shared" si="61"/>
        <v>0</v>
      </c>
      <c r="L67" s="304">
        <f t="shared" si="61"/>
        <v>0</v>
      </c>
      <c r="M67" s="302">
        <f t="shared" si="61"/>
        <v>0</v>
      </c>
      <c r="N67" s="302">
        <f t="shared" si="61"/>
        <v>0</v>
      </c>
      <c r="O67" s="303">
        <f t="shared" si="61"/>
        <v>0</v>
      </c>
      <c r="P67" s="304">
        <f t="shared" si="61"/>
        <v>0</v>
      </c>
      <c r="Q67" s="302">
        <f t="shared" si="61"/>
        <v>0</v>
      </c>
      <c r="R67" s="302">
        <f t="shared" si="61"/>
        <v>0</v>
      </c>
      <c r="S67" s="303">
        <f t="shared" si="61"/>
        <v>0</v>
      </c>
      <c r="T67" s="304">
        <f t="shared" si="61"/>
        <v>0.70921985815602839</v>
      </c>
      <c r="U67" s="302">
        <f t="shared" si="61"/>
        <v>0.70921985815602839</v>
      </c>
      <c r="V67" s="302">
        <f t="shared" si="61"/>
        <v>0.70921985815602839</v>
      </c>
      <c r="W67" s="303">
        <f t="shared" si="61"/>
        <v>0.70921985815602839</v>
      </c>
      <c r="X67" s="304">
        <f t="shared" si="61"/>
        <v>1.4184397163120568</v>
      </c>
      <c r="Y67" s="302">
        <f t="shared" si="61"/>
        <v>1.4184397163120568</v>
      </c>
      <c r="Z67" s="302">
        <f t="shared" si="61"/>
        <v>2.1276595744680851</v>
      </c>
      <c r="AA67" s="303">
        <f t="shared" si="61"/>
        <v>2.1276595744680851</v>
      </c>
      <c r="AB67" s="304">
        <f t="shared" si="61"/>
        <v>2.8368794326241136</v>
      </c>
      <c r="AC67" s="302">
        <f t="shared" si="61"/>
        <v>2.8368794326241136</v>
      </c>
      <c r="AD67" s="302">
        <f t="shared" si="61"/>
        <v>2.8368794326241136</v>
      </c>
      <c r="AE67" s="303">
        <f t="shared" si="61"/>
        <v>2.8368794326241136</v>
      </c>
      <c r="AF67" s="304">
        <f t="shared" si="61"/>
        <v>2.8368794326241136</v>
      </c>
      <c r="AG67" s="302">
        <f t="shared" si="61"/>
        <v>2.8368794326241136</v>
      </c>
      <c r="AH67" s="302">
        <f t="shared" si="61"/>
        <v>2.8368794326241136</v>
      </c>
      <c r="AI67" s="303">
        <f t="shared" si="61"/>
        <v>2.8368794326241136</v>
      </c>
      <c r="AJ67" s="304">
        <f t="shared" si="61"/>
        <v>2.8368794326241136</v>
      </c>
      <c r="AK67" s="302">
        <f t="shared" si="61"/>
        <v>2.8368794326241136</v>
      </c>
      <c r="AL67" s="302">
        <f t="shared" si="61"/>
        <v>2.8368794326241136</v>
      </c>
      <c r="AM67" s="303">
        <f t="shared" si="61"/>
        <v>3.5460992907801421</v>
      </c>
      <c r="AN67" s="304">
        <f t="shared" si="61"/>
        <v>2.1276595744680851</v>
      </c>
      <c r="AO67" s="302">
        <f t="shared" si="61"/>
        <v>2.1276595744680851</v>
      </c>
      <c r="AP67" s="302">
        <f t="shared" si="61"/>
        <v>1.4184397163120568</v>
      </c>
      <c r="AQ67" s="303">
        <f t="shared" si="61"/>
        <v>1.4184397163120568</v>
      </c>
      <c r="AR67" s="304">
        <f t="shared" si="61"/>
        <v>2.1276595744680851</v>
      </c>
      <c r="AS67" s="302">
        <f t="shared" si="61"/>
        <v>2.1276595744680851</v>
      </c>
      <c r="AT67" s="302">
        <f t="shared" si="61"/>
        <v>2.1276595744680851</v>
      </c>
      <c r="AU67" s="303">
        <f t="shared" si="61"/>
        <v>2.1276595744680851</v>
      </c>
      <c r="AV67" s="304">
        <f t="shared" si="61"/>
        <v>1.4184397163120568</v>
      </c>
      <c r="AW67" s="302">
        <f t="shared" si="61"/>
        <v>1.4184397163120568</v>
      </c>
      <c r="AX67" s="302">
        <f t="shared" si="61"/>
        <v>1.4184397163120568</v>
      </c>
      <c r="AY67" s="303">
        <f t="shared" si="61"/>
        <v>1.4184397163120568</v>
      </c>
      <c r="AZ67" s="304">
        <f t="shared" si="61"/>
        <v>1.4184397163120568</v>
      </c>
      <c r="BA67" s="302">
        <f t="shared" si="61"/>
        <v>2.1276595744680851</v>
      </c>
      <c r="BB67" s="302">
        <f t="shared" si="61"/>
        <v>1.4184397163120568</v>
      </c>
      <c r="BC67" s="303">
        <f t="shared" si="61"/>
        <v>1.4184397163120568</v>
      </c>
      <c r="BD67" s="304">
        <f t="shared" si="61"/>
        <v>1.4184397163120568</v>
      </c>
      <c r="BE67" s="302">
        <f t="shared" si="61"/>
        <v>2.1276595744680851</v>
      </c>
      <c r="BF67" s="302">
        <f t="shared" si="61"/>
        <v>2.1276595744680851</v>
      </c>
      <c r="BG67" s="303">
        <f t="shared" si="61"/>
        <v>2.1276595744680851</v>
      </c>
      <c r="BH67" s="304">
        <f t="shared" si="61"/>
        <v>2.1276595744680851</v>
      </c>
      <c r="BI67" s="302">
        <f t="shared" si="61"/>
        <v>2.1276595744680851</v>
      </c>
      <c r="BJ67" s="302">
        <f t="shared" si="61"/>
        <v>2.1276595744680851</v>
      </c>
      <c r="BK67" s="303">
        <f t="shared" si="61"/>
        <v>2.1276595744680851</v>
      </c>
      <c r="BL67" s="304">
        <f t="shared" si="61"/>
        <v>2.1276595744680851</v>
      </c>
      <c r="BM67" s="302">
        <f t="shared" si="61"/>
        <v>2.1276595744680851</v>
      </c>
      <c r="BN67" s="302">
        <f t="shared" si="61"/>
        <v>1.4184397163120568</v>
      </c>
      <c r="BO67" s="303">
        <f t="shared" si="61"/>
        <v>1.4184397163120568</v>
      </c>
      <c r="BP67" s="304">
        <f t="shared" si="61"/>
        <v>1.4184397163120568</v>
      </c>
      <c r="BQ67" s="302">
        <f t="shared" si="61"/>
        <v>1.4184397163120568</v>
      </c>
      <c r="BR67" s="302">
        <f t="shared" si="61"/>
        <v>1.4184397163120568</v>
      </c>
      <c r="BS67" s="303">
        <f t="shared" si="61"/>
        <v>0</v>
      </c>
      <c r="BT67" s="304">
        <f t="shared" ref="BT67:CE67" si="62">BT5/$CF$5*100</f>
        <v>0</v>
      </c>
      <c r="BU67" s="302">
        <f t="shared" si="62"/>
        <v>0</v>
      </c>
      <c r="BV67" s="302">
        <f t="shared" si="62"/>
        <v>0</v>
      </c>
      <c r="BW67" s="303">
        <f t="shared" si="62"/>
        <v>0</v>
      </c>
      <c r="BX67" s="304">
        <f t="shared" si="62"/>
        <v>0</v>
      </c>
      <c r="BY67" s="302">
        <f t="shared" si="62"/>
        <v>0</v>
      </c>
      <c r="BZ67" s="302">
        <f t="shared" si="62"/>
        <v>0</v>
      </c>
      <c r="CA67" s="303">
        <f t="shared" si="62"/>
        <v>0</v>
      </c>
      <c r="CB67" s="304">
        <f t="shared" si="62"/>
        <v>0</v>
      </c>
      <c r="CC67" s="302">
        <f t="shared" si="62"/>
        <v>0</v>
      </c>
      <c r="CD67" s="302">
        <f t="shared" si="62"/>
        <v>0</v>
      </c>
      <c r="CE67" s="303">
        <f t="shared" si="62"/>
        <v>0</v>
      </c>
      <c r="CF67" s="13"/>
    </row>
    <row r="68" spans="1:84" s="154" customFormat="1" ht="30" hidden="1" customHeight="1">
      <c r="A68" s="153"/>
      <c r="B68" s="153"/>
      <c r="C68" s="153"/>
      <c r="D68" s="153"/>
      <c r="E68" s="153"/>
      <c r="F68" s="356"/>
      <c r="G68" s="291" t="s">
        <v>34</v>
      </c>
      <c r="H68" s="302"/>
      <c r="I68" s="302"/>
      <c r="J68" s="302"/>
      <c r="K68" s="303"/>
      <c r="L68" s="304"/>
      <c r="M68" s="302"/>
      <c r="N68" s="302"/>
      <c r="O68" s="303"/>
      <c r="P68" s="304" t="str">
        <f>+VL!$N5</f>
        <v/>
      </c>
      <c r="Q68" s="302" t="str">
        <f>+VL!$N6</f>
        <v/>
      </c>
      <c r="R68" s="302" t="str">
        <f>+VL!$N7</f>
        <v/>
      </c>
      <c r="S68" s="303" t="str">
        <f>+VL!$N8</f>
        <v/>
      </c>
      <c r="T68" s="304" t="str">
        <f>+VL!$N9</f>
        <v/>
      </c>
      <c r="U68" s="302" t="str">
        <f>+VL!$N10</f>
        <v/>
      </c>
      <c r="V68" s="302" t="str">
        <f>+VL!$N11</f>
        <v/>
      </c>
      <c r="W68" s="303" t="str">
        <f>+VL!$N12</f>
        <v/>
      </c>
      <c r="X68" s="304" t="str">
        <f>+VL!$N13</f>
        <v/>
      </c>
      <c r="Y68" s="302" t="str">
        <f>+VL!$N14</f>
        <v/>
      </c>
      <c r="Z68" s="302" t="str">
        <f>+VL!$N15</f>
        <v/>
      </c>
      <c r="AA68" s="303" t="str">
        <f>+VL!$N16</f>
        <v/>
      </c>
      <c r="AB68" s="304" t="str">
        <f>+VL!$N17</f>
        <v/>
      </c>
      <c r="AC68" s="302" t="str">
        <f>+VL!$N18</f>
        <v/>
      </c>
      <c r="AD68" s="302" t="str">
        <f>+VL!$N19</f>
        <v/>
      </c>
      <c r="AE68" s="303" t="str">
        <f>+VL!$N20</f>
        <v/>
      </c>
      <c r="AF68" s="304" t="str">
        <f>+VL!$N21</f>
        <v/>
      </c>
      <c r="AG68" s="302" t="str">
        <f>+VL!$N22</f>
        <v/>
      </c>
      <c r="AH68" s="302" t="str">
        <f>+VL!$N23</f>
        <v/>
      </c>
      <c r="AI68" s="303" t="str">
        <f>+VL!$N24</f>
        <v/>
      </c>
      <c r="AJ68" s="304" t="str">
        <f>+VL!$N25</f>
        <v/>
      </c>
      <c r="AK68" s="302" t="str">
        <f>+VL!$N26</f>
        <v/>
      </c>
      <c r="AL68" s="302" t="str">
        <f>+VL!$N27</f>
        <v/>
      </c>
      <c r="AM68" s="303" t="str">
        <f>+VL!$N28</f>
        <v/>
      </c>
      <c r="AN68" s="304" t="str">
        <f>+VL!$N29</f>
        <v/>
      </c>
      <c r="AO68" s="302" t="str">
        <f>+VL!$N30</f>
        <v/>
      </c>
      <c r="AP68" s="302" t="str">
        <f>+VL!$N31</f>
        <v/>
      </c>
      <c r="AQ68" s="303" t="str">
        <f>+VL!$N32</f>
        <v/>
      </c>
      <c r="AR68" s="304" t="str">
        <f>+VL!$N33</f>
        <v/>
      </c>
      <c r="AS68" s="302" t="str">
        <f>+VL!$N34</f>
        <v/>
      </c>
      <c r="AT68" s="302" t="str">
        <f>+VL!$N35</f>
        <v/>
      </c>
      <c r="AU68" s="303" t="str">
        <f>+VL!$N36</f>
        <v/>
      </c>
      <c r="AV68" s="304" t="str">
        <f>+VL!$N37</f>
        <v/>
      </c>
      <c r="AW68" s="302" t="str">
        <f>+VL!$N38</f>
        <v/>
      </c>
      <c r="AX68" s="302" t="str">
        <f>+VL!$N39</f>
        <v/>
      </c>
      <c r="AY68" s="303" t="str">
        <f>+VL!$N40</f>
        <v/>
      </c>
      <c r="AZ68" s="304" t="str">
        <f>+VL!$N41</f>
        <v/>
      </c>
      <c r="BA68" s="302" t="str">
        <f>+VL!$N42</f>
        <v/>
      </c>
      <c r="BB68" s="302" t="str">
        <f>+VL!$N43</f>
        <v/>
      </c>
      <c r="BC68" s="303" t="str">
        <f>+VL!$N44</f>
        <v/>
      </c>
      <c r="BD68" s="304" t="str">
        <f>+VL!$N45</f>
        <v/>
      </c>
      <c r="BE68" s="302" t="str">
        <f>+VL!$N46</f>
        <v/>
      </c>
      <c r="BF68" s="302" t="str">
        <f>+VL!$N47</f>
        <v/>
      </c>
      <c r="BG68" s="303" t="str">
        <f>+VL!$N48</f>
        <v/>
      </c>
      <c r="BH68" s="304" t="str">
        <f>+VL!$N49</f>
        <v/>
      </c>
      <c r="BI68" s="302" t="str">
        <f>+VL!$N50</f>
        <v/>
      </c>
      <c r="BJ68" s="302" t="str">
        <f>+VL!$N51</f>
        <v/>
      </c>
      <c r="BK68" s="303" t="str">
        <f>+VL!$N52</f>
        <v/>
      </c>
      <c r="BL68" s="304" t="str">
        <f>+VL!$N53</f>
        <v/>
      </c>
      <c r="BM68" s="302" t="str">
        <f>+VL!$N54</f>
        <v/>
      </c>
      <c r="BN68" s="302" t="str">
        <f>+VL!$N55</f>
        <v/>
      </c>
      <c r="BO68" s="303" t="str">
        <f>+VL!$N56</f>
        <v/>
      </c>
      <c r="BP68" s="304" t="str">
        <f>+VL!$N57</f>
        <v/>
      </c>
      <c r="BQ68" s="302" t="str">
        <f>+VL!$N58</f>
        <v/>
      </c>
      <c r="BR68" s="302" t="str">
        <f>+VL!$N59</f>
        <v/>
      </c>
      <c r="BS68" s="302" t="str">
        <f>+VL!$N60</f>
        <v/>
      </c>
      <c r="BT68" s="304" t="str">
        <f>+VL!$N61</f>
        <v/>
      </c>
      <c r="BU68" s="302" t="str">
        <f>+VL!$N62</f>
        <v/>
      </c>
      <c r="BV68" s="302" t="str">
        <f>+VL!$N63</f>
        <v/>
      </c>
      <c r="BW68" s="302" t="str">
        <f>+VL!$N64</f>
        <v/>
      </c>
      <c r="BX68" s="304"/>
      <c r="BY68" s="302"/>
      <c r="BZ68" s="302"/>
      <c r="CA68" s="303"/>
      <c r="CB68" s="304"/>
      <c r="CC68" s="302"/>
      <c r="CD68" s="302"/>
      <c r="CE68" s="303"/>
    </row>
    <row r="69" spans="1:84" s="158" customFormat="1" ht="45" hidden="1" customHeight="1">
      <c r="A69" s="157"/>
      <c r="B69" s="157"/>
      <c r="C69" s="157"/>
      <c r="D69" s="157"/>
      <c r="E69" s="157"/>
      <c r="F69" s="353" t="s">
        <v>53</v>
      </c>
      <c r="G69" s="305" t="s">
        <v>54</v>
      </c>
      <c r="H69" s="294"/>
      <c r="I69" s="294"/>
      <c r="J69" s="294"/>
      <c r="K69" s="295"/>
      <c r="L69" s="293"/>
      <c r="M69" s="294"/>
      <c r="N69" s="294"/>
      <c r="O69" s="295"/>
      <c r="P69" s="293" t="str">
        <f>IF(ISERROR(P68*$CF$69/100),"",P68*$CF$69/100)</f>
        <v/>
      </c>
      <c r="Q69" s="294" t="str">
        <f>IF(ISERROR(Q68*$CF$69/100),"",Q68*$CF$69/100)</f>
        <v/>
      </c>
      <c r="R69" s="294" t="str">
        <f>IF(ISERROR(R68*$CF$69/100),"",R68*$CF$69/100)</f>
        <v/>
      </c>
      <c r="S69" s="295" t="str">
        <f t="shared" ref="S69:BW69" si="63">IF(ISERROR(S68*$CF$69/100),"",S68*$CF$69/100)</f>
        <v/>
      </c>
      <c r="T69" s="293" t="str">
        <f t="shared" si="63"/>
        <v/>
      </c>
      <c r="U69" s="294" t="str">
        <f t="shared" si="63"/>
        <v/>
      </c>
      <c r="V69" s="294" t="str">
        <f t="shared" si="63"/>
        <v/>
      </c>
      <c r="W69" s="295" t="str">
        <f t="shared" si="63"/>
        <v/>
      </c>
      <c r="X69" s="293" t="str">
        <f t="shared" si="63"/>
        <v/>
      </c>
      <c r="Y69" s="294" t="str">
        <f t="shared" si="63"/>
        <v/>
      </c>
      <c r="Z69" s="294" t="str">
        <f t="shared" si="63"/>
        <v/>
      </c>
      <c r="AA69" s="295" t="str">
        <f t="shared" si="63"/>
        <v/>
      </c>
      <c r="AB69" s="293" t="str">
        <f t="shared" si="63"/>
        <v/>
      </c>
      <c r="AC69" s="294" t="str">
        <f t="shared" si="63"/>
        <v/>
      </c>
      <c r="AD69" s="294" t="str">
        <f t="shared" si="63"/>
        <v/>
      </c>
      <c r="AE69" s="295" t="str">
        <f t="shared" si="63"/>
        <v/>
      </c>
      <c r="AF69" s="293" t="str">
        <f t="shared" si="63"/>
        <v/>
      </c>
      <c r="AG69" s="294" t="str">
        <f t="shared" si="63"/>
        <v/>
      </c>
      <c r="AH69" s="294" t="str">
        <f t="shared" si="63"/>
        <v/>
      </c>
      <c r="AI69" s="295" t="str">
        <f t="shared" si="63"/>
        <v/>
      </c>
      <c r="AJ69" s="293" t="str">
        <f t="shared" si="63"/>
        <v/>
      </c>
      <c r="AK69" s="294" t="str">
        <f t="shared" si="63"/>
        <v/>
      </c>
      <c r="AL69" s="294" t="str">
        <f t="shared" si="63"/>
        <v/>
      </c>
      <c r="AM69" s="295" t="str">
        <f t="shared" si="63"/>
        <v/>
      </c>
      <c r="AN69" s="293" t="str">
        <f t="shared" si="63"/>
        <v/>
      </c>
      <c r="AO69" s="294" t="str">
        <f t="shared" si="63"/>
        <v/>
      </c>
      <c r="AP69" s="294" t="str">
        <f t="shared" si="63"/>
        <v/>
      </c>
      <c r="AQ69" s="295" t="str">
        <f t="shared" si="63"/>
        <v/>
      </c>
      <c r="AR69" s="293" t="str">
        <f t="shared" si="63"/>
        <v/>
      </c>
      <c r="AS69" s="294" t="str">
        <f t="shared" si="63"/>
        <v/>
      </c>
      <c r="AT69" s="294" t="str">
        <f t="shared" si="63"/>
        <v/>
      </c>
      <c r="AU69" s="295" t="str">
        <f t="shared" si="63"/>
        <v/>
      </c>
      <c r="AV69" s="293" t="str">
        <f t="shared" si="63"/>
        <v/>
      </c>
      <c r="AW69" s="294" t="str">
        <f t="shared" si="63"/>
        <v/>
      </c>
      <c r="AX69" s="294" t="str">
        <f t="shared" si="63"/>
        <v/>
      </c>
      <c r="AY69" s="295" t="str">
        <f t="shared" si="63"/>
        <v/>
      </c>
      <c r="AZ69" s="293" t="str">
        <f t="shared" si="63"/>
        <v/>
      </c>
      <c r="BA69" s="294" t="str">
        <f t="shared" si="63"/>
        <v/>
      </c>
      <c r="BB69" s="294" t="str">
        <f t="shared" si="63"/>
        <v/>
      </c>
      <c r="BC69" s="295" t="str">
        <f t="shared" si="63"/>
        <v/>
      </c>
      <c r="BD69" s="293" t="str">
        <f t="shared" si="63"/>
        <v/>
      </c>
      <c r="BE69" s="294" t="str">
        <f t="shared" si="63"/>
        <v/>
      </c>
      <c r="BF69" s="294" t="str">
        <f t="shared" si="63"/>
        <v/>
      </c>
      <c r="BG69" s="295" t="str">
        <f t="shared" si="63"/>
        <v/>
      </c>
      <c r="BH69" s="293" t="str">
        <f t="shared" si="63"/>
        <v/>
      </c>
      <c r="BI69" s="294" t="str">
        <f t="shared" si="63"/>
        <v/>
      </c>
      <c r="BJ69" s="294" t="str">
        <f t="shared" si="63"/>
        <v/>
      </c>
      <c r="BK69" s="295" t="str">
        <f t="shared" si="63"/>
        <v/>
      </c>
      <c r="BL69" s="293" t="str">
        <f t="shared" si="63"/>
        <v/>
      </c>
      <c r="BM69" s="294" t="str">
        <f t="shared" si="63"/>
        <v/>
      </c>
      <c r="BN69" s="294" t="str">
        <f t="shared" si="63"/>
        <v/>
      </c>
      <c r="BO69" s="295" t="str">
        <f t="shared" si="63"/>
        <v/>
      </c>
      <c r="BP69" s="293" t="str">
        <f t="shared" si="63"/>
        <v/>
      </c>
      <c r="BQ69" s="294" t="str">
        <f t="shared" si="63"/>
        <v/>
      </c>
      <c r="BR69" s="294" t="str">
        <f t="shared" si="63"/>
        <v/>
      </c>
      <c r="BS69" s="295" t="str">
        <f t="shared" si="63"/>
        <v/>
      </c>
      <c r="BT69" s="293" t="str">
        <f t="shared" si="63"/>
        <v/>
      </c>
      <c r="BU69" s="294" t="str">
        <f t="shared" si="63"/>
        <v/>
      </c>
      <c r="BV69" s="294" t="str">
        <f t="shared" si="63"/>
        <v/>
      </c>
      <c r="BW69" s="295" t="str">
        <f t="shared" si="63"/>
        <v/>
      </c>
      <c r="BX69" s="293"/>
      <c r="BY69" s="294"/>
      <c r="BZ69" s="294"/>
      <c r="CA69" s="295"/>
      <c r="CB69" s="293"/>
      <c r="CC69" s="294"/>
      <c r="CD69" s="294"/>
      <c r="CE69" s="295"/>
      <c r="CF69" s="174">
        <f>+GRA!$F$7</f>
        <v>0</v>
      </c>
    </row>
    <row r="70" spans="1:84" s="288" customFormat="1" ht="45" hidden="1" customHeight="1">
      <c r="A70" s="153"/>
      <c r="B70" s="153"/>
      <c r="C70" s="153"/>
      <c r="D70" s="153"/>
      <c r="E70" s="287"/>
      <c r="F70" s="354"/>
      <c r="G70" s="292" t="s">
        <v>36</v>
      </c>
      <c r="H70" s="294"/>
      <c r="I70" s="294"/>
      <c r="J70" s="294"/>
      <c r="K70" s="295"/>
      <c r="L70" s="293"/>
      <c r="M70" s="294"/>
      <c r="N70" s="294"/>
      <c r="O70" s="295"/>
      <c r="P70" s="293" t="str">
        <f>IF(ISERROR(P69/(P5*0.25)),"",P69/(P5*0.25))</f>
        <v/>
      </c>
      <c r="Q70" s="294" t="str">
        <f>IF(ISERROR(Q69/(Q5*0.25)),"",Q69/(Q5*0.25))</f>
        <v/>
      </c>
      <c r="R70" s="296" t="str">
        <f>IF(ISERROR(R69/(R5*0.25)),"",R69/(R5*0.25))</f>
        <v/>
      </c>
      <c r="S70" s="297" t="str">
        <f t="shared" ref="S70:BW70" si="64">IF(ISERROR(S69/(S5*0.25)),"",S69/(S5*0.25))</f>
        <v/>
      </c>
      <c r="T70" s="298" t="str">
        <f t="shared" si="64"/>
        <v/>
      </c>
      <c r="U70" s="296" t="str">
        <f t="shared" si="64"/>
        <v/>
      </c>
      <c r="V70" s="296" t="str">
        <f t="shared" si="64"/>
        <v/>
      </c>
      <c r="W70" s="297" t="str">
        <f t="shared" si="64"/>
        <v/>
      </c>
      <c r="X70" s="298" t="str">
        <f t="shared" si="64"/>
        <v/>
      </c>
      <c r="Y70" s="296" t="str">
        <f t="shared" si="64"/>
        <v/>
      </c>
      <c r="Z70" s="296" t="str">
        <f t="shared" si="64"/>
        <v/>
      </c>
      <c r="AA70" s="297" t="str">
        <f t="shared" si="64"/>
        <v/>
      </c>
      <c r="AB70" s="298" t="str">
        <f t="shared" si="64"/>
        <v/>
      </c>
      <c r="AC70" s="296" t="str">
        <f t="shared" si="64"/>
        <v/>
      </c>
      <c r="AD70" s="296" t="str">
        <f t="shared" si="64"/>
        <v/>
      </c>
      <c r="AE70" s="297" t="str">
        <f t="shared" si="64"/>
        <v/>
      </c>
      <c r="AF70" s="298" t="str">
        <f t="shared" si="64"/>
        <v/>
      </c>
      <c r="AG70" s="296" t="str">
        <f t="shared" si="64"/>
        <v/>
      </c>
      <c r="AH70" s="296" t="str">
        <f t="shared" si="64"/>
        <v/>
      </c>
      <c r="AI70" s="297" t="str">
        <f t="shared" si="64"/>
        <v/>
      </c>
      <c r="AJ70" s="298" t="str">
        <f t="shared" si="64"/>
        <v/>
      </c>
      <c r="AK70" s="296" t="str">
        <f t="shared" si="64"/>
        <v/>
      </c>
      <c r="AL70" s="296" t="str">
        <f t="shared" si="64"/>
        <v/>
      </c>
      <c r="AM70" s="297" t="str">
        <f t="shared" si="64"/>
        <v/>
      </c>
      <c r="AN70" s="298" t="str">
        <f t="shared" si="64"/>
        <v/>
      </c>
      <c r="AO70" s="296" t="str">
        <f t="shared" si="64"/>
        <v/>
      </c>
      <c r="AP70" s="296" t="str">
        <f t="shared" si="64"/>
        <v/>
      </c>
      <c r="AQ70" s="297" t="str">
        <f t="shared" si="64"/>
        <v/>
      </c>
      <c r="AR70" s="298" t="str">
        <f t="shared" si="64"/>
        <v/>
      </c>
      <c r="AS70" s="296" t="str">
        <f t="shared" si="64"/>
        <v/>
      </c>
      <c r="AT70" s="296" t="str">
        <f t="shared" si="64"/>
        <v/>
      </c>
      <c r="AU70" s="297" t="str">
        <f t="shared" si="64"/>
        <v/>
      </c>
      <c r="AV70" s="298" t="str">
        <f t="shared" si="64"/>
        <v/>
      </c>
      <c r="AW70" s="296" t="str">
        <f t="shared" si="64"/>
        <v/>
      </c>
      <c r="AX70" s="296" t="str">
        <f t="shared" si="64"/>
        <v/>
      </c>
      <c r="AY70" s="297" t="str">
        <f t="shared" si="64"/>
        <v/>
      </c>
      <c r="AZ70" s="298" t="str">
        <f t="shared" si="64"/>
        <v/>
      </c>
      <c r="BA70" s="296" t="str">
        <f t="shared" si="64"/>
        <v/>
      </c>
      <c r="BB70" s="296" t="str">
        <f t="shared" si="64"/>
        <v/>
      </c>
      <c r="BC70" s="297" t="str">
        <f t="shared" si="64"/>
        <v/>
      </c>
      <c r="BD70" s="298" t="str">
        <f t="shared" si="64"/>
        <v/>
      </c>
      <c r="BE70" s="296" t="str">
        <f t="shared" si="64"/>
        <v/>
      </c>
      <c r="BF70" s="296" t="str">
        <f t="shared" si="64"/>
        <v/>
      </c>
      <c r="BG70" s="297" t="str">
        <f t="shared" si="64"/>
        <v/>
      </c>
      <c r="BH70" s="298" t="str">
        <f t="shared" si="64"/>
        <v/>
      </c>
      <c r="BI70" s="296" t="str">
        <f t="shared" si="64"/>
        <v/>
      </c>
      <c r="BJ70" s="296" t="str">
        <f t="shared" si="64"/>
        <v/>
      </c>
      <c r="BK70" s="297" t="str">
        <f t="shared" si="64"/>
        <v/>
      </c>
      <c r="BL70" s="298" t="str">
        <f t="shared" si="64"/>
        <v/>
      </c>
      <c r="BM70" s="296" t="str">
        <f t="shared" si="64"/>
        <v/>
      </c>
      <c r="BN70" s="296" t="str">
        <f t="shared" si="64"/>
        <v/>
      </c>
      <c r="BO70" s="297" t="str">
        <f t="shared" si="64"/>
        <v/>
      </c>
      <c r="BP70" s="298" t="str">
        <f t="shared" si="64"/>
        <v/>
      </c>
      <c r="BQ70" s="296" t="str">
        <f t="shared" si="64"/>
        <v/>
      </c>
      <c r="BR70" s="296" t="str">
        <f t="shared" si="64"/>
        <v/>
      </c>
      <c r="BS70" s="297" t="str">
        <f t="shared" si="64"/>
        <v/>
      </c>
      <c r="BT70" s="299" t="str">
        <f t="shared" si="64"/>
        <v/>
      </c>
      <c r="BU70" s="300" t="str">
        <f t="shared" si="64"/>
        <v/>
      </c>
      <c r="BV70" s="300" t="str">
        <f t="shared" si="64"/>
        <v/>
      </c>
      <c r="BW70" s="301" t="str">
        <f t="shared" si="64"/>
        <v/>
      </c>
      <c r="BX70" s="299"/>
      <c r="BY70" s="300"/>
      <c r="BZ70" s="300"/>
      <c r="CA70" s="301"/>
      <c r="CB70" s="299"/>
      <c r="CC70" s="300"/>
      <c r="CD70" s="300"/>
      <c r="CE70" s="301"/>
    </row>
    <row r="71" spans="1:84" ht="20.100000000000001" customHeight="1">
      <c r="F71" s="152"/>
      <c r="G71" s="151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</row>
    <row r="72" spans="1:84" ht="20.100000000000001" customHeight="1">
      <c r="F72" s="152"/>
      <c r="G72" s="151"/>
    </row>
    <row r="73" spans="1:84" ht="20.100000000000001" customHeight="1">
      <c r="F73" s="152"/>
      <c r="G73" s="151"/>
    </row>
    <row r="74" spans="1:84" ht="20.100000000000001" customHeight="1">
      <c r="F74" s="152"/>
      <c r="G74" s="151"/>
    </row>
    <row r="75" spans="1:84" ht="20.100000000000001" customHeight="1">
      <c r="F75" s="152"/>
      <c r="G75" s="151"/>
    </row>
    <row r="76" spans="1:84" ht="20.100000000000001" customHeight="1">
      <c r="F76" s="152"/>
      <c r="G76" s="151"/>
    </row>
    <row r="77" spans="1:84" ht="20.100000000000001" customHeight="1">
      <c r="F77" s="152"/>
      <c r="G77" s="151"/>
    </row>
    <row r="78" spans="1:84" ht="20.100000000000001" customHeight="1">
      <c r="F78" s="152"/>
      <c r="G78" s="151"/>
    </row>
    <row r="79" spans="1:84" ht="20.100000000000001" customHeight="1">
      <c r="F79" s="152"/>
      <c r="G79" s="151"/>
    </row>
    <row r="80" spans="1:84" ht="20.100000000000001" customHeight="1">
      <c r="F80" s="152"/>
      <c r="G80" s="151"/>
    </row>
    <row r="81" spans="6:7" ht="20.100000000000001" customHeight="1">
      <c r="F81" s="152"/>
      <c r="G81" s="151"/>
    </row>
    <row r="82" spans="6:7" ht="20.100000000000001" customHeight="1">
      <c r="F82" s="152"/>
      <c r="G82" s="151"/>
    </row>
    <row r="83" spans="6:7" ht="20.100000000000001" customHeight="1">
      <c r="F83" s="152"/>
      <c r="G83" s="151"/>
    </row>
    <row r="84" spans="6:7" ht="20.100000000000001" customHeight="1">
      <c r="F84" s="152"/>
      <c r="G84" s="151"/>
    </row>
    <row r="85" spans="6:7" ht="20.100000000000001" customHeight="1">
      <c r="F85" s="152"/>
      <c r="G85" s="151"/>
    </row>
    <row r="86" spans="6:7" ht="20.100000000000001" customHeight="1">
      <c r="F86" s="152"/>
      <c r="G86" s="151"/>
    </row>
    <row r="87" spans="6:7" ht="20.100000000000001" customHeight="1">
      <c r="F87" s="152"/>
      <c r="G87" s="151"/>
    </row>
    <row r="88" spans="6:7" ht="20.100000000000001" customHeight="1">
      <c r="F88" s="152"/>
      <c r="G88" s="151"/>
    </row>
    <row r="89" spans="6:7" ht="20.100000000000001" customHeight="1">
      <c r="F89" s="152"/>
      <c r="G89" s="151"/>
    </row>
    <row r="90" spans="6:7" ht="20.100000000000001" customHeight="1">
      <c r="F90" s="152"/>
      <c r="G90" s="151"/>
    </row>
    <row r="91" spans="6:7" ht="20.100000000000001" customHeight="1">
      <c r="F91" s="152"/>
      <c r="G91" s="151"/>
    </row>
    <row r="92" spans="6:7" ht="20.100000000000001" customHeight="1">
      <c r="F92" s="152"/>
      <c r="G92" s="151"/>
    </row>
    <row r="93" spans="6:7" ht="20.100000000000001" customHeight="1">
      <c r="F93" s="152"/>
      <c r="G93" s="151"/>
    </row>
    <row r="94" spans="6:7" ht="20.100000000000001" customHeight="1">
      <c r="F94" s="152"/>
      <c r="G94" s="151"/>
    </row>
    <row r="95" spans="6:7" ht="20.100000000000001" customHeight="1">
      <c r="F95" s="152"/>
      <c r="G95" s="151"/>
    </row>
    <row r="96" spans="6:7" ht="20.100000000000001" customHeight="1">
      <c r="F96" s="152"/>
      <c r="G96" s="151"/>
    </row>
    <row r="97" spans="6:7" ht="20.100000000000001" customHeight="1">
      <c r="F97" s="152"/>
      <c r="G97" s="151"/>
    </row>
    <row r="98" spans="6:7" ht="20.100000000000001" customHeight="1">
      <c r="F98" s="152"/>
      <c r="G98" s="151"/>
    </row>
    <row r="99" spans="6:7" ht="20.100000000000001" customHeight="1">
      <c r="F99" s="152"/>
      <c r="G99" s="151"/>
    </row>
    <row r="100" spans="6:7" ht="20.100000000000001" customHeight="1">
      <c r="F100" s="152"/>
      <c r="G100" s="151"/>
    </row>
    <row r="101" spans="6:7" ht="20.100000000000001" customHeight="1">
      <c r="F101" s="152"/>
      <c r="G101" s="151"/>
    </row>
    <row r="102" spans="6:7" ht="20.100000000000001" customHeight="1">
      <c r="F102" s="152"/>
      <c r="G102" s="151"/>
    </row>
    <row r="103" spans="6:7" ht="20.100000000000001" customHeight="1">
      <c r="F103" s="152"/>
      <c r="G103" s="151"/>
    </row>
    <row r="104" spans="6:7" ht="20.100000000000001" customHeight="1">
      <c r="F104" s="152"/>
      <c r="G104" s="151"/>
    </row>
    <row r="105" spans="6:7" ht="20.100000000000001" customHeight="1">
      <c r="F105" s="152"/>
      <c r="G105" s="151"/>
    </row>
    <row r="106" spans="6:7" ht="20.100000000000001" customHeight="1">
      <c r="F106" s="152"/>
      <c r="G106" s="151"/>
    </row>
    <row r="107" spans="6:7" ht="20.100000000000001" customHeight="1">
      <c r="F107" s="152"/>
      <c r="G107" s="151"/>
    </row>
    <row r="108" spans="6:7" ht="20.100000000000001" customHeight="1">
      <c r="F108" s="152"/>
      <c r="G108" s="151"/>
    </row>
    <row r="109" spans="6:7" ht="20.100000000000001" customHeight="1">
      <c r="F109" s="152"/>
      <c r="G109" s="151"/>
    </row>
    <row r="110" spans="6:7" ht="20.100000000000001" customHeight="1">
      <c r="F110" s="152"/>
      <c r="G110" s="151"/>
    </row>
    <row r="111" spans="6:7" ht="20.100000000000001" customHeight="1">
      <c r="F111" s="152"/>
      <c r="G111" s="151"/>
    </row>
    <row r="112" spans="6:7" ht="20.100000000000001" customHeight="1">
      <c r="F112" s="152"/>
      <c r="G112" s="151"/>
    </row>
    <row r="113" spans="6:7" ht="20.100000000000001" customHeight="1">
      <c r="F113" s="152"/>
      <c r="G113" s="151"/>
    </row>
    <row r="114" spans="6:7" ht="20.100000000000001" customHeight="1">
      <c r="F114" s="152"/>
      <c r="G114" s="151"/>
    </row>
    <row r="115" spans="6:7" ht="20.100000000000001" customHeight="1">
      <c r="F115" s="152"/>
      <c r="G115" s="151"/>
    </row>
    <row r="116" spans="6:7" ht="20.100000000000001" customHeight="1">
      <c r="F116" s="152"/>
      <c r="G116" s="151"/>
    </row>
    <row r="117" spans="6:7" ht="20.100000000000001" customHeight="1">
      <c r="F117" s="152"/>
      <c r="G117" s="151"/>
    </row>
    <row r="118" spans="6:7" ht="20.100000000000001" customHeight="1">
      <c r="F118" s="152"/>
      <c r="G118" s="151"/>
    </row>
    <row r="119" spans="6:7" ht="20.100000000000001" customHeight="1">
      <c r="F119" s="152"/>
      <c r="G119" s="151"/>
    </row>
    <row r="120" spans="6:7" ht="20.100000000000001" customHeight="1">
      <c r="F120" s="152"/>
      <c r="G120" s="151"/>
    </row>
    <row r="121" spans="6:7" ht="20.100000000000001" customHeight="1">
      <c r="F121" s="152"/>
      <c r="G121" s="151"/>
    </row>
    <row r="122" spans="6:7" ht="20.100000000000001" customHeight="1">
      <c r="F122" s="152"/>
      <c r="G122" s="151"/>
    </row>
    <row r="123" spans="6:7" ht="20.100000000000001" customHeight="1">
      <c r="F123" s="152"/>
      <c r="G123" s="151"/>
    </row>
    <row r="124" spans="6:7" ht="20.100000000000001" customHeight="1">
      <c r="F124" s="152"/>
      <c r="G124" s="151"/>
    </row>
    <row r="125" spans="6:7" ht="20.100000000000001" customHeight="1">
      <c r="F125" s="152"/>
      <c r="G125" s="151"/>
    </row>
    <row r="126" spans="6:7" ht="20.100000000000001" customHeight="1">
      <c r="F126" s="152"/>
      <c r="G126" s="151"/>
    </row>
    <row r="127" spans="6:7" ht="20.100000000000001" customHeight="1">
      <c r="F127" s="152"/>
      <c r="G127" s="151"/>
    </row>
    <row r="128" spans="6:7" ht="20.100000000000001" customHeight="1">
      <c r="F128" s="152"/>
      <c r="G128" s="151"/>
    </row>
    <row r="129" spans="6:7" ht="20.100000000000001" customHeight="1">
      <c r="F129" s="152"/>
      <c r="G129" s="151"/>
    </row>
    <row r="130" spans="6:7" ht="20.100000000000001" customHeight="1">
      <c r="F130" s="152"/>
      <c r="G130" s="151"/>
    </row>
    <row r="131" spans="6:7" ht="20.100000000000001" customHeight="1">
      <c r="F131" s="152"/>
      <c r="G131" s="151"/>
    </row>
    <row r="132" spans="6:7" ht="20.100000000000001" customHeight="1">
      <c r="F132" s="152"/>
      <c r="G132" s="151"/>
    </row>
  </sheetData>
  <sheetProtection algorithmName="SHA-512" hashValue="m8FrlbLB7q5boaEMEnDiwhYjujg7v0Ig5Dwh9ZXKH2GsifGjrpUwOWS6x1kTx+eZYPm7VA61JE7RXdo6OUBoDg==" saltValue="N2jk0lHO9mGM/msij2H0+A==" spinCount="100000" sheet="1" objects="1" scenarios="1"/>
  <autoFilter ref="F5:G54" xr:uid="{00000000-0009-0000-0000-000005000000}"/>
  <mergeCells count="2">
    <mergeCell ref="F69:F70"/>
    <mergeCell ref="F67:F68"/>
  </mergeCells>
  <phoneticPr fontId="0" type="noConversion"/>
  <conditionalFormatting sqref="H5:CE5 H46:CE54">
    <cfRule type="cellIs" dxfId="3" priority="1" stopIfTrue="1" operator="equal">
      <formula>0</formula>
    </cfRule>
  </conditionalFormatting>
  <printOptions horizontalCentered="1"/>
  <pageMargins left="0.31496062992125984" right="0.31496062992125984" top="0.55118110236220474" bottom="0.55118110236220474" header="0.31496062992125984" footer="0.31496062992125984"/>
  <pageSetup paperSize="9" scale="61" orientation="landscape" horizontalDpi="200" verticalDpi="200" r:id="rId1"/>
  <headerFooter>
    <oddFooter>&amp;L&amp;D - &amp;T&amp;R&amp;F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CI132"/>
  <sheetViews>
    <sheetView zoomScaleNormal="100" workbookViewId="0">
      <pane xSplit="7" ySplit="5" topLeftCell="H30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ColWidth="9.140625" defaultRowHeight="20.100000000000001" customHeight="1"/>
  <cols>
    <col min="1" max="1" width="6.42578125" style="11" hidden="1" customWidth="1"/>
    <col min="2" max="4" width="7.5703125" style="11" hidden="1" customWidth="1"/>
    <col min="5" max="5" width="1" style="11" customWidth="1"/>
    <col min="6" max="6" width="5" style="12" bestFit="1" customWidth="1"/>
    <col min="7" max="7" width="21.85546875" style="12" customWidth="1"/>
    <col min="8" max="83" width="2.7109375" style="12" customWidth="1"/>
    <col min="84" max="84" width="3" style="12" bestFit="1" customWidth="1"/>
    <col min="85" max="16384" width="9.140625" style="12"/>
  </cols>
  <sheetData>
    <row r="1" spans="1:87" ht="3.75" customHeight="1"/>
    <row r="2" spans="1:87" s="44" customFormat="1" ht="23.25" customHeight="1">
      <c r="A2" s="43"/>
      <c r="B2" s="43"/>
      <c r="C2" s="148"/>
      <c r="D2" s="43"/>
      <c r="E2" s="43"/>
      <c r="F2" s="30" t="str">
        <f>+TABELLA!E4&amp;" - "&amp;"GIOVEDI'"</f>
        <v xml:space="preserve"> - GIOVEDI'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2" t="str">
        <f>+TABELLA!E5&amp;" "&amp;TABELLA!G5&amp;"-"&amp;TABELLA!B7</f>
        <v>REPARTO -Settimana n° 47</v>
      </c>
    </row>
    <row r="3" spans="1:87" s="23" customFormat="1" ht="36" customHeight="1">
      <c r="G3" s="24">
        <v>5</v>
      </c>
      <c r="H3" s="33">
        <f>G3+0.15</f>
        <v>5.15</v>
      </c>
      <c r="I3" s="33">
        <f>H3+0.15</f>
        <v>5.3000000000000007</v>
      </c>
      <c r="J3" s="33">
        <f>I3+0.15</f>
        <v>5.4500000000000011</v>
      </c>
      <c r="K3" s="25">
        <f>G3+1</f>
        <v>6</v>
      </c>
      <c r="L3" s="33">
        <f>K3+0.15</f>
        <v>6.15</v>
      </c>
      <c r="M3" s="33">
        <f>L3+0.15</f>
        <v>6.3000000000000007</v>
      </c>
      <c r="N3" s="33">
        <f>M3+0.15</f>
        <v>6.4500000000000011</v>
      </c>
      <c r="O3" s="25">
        <f>K3+1</f>
        <v>7</v>
      </c>
      <c r="P3" s="33">
        <f>O3+0.15</f>
        <v>7.15</v>
      </c>
      <c r="Q3" s="33">
        <f>P3+0.15</f>
        <v>7.3000000000000007</v>
      </c>
      <c r="R3" s="33">
        <f>Q3+0.15</f>
        <v>7.4500000000000011</v>
      </c>
      <c r="S3" s="25">
        <f>O3+1</f>
        <v>8</v>
      </c>
      <c r="T3" s="33">
        <f>S3+0.15</f>
        <v>8.15</v>
      </c>
      <c r="U3" s="33">
        <f>T3+0.15</f>
        <v>8.3000000000000007</v>
      </c>
      <c r="V3" s="33">
        <f>U3+0.15</f>
        <v>8.4500000000000011</v>
      </c>
      <c r="W3" s="25">
        <f>S3+1</f>
        <v>9</v>
      </c>
      <c r="X3" s="33">
        <f>W3+0.15</f>
        <v>9.15</v>
      </c>
      <c r="Y3" s="33">
        <f>X3+0.15</f>
        <v>9.3000000000000007</v>
      </c>
      <c r="Z3" s="33">
        <f>Y3+0.15</f>
        <v>9.4500000000000011</v>
      </c>
      <c r="AA3" s="25">
        <f>W3+1</f>
        <v>10</v>
      </c>
      <c r="AB3" s="33">
        <f>AA3+0.15</f>
        <v>10.15</v>
      </c>
      <c r="AC3" s="33">
        <f>AB3+0.15</f>
        <v>10.3</v>
      </c>
      <c r="AD3" s="33">
        <f>AC3+0.15</f>
        <v>10.450000000000001</v>
      </c>
      <c r="AE3" s="25">
        <f>AA3+1</f>
        <v>11</v>
      </c>
      <c r="AF3" s="33">
        <f>AE3+0.15</f>
        <v>11.15</v>
      </c>
      <c r="AG3" s="33">
        <f>AF3+0.15</f>
        <v>11.3</v>
      </c>
      <c r="AH3" s="33">
        <f>AG3+0.15</f>
        <v>11.450000000000001</v>
      </c>
      <c r="AI3" s="25">
        <f>AE3+1</f>
        <v>12</v>
      </c>
      <c r="AJ3" s="33">
        <f>AI3+0.15</f>
        <v>12.15</v>
      </c>
      <c r="AK3" s="33">
        <f>AJ3+0.15</f>
        <v>12.3</v>
      </c>
      <c r="AL3" s="33">
        <f>AK3+0.15</f>
        <v>12.450000000000001</v>
      </c>
      <c r="AM3" s="25">
        <f>AI3+1</f>
        <v>13</v>
      </c>
      <c r="AN3" s="33">
        <f>AM3+0.15</f>
        <v>13.15</v>
      </c>
      <c r="AO3" s="33">
        <f>AN3+0.15</f>
        <v>13.3</v>
      </c>
      <c r="AP3" s="33">
        <f>AO3+0.15</f>
        <v>13.450000000000001</v>
      </c>
      <c r="AQ3" s="25">
        <f>AM3+1</f>
        <v>14</v>
      </c>
      <c r="AR3" s="33">
        <f>AQ3+0.15</f>
        <v>14.15</v>
      </c>
      <c r="AS3" s="33">
        <f>AR3+0.15</f>
        <v>14.3</v>
      </c>
      <c r="AT3" s="33">
        <f>AS3+0.15</f>
        <v>14.450000000000001</v>
      </c>
      <c r="AU3" s="25">
        <f>AQ3+1</f>
        <v>15</v>
      </c>
      <c r="AV3" s="33">
        <f>AU3+0.15</f>
        <v>15.15</v>
      </c>
      <c r="AW3" s="33">
        <f>AV3+0.15</f>
        <v>15.3</v>
      </c>
      <c r="AX3" s="33">
        <f>AW3+0.15</f>
        <v>15.450000000000001</v>
      </c>
      <c r="AY3" s="25">
        <f>AU3+1</f>
        <v>16</v>
      </c>
      <c r="AZ3" s="33">
        <f>AY3+0.15</f>
        <v>16.149999999999999</v>
      </c>
      <c r="BA3" s="33">
        <f>AZ3+0.15</f>
        <v>16.299999999999997</v>
      </c>
      <c r="BB3" s="33">
        <f>BA3+0.15</f>
        <v>16.449999999999996</v>
      </c>
      <c r="BC3" s="25">
        <f>AY3+1</f>
        <v>17</v>
      </c>
      <c r="BD3" s="33">
        <f>BC3+0.15</f>
        <v>17.149999999999999</v>
      </c>
      <c r="BE3" s="33">
        <f>BD3+0.15</f>
        <v>17.299999999999997</v>
      </c>
      <c r="BF3" s="33">
        <f>BE3+0.15</f>
        <v>17.449999999999996</v>
      </c>
      <c r="BG3" s="25">
        <f>BC3+1</f>
        <v>18</v>
      </c>
      <c r="BH3" s="33">
        <f>BG3+0.15</f>
        <v>18.149999999999999</v>
      </c>
      <c r="BI3" s="33">
        <f>BH3+0.15</f>
        <v>18.299999999999997</v>
      </c>
      <c r="BJ3" s="33">
        <f>BI3+0.15</f>
        <v>18.449999999999996</v>
      </c>
      <c r="BK3" s="25">
        <f>BG3+1</f>
        <v>19</v>
      </c>
      <c r="BL3" s="33">
        <f>BK3+0.15</f>
        <v>19.149999999999999</v>
      </c>
      <c r="BM3" s="33">
        <f>BL3+0.15</f>
        <v>19.299999999999997</v>
      </c>
      <c r="BN3" s="33">
        <f>BM3+0.15</f>
        <v>19.449999999999996</v>
      </c>
      <c r="BO3" s="25">
        <f>BK3+1</f>
        <v>20</v>
      </c>
      <c r="BP3" s="33">
        <f>BO3+0.15</f>
        <v>20.149999999999999</v>
      </c>
      <c r="BQ3" s="33">
        <f>BP3+0.15</f>
        <v>20.299999999999997</v>
      </c>
      <c r="BR3" s="33">
        <f>BQ3+0.15</f>
        <v>20.449999999999996</v>
      </c>
      <c r="BS3" s="25">
        <f>BO3+1</f>
        <v>21</v>
      </c>
      <c r="BT3" s="33">
        <f>BS3+0.15</f>
        <v>21.15</v>
      </c>
      <c r="BU3" s="33">
        <f>BT3+0.15</f>
        <v>21.299999999999997</v>
      </c>
      <c r="BV3" s="33">
        <f>BU3+0.15</f>
        <v>21.449999999999996</v>
      </c>
      <c r="BW3" s="25">
        <f>BS3+1</f>
        <v>22</v>
      </c>
      <c r="BX3" s="33">
        <f>BW3+0.15</f>
        <v>22.15</v>
      </c>
      <c r="BY3" s="33">
        <f>BX3+0.15</f>
        <v>22.299999999999997</v>
      </c>
      <c r="BZ3" s="33">
        <f>BY3+0.15</f>
        <v>22.449999999999996</v>
      </c>
      <c r="CA3" s="25">
        <f>BW3+1</f>
        <v>23</v>
      </c>
      <c r="CB3" s="33">
        <f>CA3+0.15</f>
        <v>23.15</v>
      </c>
      <c r="CC3" s="33">
        <f>CB3+0.15</f>
        <v>23.299999999999997</v>
      </c>
      <c r="CD3" s="33">
        <f>CC3+0.15</f>
        <v>23.449999999999996</v>
      </c>
      <c r="CE3" s="25">
        <f>CA3+1</f>
        <v>24</v>
      </c>
      <c r="CF3" s="34"/>
      <c r="CG3" s="34"/>
      <c r="CH3" s="34"/>
      <c r="CI3" s="34"/>
    </row>
    <row r="4" spans="1:87" ht="4.5" customHeight="1">
      <c r="H4" s="14"/>
      <c r="I4" s="15"/>
      <c r="J4" s="15"/>
      <c r="K4" s="15"/>
      <c r="L4" s="14"/>
      <c r="M4" s="15"/>
      <c r="N4" s="15"/>
      <c r="O4" s="15"/>
      <c r="P4" s="14"/>
      <c r="Q4" s="15"/>
      <c r="R4" s="15"/>
      <c r="S4" s="15"/>
      <c r="T4" s="14"/>
      <c r="U4" s="15"/>
      <c r="V4" s="15"/>
      <c r="W4" s="15"/>
      <c r="X4" s="14"/>
      <c r="Y4" s="15"/>
      <c r="Z4" s="15"/>
      <c r="AA4" s="15"/>
      <c r="AB4" s="14"/>
      <c r="AC4" s="15"/>
      <c r="AD4" s="15"/>
      <c r="AE4" s="15"/>
      <c r="AF4" s="14"/>
      <c r="AG4" s="15"/>
      <c r="AH4" s="15"/>
      <c r="AI4" s="15"/>
      <c r="AJ4" s="14"/>
      <c r="AK4" s="15"/>
      <c r="AL4" s="15"/>
      <c r="AM4" s="15"/>
      <c r="AN4" s="14"/>
      <c r="AO4" s="15"/>
      <c r="AP4" s="15"/>
      <c r="AQ4" s="15"/>
      <c r="AR4" s="14"/>
      <c r="AS4" s="15"/>
      <c r="AT4" s="15"/>
      <c r="AU4" s="15"/>
      <c r="AV4" s="14"/>
      <c r="AW4" s="15"/>
      <c r="AX4" s="15"/>
      <c r="AY4" s="15"/>
      <c r="AZ4" s="14"/>
      <c r="BA4" s="15"/>
      <c r="BB4" s="15"/>
      <c r="BC4" s="15"/>
      <c r="BD4" s="14"/>
      <c r="BE4" s="15"/>
      <c r="BF4" s="15"/>
      <c r="BG4" s="15"/>
      <c r="BH4" s="14"/>
      <c r="BI4" s="15"/>
      <c r="BJ4" s="15"/>
      <c r="BK4" s="15"/>
      <c r="BL4" s="14"/>
      <c r="BM4" s="15"/>
      <c r="BN4" s="15"/>
      <c r="BO4" s="15"/>
      <c r="BP4" s="14"/>
      <c r="BQ4" s="15"/>
      <c r="BR4" s="15"/>
      <c r="BS4" s="15"/>
      <c r="BT4" s="14"/>
      <c r="BU4" s="15"/>
      <c r="BV4" s="15"/>
      <c r="BW4" s="15"/>
      <c r="BX4" s="15"/>
      <c r="BY4" s="15"/>
      <c r="BZ4" s="15"/>
      <c r="CA4" s="15"/>
      <c r="CB4" s="14"/>
      <c r="CC4" s="15"/>
      <c r="CD4" s="15"/>
      <c r="CE4" s="15"/>
      <c r="CF4" s="13"/>
      <c r="CG4" s="13"/>
      <c r="CH4" s="13"/>
      <c r="CI4" s="13"/>
    </row>
    <row r="5" spans="1:87" s="29" customFormat="1" ht="49.5" customHeight="1">
      <c r="A5" s="35" t="s">
        <v>0</v>
      </c>
      <c r="B5" s="35" t="s">
        <v>1</v>
      </c>
      <c r="C5" s="35" t="s">
        <v>0</v>
      </c>
      <c r="D5" s="35" t="s">
        <v>1</v>
      </c>
      <c r="E5" s="35"/>
      <c r="F5" s="36" t="str">
        <f>+TABELLA!B8</f>
        <v>REP.</v>
      </c>
      <c r="G5" s="36" t="str">
        <f>+TABELLA!C8</f>
        <v>NOMINATIVO</v>
      </c>
      <c r="H5" s="37">
        <f>SUM(H6:H45)</f>
        <v>0</v>
      </c>
      <c r="I5" s="38">
        <f t="shared" ref="I5:BT5" si="0">SUM(I6:I45)</f>
        <v>0</v>
      </c>
      <c r="J5" s="38">
        <f t="shared" si="0"/>
        <v>0</v>
      </c>
      <c r="K5" s="39">
        <f t="shared" si="0"/>
        <v>0</v>
      </c>
      <c r="L5" s="37">
        <f t="shared" si="0"/>
        <v>0</v>
      </c>
      <c r="M5" s="38">
        <f t="shared" si="0"/>
        <v>0</v>
      </c>
      <c r="N5" s="38">
        <f t="shared" si="0"/>
        <v>0</v>
      </c>
      <c r="O5" s="39">
        <f t="shared" si="0"/>
        <v>0</v>
      </c>
      <c r="P5" s="37">
        <f t="shared" si="0"/>
        <v>0</v>
      </c>
      <c r="Q5" s="38">
        <f t="shared" si="0"/>
        <v>0</v>
      </c>
      <c r="R5" s="38">
        <f t="shared" si="0"/>
        <v>0</v>
      </c>
      <c r="S5" s="39">
        <f t="shared" si="0"/>
        <v>0</v>
      </c>
      <c r="T5" s="37">
        <f>SUM(T6:T45)</f>
        <v>1</v>
      </c>
      <c r="U5" s="38">
        <f t="shared" si="0"/>
        <v>1</v>
      </c>
      <c r="V5" s="38">
        <f t="shared" si="0"/>
        <v>1</v>
      </c>
      <c r="W5" s="39">
        <f t="shared" si="0"/>
        <v>1</v>
      </c>
      <c r="X5" s="37">
        <f t="shared" si="0"/>
        <v>2</v>
      </c>
      <c r="Y5" s="38">
        <f t="shared" si="0"/>
        <v>2</v>
      </c>
      <c r="Z5" s="38">
        <f t="shared" si="0"/>
        <v>3</v>
      </c>
      <c r="AA5" s="39">
        <f t="shared" si="0"/>
        <v>3</v>
      </c>
      <c r="AB5" s="37">
        <f t="shared" si="0"/>
        <v>4</v>
      </c>
      <c r="AC5" s="38">
        <f t="shared" si="0"/>
        <v>4</v>
      </c>
      <c r="AD5" s="38">
        <f t="shared" si="0"/>
        <v>4</v>
      </c>
      <c r="AE5" s="39">
        <f t="shared" si="0"/>
        <v>4</v>
      </c>
      <c r="AF5" s="37">
        <f t="shared" si="0"/>
        <v>3</v>
      </c>
      <c r="AG5" s="38">
        <f t="shared" si="0"/>
        <v>3</v>
      </c>
      <c r="AH5" s="38">
        <f t="shared" si="0"/>
        <v>3</v>
      </c>
      <c r="AI5" s="39">
        <f t="shared" si="0"/>
        <v>3</v>
      </c>
      <c r="AJ5" s="37">
        <f t="shared" si="0"/>
        <v>3</v>
      </c>
      <c r="AK5" s="38">
        <f t="shared" si="0"/>
        <v>3</v>
      </c>
      <c r="AL5" s="38">
        <f t="shared" si="0"/>
        <v>3</v>
      </c>
      <c r="AM5" s="39">
        <f t="shared" si="0"/>
        <v>3</v>
      </c>
      <c r="AN5" s="37">
        <f t="shared" si="0"/>
        <v>3</v>
      </c>
      <c r="AO5" s="38">
        <f t="shared" si="0"/>
        <v>3</v>
      </c>
      <c r="AP5" s="38">
        <f t="shared" si="0"/>
        <v>2</v>
      </c>
      <c r="AQ5" s="39">
        <f t="shared" si="0"/>
        <v>2</v>
      </c>
      <c r="AR5" s="37">
        <f t="shared" si="0"/>
        <v>1</v>
      </c>
      <c r="AS5" s="38">
        <f t="shared" si="0"/>
        <v>1</v>
      </c>
      <c r="AT5" s="38">
        <f t="shared" si="0"/>
        <v>2</v>
      </c>
      <c r="AU5" s="39">
        <f t="shared" si="0"/>
        <v>2</v>
      </c>
      <c r="AV5" s="37">
        <f t="shared" si="0"/>
        <v>2</v>
      </c>
      <c r="AW5" s="38">
        <f t="shared" si="0"/>
        <v>2</v>
      </c>
      <c r="AX5" s="38">
        <f t="shared" si="0"/>
        <v>2</v>
      </c>
      <c r="AY5" s="39">
        <f t="shared" si="0"/>
        <v>2</v>
      </c>
      <c r="AZ5" s="37">
        <f t="shared" si="0"/>
        <v>2</v>
      </c>
      <c r="BA5" s="38">
        <f t="shared" si="0"/>
        <v>3</v>
      </c>
      <c r="BB5" s="38">
        <f t="shared" si="0"/>
        <v>3</v>
      </c>
      <c r="BC5" s="39">
        <f t="shared" si="0"/>
        <v>2</v>
      </c>
      <c r="BD5" s="37">
        <f t="shared" si="0"/>
        <v>2</v>
      </c>
      <c r="BE5" s="38">
        <f t="shared" si="0"/>
        <v>3</v>
      </c>
      <c r="BF5" s="38">
        <f t="shared" si="0"/>
        <v>3</v>
      </c>
      <c r="BG5" s="39">
        <f t="shared" si="0"/>
        <v>3</v>
      </c>
      <c r="BH5" s="37">
        <f t="shared" si="0"/>
        <v>3</v>
      </c>
      <c r="BI5" s="38">
        <f t="shared" si="0"/>
        <v>3</v>
      </c>
      <c r="BJ5" s="38">
        <f t="shared" si="0"/>
        <v>3</v>
      </c>
      <c r="BK5" s="39">
        <f t="shared" si="0"/>
        <v>2</v>
      </c>
      <c r="BL5" s="37">
        <f t="shared" si="0"/>
        <v>2</v>
      </c>
      <c r="BM5" s="38">
        <f t="shared" si="0"/>
        <v>3</v>
      </c>
      <c r="BN5" s="38">
        <f t="shared" si="0"/>
        <v>2</v>
      </c>
      <c r="BO5" s="39">
        <f t="shared" si="0"/>
        <v>2</v>
      </c>
      <c r="BP5" s="37">
        <f t="shared" si="0"/>
        <v>2</v>
      </c>
      <c r="BQ5" s="38">
        <f t="shared" si="0"/>
        <v>2</v>
      </c>
      <c r="BR5" s="38">
        <f t="shared" si="0"/>
        <v>2</v>
      </c>
      <c r="BS5" s="39">
        <f t="shared" si="0"/>
        <v>2</v>
      </c>
      <c r="BT5" s="37">
        <f t="shared" si="0"/>
        <v>2</v>
      </c>
      <c r="BU5" s="38">
        <f t="shared" ref="BU5:CE5" si="1">SUM(BU6:BU45)</f>
        <v>2</v>
      </c>
      <c r="BV5" s="38">
        <f t="shared" si="1"/>
        <v>2</v>
      </c>
      <c r="BW5" s="39">
        <f t="shared" si="1"/>
        <v>2</v>
      </c>
      <c r="BX5" s="37">
        <f t="shared" si="1"/>
        <v>1</v>
      </c>
      <c r="BY5" s="38">
        <f t="shared" si="1"/>
        <v>1</v>
      </c>
      <c r="BZ5" s="38">
        <f t="shared" si="1"/>
        <v>1</v>
      </c>
      <c r="CA5" s="39">
        <f t="shared" si="1"/>
        <v>1</v>
      </c>
      <c r="CB5" s="37">
        <f t="shared" si="1"/>
        <v>0</v>
      </c>
      <c r="CC5" s="38">
        <f t="shared" si="1"/>
        <v>0</v>
      </c>
      <c r="CD5" s="38">
        <f t="shared" si="1"/>
        <v>0</v>
      </c>
      <c r="CE5" s="39">
        <f t="shared" si="1"/>
        <v>0</v>
      </c>
      <c r="CF5" s="174">
        <f>SUM(H5:CE5)</f>
        <v>139</v>
      </c>
      <c r="CG5" s="40"/>
      <c r="CH5" s="40"/>
      <c r="CI5" s="40"/>
    </row>
    <row r="6" spans="1:87" s="18" customFormat="1" ht="18" customHeight="1">
      <c r="A6" s="22">
        <f>+TABELLA!U10</f>
        <v>0</v>
      </c>
      <c r="B6" s="22">
        <f>+TABELLA!V10</f>
        <v>0</v>
      </c>
      <c r="C6" s="22">
        <f>+TABELLA!W10</f>
        <v>0</v>
      </c>
      <c r="D6" s="22">
        <f>+TABELLA!X10</f>
        <v>0</v>
      </c>
      <c r="E6" s="22"/>
      <c r="F6" s="26">
        <f>IF(TABELLA!B10="","",TABELLA!B10)</f>
        <v>12</v>
      </c>
      <c r="G6" s="27" t="str">
        <f>IF(TABELLA!C10="","",TABELLA!C10)</f>
        <v>RUSSO ANTONELLA</v>
      </c>
      <c r="H6" s="203" t="str">
        <f t="shared" ref="H6:W6" si="2">IF(AND(G$3&gt;=$A6,G$3&lt;$B6),1,IF(AND(G$3&gt;=$C6,G$3&lt;$D6),1,""))</f>
        <v/>
      </c>
      <c r="I6" s="203" t="str">
        <f t="shared" si="2"/>
        <v/>
      </c>
      <c r="J6" s="203" t="str">
        <f t="shared" si="2"/>
        <v/>
      </c>
      <c r="K6" s="204" t="str">
        <f t="shared" si="2"/>
        <v/>
      </c>
      <c r="L6" s="205" t="str">
        <f t="shared" si="2"/>
        <v/>
      </c>
      <c r="M6" s="203" t="str">
        <f t="shared" si="2"/>
        <v/>
      </c>
      <c r="N6" s="203" t="str">
        <f t="shared" si="2"/>
        <v/>
      </c>
      <c r="O6" s="204" t="str">
        <f t="shared" si="2"/>
        <v/>
      </c>
      <c r="P6" s="205" t="str">
        <f t="shared" si="2"/>
        <v/>
      </c>
      <c r="Q6" s="203" t="str">
        <f t="shared" si="2"/>
        <v/>
      </c>
      <c r="R6" s="203" t="str">
        <f t="shared" si="2"/>
        <v/>
      </c>
      <c r="S6" s="204" t="str">
        <f t="shared" si="2"/>
        <v/>
      </c>
      <c r="T6" s="205" t="str">
        <f t="shared" si="2"/>
        <v/>
      </c>
      <c r="U6" s="203" t="str">
        <f t="shared" si="2"/>
        <v/>
      </c>
      <c r="V6" s="203" t="str">
        <f t="shared" si="2"/>
        <v/>
      </c>
      <c r="W6" s="204" t="str">
        <f t="shared" si="2"/>
        <v/>
      </c>
      <c r="X6" s="205" t="str">
        <f t="shared" ref="X6:AM21" si="3">IF(AND(W$3&gt;=$A6,W$3&lt;$B6),1,IF(AND(W$3&gt;=$C6,W$3&lt;$D6),1,""))</f>
        <v/>
      </c>
      <c r="Y6" s="203" t="str">
        <f t="shared" si="3"/>
        <v/>
      </c>
      <c r="Z6" s="203" t="str">
        <f t="shared" si="3"/>
        <v/>
      </c>
      <c r="AA6" s="204" t="str">
        <f t="shared" si="3"/>
        <v/>
      </c>
      <c r="AB6" s="205" t="str">
        <f t="shared" si="3"/>
        <v/>
      </c>
      <c r="AC6" s="203" t="str">
        <f t="shared" si="3"/>
        <v/>
      </c>
      <c r="AD6" s="203" t="str">
        <f t="shared" si="3"/>
        <v/>
      </c>
      <c r="AE6" s="204" t="str">
        <f t="shared" si="3"/>
        <v/>
      </c>
      <c r="AF6" s="205" t="str">
        <f t="shared" si="3"/>
        <v/>
      </c>
      <c r="AG6" s="203" t="str">
        <f t="shared" si="3"/>
        <v/>
      </c>
      <c r="AH6" s="203" t="str">
        <f t="shared" si="3"/>
        <v/>
      </c>
      <c r="AI6" s="204" t="str">
        <f t="shared" si="3"/>
        <v/>
      </c>
      <c r="AJ6" s="205" t="str">
        <f t="shared" si="3"/>
        <v/>
      </c>
      <c r="AK6" s="203" t="str">
        <f t="shared" si="3"/>
        <v/>
      </c>
      <c r="AL6" s="203" t="str">
        <f t="shared" si="3"/>
        <v/>
      </c>
      <c r="AM6" s="204" t="str">
        <f t="shared" si="3"/>
        <v/>
      </c>
      <c r="AN6" s="205" t="str">
        <f t="shared" ref="AN6:BC21" si="4">IF(AND(AM$3&gt;=$A6,AM$3&lt;$B6),1,IF(AND(AM$3&gt;=$C6,AM$3&lt;$D6),1,""))</f>
        <v/>
      </c>
      <c r="AO6" s="203" t="str">
        <f t="shared" si="4"/>
        <v/>
      </c>
      <c r="AP6" s="203" t="str">
        <f t="shared" si="4"/>
        <v/>
      </c>
      <c r="AQ6" s="204" t="str">
        <f t="shared" si="4"/>
        <v/>
      </c>
      <c r="AR6" s="205" t="str">
        <f t="shared" si="4"/>
        <v/>
      </c>
      <c r="AS6" s="203" t="str">
        <f t="shared" si="4"/>
        <v/>
      </c>
      <c r="AT6" s="203" t="str">
        <f t="shared" si="4"/>
        <v/>
      </c>
      <c r="AU6" s="204" t="str">
        <f t="shared" si="4"/>
        <v/>
      </c>
      <c r="AV6" s="205" t="str">
        <f t="shared" si="4"/>
        <v/>
      </c>
      <c r="AW6" s="203" t="str">
        <f t="shared" si="4"/>
        <v/>
      </c>
      <c r="AX6" s="203" t="str">
        <f t="shared" si="4"/>
        <v/>
      </c>
      <c r="AY6" s="204" t="str">
        <f t="shared" si="4"/>
        <v/>
      </c>
      <c r="AZ6" s="205" t="str">
        <f t="shared" si="4"/>
        <v/>
      </c>
      <c r="BA6" s="203" t="str">
        <f t="shared" si="4"/>
        <v/>
      </c>
      <c r="BB6" s="203" t="str">
        <f t="shared" si="4"/>
        <v/>
      </c>
      <c r="BC6" s="204" t="str">
        <f t="shared" si="4"/>
        <v/>
      </c>
      <c r="BD6" s="205" t="str">
        <f t="shared" ref="BD6:BS20" si="5">IF(AND(BC$3&gt;=$A6,BC$3&lt;$B6),1,IF(AND(BC$3&gt;=$C6,BC$3&lt;$D6),1,""))</f>
        <v/>
      </c>
      <c r="BE6" s="203" t="str">
        <f t="shared" si="5"/>
        <v/>
      </c>
      <c r="BF6" s="203" t="str">
        <f t="shared" si="5"/>
        <v/>
      </c>
      <c r="BG6" s="204" t="str">
        <f t="shared" si="5"/>
        <v/>
      </c>
      <c r="BH6" s="205" t="str">
        <f t="shared" si="5"/>
        <v/>
      </c>
      <c r="BI6" s="203" t="str">
        <f t="shared" si="5"/>
        <v/>
      </c>
      <c r="BJ6" s="203" t="str">
        <f t="shared" si="5"/>
        <v/>
      </c>
      <c r="BK6" s="204" t="str">
        <f t="shared" si="5"/>
        <v/>
      </c>
      <c r="BL6" s="205" t="str">
        <f t="shared" si="5"/>
        <v/>
      </c>
      <c r="BM6" s="203" t="str">
        <f t="shared" si="5"/>
        <v/>
      </c>
      <c r="BN6" s="203" t="str">
        <f t="shared" si="5"/>
        <v/>
      </c>
      <c r="BO6" s="204" t="str">
        <f t="shared" si="5"/>
        <v/>
      </c>
      <c r="BP6" s="205" t="str">
        <f t="shared" si="5"/>
        <v/>
      </c>
      <c r="BQ6" s="203" t="str">
        <f t="shared" si="5"/>
        <v/>
      </c>
      <c r="BR6" s="203" t="str">
        <f t="shared" si="5"/>
        <v/>
      </c>
      <c r="BS6" s="204" t="str">
        <f t="shared" si="5"/>
        <v/>
      </c>
      <c r="BT6" s="205" t="str">
        <f t="shared" ref="BP6:CE21" si="6">IF(AND(BS$3&gt;=$A6,BS$3&lt;$B6),1,IF(AND(BS$3&gt;=$C6,BS$3&lt;$D6),1,""))</f>
        <v/>
      </c>
      <c r="BU6" s="203" t="str">
        <f t="shared" si="6"/>
        <v/>
      </c>
      <c r="BV6" s="203" t="str">
        <f t="shared" si="6"/>
        <v/>
      </c>
      <c r="BW6" s="204" t="str">
        <f t="shared" si="6"/>
        <v/>
      </c>
      <c r="BX6" s="205" t="str">
        <f t="shared" si="6"/>
        <v/>
      </c>
      <c r="BY6" s="203" t="str">
        <f t="shared" si="6"/>
        <v/>
      </c>
      <c r="BZ6" s="203" t="str">
        <f t="shared" si="6"/>
        <v/>
      </c>
      <c r="CA6" s="204" t="str">
        <f t="shared" si="6"/>
        <v/>
      </c>
      <c r="CB6" s="205" t="str">
        <f t="shared" si="6"/>
        <v/>
      </c>
      <c r="CC6" s="203" t="str">
        <f t="shared" si="6"/>
        <v/>
      </c>
      <c r="CD6" s="203" t="str">
        <f t="shared" si="6"/>
        <v/>
      </c>
      <c r="CE6" s="204" t="str">
        <f t="shared" si="6"/>
        <v/>
      </c>
      <c r="CF6" s="17"/>
      <c r="CG6" s="16"/>
      <c r="CH6" s="13"/>
      <c r="CI6" s="16"/>
    </row>
    <row r="7" spans="1:87" s="21" customFormat="1" ht="18" customHeight="1">
      <c r="A7" s="22">
        <f>+TABELLA!U11</f>
        <v>0</v>
      </c>
      <c r="B7" s="22">
        <f>+TABELLA!V11</f>
        <v>0</v>
      </c>
      <c r="C7" s="22">
        <f>+TABELLA!W11</f>
        <v>0</v>
      </c>
      <c r="D7" s="22">
        <f>+TABELLA!X11</f>
        <v>0</v>
      </c>
      <c r="E7" s="22"/>
      <c r="F7" s="41" t="str">
        <f>IF(TABELLA!B11="","",TABELLA!B11)</f>
        <v/>
      </c>
      <c r="G7" s="42" t="str">
        <f>IF(TABELLA!C11="","",TABELLA!C11)</f>
        <v/>
      </c>
      <c r="H7" s="206" t="str">
        <f t="shared" ref="H7:W7" si="7">IF(AND(G$3&gt;=$A7,G$3&lt;$B7),1,IF(AND(G$3&gt;=$C7,G$3&lt;$D7),1,""))</f>
        <v/>
      </c>
      <c r="I7" s="206" t="str">
        <f t="shared" si="7"/>
        <v/>
      </c>
      <c r="J7" s="206" t="str">
        <f t="shared" si="7"/>
        <v/>
      </c>
      <c r="K7" s="207" t="str">
        <f t="shared" si="7"/>
        <v/>
      </c>
      <c r="L7" s="208" t="str">
        <f t="shared" si="7"/>
        <v/>
      </c>
      <c r="M7" s="206" t="str">
        <f t="shared" si="7"/>
        <v/>
      </c>
      <c r="N7" s="206" t="str">
        <f t="shared" si="7"/>
        <v/>
      </c>
      <c r="O7" s="207" t="str">
        <f t="shared" si="7"/>
        <v/>
      </c>
      <c r="P7" s="208" t="str">
        <f t="shared" si="7"/>
        <v/>
      </c>
      <c r="Q7" s="206" t="str">
        <f t="shared" si="7"/>
        <v/>
      </c>
      <c r="R7" s="206" t="str">
        <f t="shared" si="7"/>
        <v/>
      </c>
      <c r="S7" s="207" t="str">
        <f t="shared" si="7"/>
        <v/>
      </c>
      <c r="T7" s="208" t="str">
        <f t="shared" si="7"/>
        <v/>
      </c>
      <c r="U7" s="206" t="str">
        <f t="shared" si="7"/>
        <v/>
      </c>
      <c r="V7" s="206" t="str">
        <f t="shared" si="7"/>
        <v/>
      </c>
      <c r="W7" s="207" t="str">
        <f t="shared" si="7"/>
        <v/>
      </c>
      <c r="X7" s="208" t="str">
        <f t="shared" si="3"/>
        <v/>
      </c>
      <c r="Y7" s="206" t="str">
        <f t="shared" si="3"/>
        <v/>
      </c>
      <c r="Z7" s="206" t="str">
        <f t="shared" si="3"/>
        <v/>
      </c>
      <c r="AA7" s="207" t="str">
        <f t="shared" si="3"/>
        <v/>
      </c>
      <c r="AB7" s="208" t="str">
        <f t="shared" si="3"/>
        <v/>
      </c>
      <c r="AC7" s="206" t="str">
        <f t="shared" si="3"/>
        <v/>
      </c>
      <c r="AD7" s="206" t="str">
        <f t="shared" si="3"/>
        <v/>
      </c>
      <c r="AE7" s="207" t="str">
        <f t="shared" si="3"/>
        <v/>
      </c>
      <c r="AF7" s="208" t="str">
        <f t="shared" si="3"/>
        <v/>
      </c>
      <c r="AG7" s="206" t="str">
        <f t="shared" si="3"/>
        <v/>
      </c>
      <c r="AH7" s="206" t="str">
        <f t="shared" si="3"/>
        <v/>
      </c>
      <c r="AI7" s="207" t="str">
        <f t="shared" si="3"/>
        <v/>
      </c>
      <c r="AJ7" s="208" t="str">
        <f t="shared" si="3"/>
        <v/>
      </c>
      <c r="AK7" s="206" t="str">
        <f t="shared" si="3"/>
        <v/>
      </c>
      <c r="AL7" s="206" t="str">
        <f t="shared" si="3"/>
        <v/>
      </c>
      <c r="AM7" s="207" t="str">
        <f t="shared" si="3"/>
        <v/>
      </c>
      <c r="AN7" s="208" t="str">
        <f t="shared" si="4"/>
        <v/>
      </c>
      <c r="AO7" s="206" t="str">
        <f t="shared" si="4"/>
        <v/>
      </c>
      <c r="AP7" s="206" t="str">
        <f t="shared" si="4"/>
        <v/>
      </c>
      <c r="AQ7" s="207" t="str">
        <f t="shared" si="4"/>
        <v/>
      </c>
      <c r="AR7" s="208" t="str">
        <f t="shared" si="4"/>
        <v/>
      </c>
      <c r="AS7" s="206" t="str">
        <f t="shared" si="4"/>
        <v/>
      </c>
      <c r="AT7" s="206" t="str">
        <f t="shared" si="4"/>
        <v/>
      </c>
      <c r="AU7" s="207" t="str">
        <f t="shared" si="4"/>
        <v/>
      </c>
      <c r="AV7" s="208" t="str">
        <f t="shared" si="4"/>
        <v/>
      </c>
      <c r="AW7" s="206" t="str">
        <f t="shared" si="4"/>
        <v/>
      </c>
      <c r="AX7" s="206" t="str">
        <f t="shared" si="4"/>
        <v/>
      </c>
      <c r="AY7" s="207" t="str">
        <f t="shared" si="4"/>
        <v/>
      </c>
      <c r="AZ7" s="208" t="str">
        <f t="shared" si="4"/>
        <v/>
      </c>
      <c r="BA7" s="206" t="str">
        <f t="shared" si="4"/>
        <v/>
      </c>
      <c r="BB7" s="206" t="str">
        <f t="shared" si="4"/>
        <v/>
      </c>
      <c r="BC7" s="207" t="str">
        <f t="shared" si="4"/>
        <v/>
      </c>
      <c r="BD7" s="208" t="str">
        <f t="shared" si="5"/>
        <v/>
      </c>
      <c r="BE7" s="206" t="str">
        <f t="shared" si="5"/>
        <v/>
      </c>
      <c r="BF7" s="206" t="str">
        <f t="shared" si="5"/>
        <v/>
      </c>
      <c r="BG7" s="207" t="str">
        <f t="shared" si="5"/>
        <v/>
      </c>
      <c r="BH7" s="208" t="str">
        <f t="shared" si="5"/>
        <v/>
      </c>
      <c r="BI7" s="206" t="str">
        <f t="shared" si="5"/>
        <v/>
      </c>
      <c r="BJ7" s="206" t="str">
        <f t="shared" si="5"/>
        <v/>
      </c>
      <c r="BK7" s="207" t="str">
        <f t="shared" si="5"/>
        <v/>
      </c>
      <c r="BL7" s="208" t="str">
        <f t="shared" si="5"/>
        <v/>
      </c>
      <c r="BM7" s="206" t="str">
        <f t="shared" si="5"/>
        <v/>
      </c>
      <c r="BN7" s="206" t="str">
        <f t="shared" si="5"/>
        <v/>
      </c>
      <c r="BO7" s="207" t="str">
        <f t="shared" si="5"/>
        <v/>
      </c>
      <c r="BP7" s="208" t="str">
        <f t="shared" si="6"/>
        <v/>
      </c>
      <c r="BQ7" s="206" t="str">
        <f t="shared" si="6"/>
        <v/>
      </c>
      <c r="BR7" s="206" t="str">
        <f t="shared" si="6"/>
        <v/>
      </c>
      <c r="BS7" s="207" t="str">
        <f t="shared" si="6"/>
        <v/>
      </c>
      <c r="BT7" s="208" t="str">
        <f t="shared" si="6"/>
        <v/>
      </c>
      <c r="BU7" s="206" t="str">
        <f t="shared" si="6"/>
        <v/>
      </c>
      <c r="BV7" s="206" t="str">
        <f t="shared" si="6"/>
        <v/>
      </c>
      <c r="BW7" s="207" t="str">
        <f t="shared" si="6"/>
        <v/>
      </c>
      <c r="BX7" s="208" t="str">
        <f t="shared" si="6"/>
        <v/>
      </c>
      <c r="BY7" s="206" t="str">
        <f t="shared" si="6"/>
        <v/>
      </c>
      <c r="BZ7" s="206" t="str">
        <f t="shared" si="6"/>
        <v/>
      </c>
      <c r="CA7" s="207" t="str">
        <f t="shared" si="6"/>
        <v/>
      </c>
      <c r="CB7" s="208" t="str">
        <f t="shared" si="6"/>
        <v/>
      </c>
      <c r="CC7" s="206" t="str">
        <f t="shared" si="6"/>
        <v/>
      </c>
      <c r="CD7" s="206" t="str">
        <f t="shared" si="6"/>
        <v/>
      </c>
      <c r="CE7" s="207" t="str">
        <f t="shared" si="6"/>
        <v/>
      </c>
      <c r="CF7" s="19"/>
      <c r="CG7" s="20"/>
      <c r="CH7" s="13"/>
      <c r="CI7" s="20"/>
    </row>
    <row r="8" spans="1:87" s="18" customFormat="1" ht="18" customHeight="1">
      <c r="A8" s="22">
        <f>+TABELLA!U12</f>
        <v>0</v>
      </c>
      <c r="B8" s="22">
        <f>+TABELLA!V12</f>
        <v>0</v>
      </c>
      <c r="C8" s="22">
        <f>+TABELLA!W12</f>
        <v>0</v>
      </c>
      <c r="D8" s="22">
        <f>+TABELLA!X12</f>
        <v>0</v>
      </c>
      <c r="E8" s="22"/>
      <c r="F8" s="26">
        <f>IF(TABELLA!B12="","",TABELLA!B12)</f>
        <v>10</v>
      </c>
      <c r="G8" s="27" t="str">
        <f>IF(TABELLA!C12="","",TABELLA!C12)</f>
        <v/>
      </c>
      <c r="H8" s="203" t="str">
        <f t="shared" ref="H8:W8" si="8">IF(AND(G$3&gt;=$A8,G$3&lt;$B8),1,IF(AND(G$3&gt;=$C8,G$3&lt;$D8),1,""))</f>
        <v/>
      </c>
      <c r="I8" s="203" t="str">
        <f t="shared" si="8"/>
        <v/>
      </c>
      <c r="J8" s="203" t="str">
        <f t="shared" si="8"/>
        <v/>
      </c>
      <c r="K8" s="204" t="str">
        <f t="shared" si="8"/>
        <v/>
      </c>
      <c r="L8" s="205" t="str">
        <f t="shared" si="8"/>
        <v/>
      </c>
      <c r="M8" s="203" t="str">
        <f t="shared" si="8"/>
        <v/>
      </c>
      <c r="N8" s="203" t="str">
        <f t="shared" si="8"/>
        <v/>
      </c>
      <c r="O8" s="204" t="str">
        <f t="shared" si="8"/>
        <v/>
      </c>
      <c r="P8" s="205" t="str">
        <f t="shared" si="8"/>
        <v/>
      </c>
      <c r="Q8" s="203" t="str">
        <f t="shared" si="8"/>
        <v/>
      </c>
      <c r="R8" s="203" t="str">
        <f t="shared" si="8"/>
        <v/>
      </c>
      <c r="S8" s="204" t="str">
        <f t="shared" si="8"/>
        <v/>
      </c>
      <c r="T8" s="205" t="str">
        <f t="shared" si="8"/>
        <v/>
      </c>
      <c r="U8" s="203" t="str">
        <f t="shared" si="8"/>
        <v/>
      </c>
      <c r="V8" s="203" t="str">
        <f t="shared" si="8"/>
        <v/>
      </c>
      <c r="W8" s="204" t="str">
        <f t="shared" si="8"/>
        <v/>
      </c>
      <c r="X8" s="205" t="str">
        <f t="shared" si="3"/>
        <v/>
      </c>
      <c r="Y8" s="203" t="str">
        <f t="shared" si="3"/>
        <v/>
      </c>
      <c r="Z8" s="203" t="str">
        <f t="shared" si="3"/>
        <v/>
      </c>
      <c r="AA8" s="204" t="str">
        <f t="shared" si="3"/>
        <v/>
      </c>
      <c r="AB8" s="205" t="str">
        <f t="shared" si="3"/>
        <v/>
      </c>
      <c r="AC8" s="203" t="str">
        <f t="shared" si="3"/>
        <v/>
      </c>
      <c r="AD8" s="203" t="str">
        <f t="shared" si="3"/>
        <v/>
      </c>
      <c r="AE8" s="204" t="str">
        <f t="shared" si="3"/>
        <v/>
      </c>
      <c r="AF8" s="205" t="str">
        <f t="shared" si="3"/>
        <v/>
      </c>
      <c r="AG8" s="203" t="str">
        <f t="shared" si="3"/>
        <v/>
      </c>
      <c r="AH8" s="203" t="str">
        <f t="shared" si="3"/>
        <v/>
      </c>
      <c r="AI8" s="204" t="str">
        <f t="shared" si="3"/>
        <v/>
      </c>
      <c r="AJ8" s="205" t="str">
        <f t="shared" si="3"/>
        <v/>
      </c>
      <c r="AK8" s="203" t="str">
        <f t="shared" si="3"/>
        <v/>
      </c>
      <c r="AL8" s="203" t="str">
        <f t="shared" si="3"/>
        <v/>
      </c>
      <c r="AM8" s="204" t="str">
        <f t="shared" si="3"/>
        <v/>
      </c>
      <c r="AN8" s="205" t="str">
        <f t="shared" si="4"/>
        <v/>
      </c>
      <c r="AO8" s="203" t="str">
        <f t="shared" si="4"/>
        <v/>
      </c>
      <c r="AP8" s="203" t="str">
        <f t="shared" si="4"/>
        <v/>
      </c>
      <c r="AQ8" s="204" t="str">
        <f t="shared" si="4"/>
        <v/>
      </c>
      <c r="AR8" s="205" t="str">
        <f t="shared" si="4"/>
        <v/>
      </c>
      <c r="AS8" s="203" t="str">
        <f t="shared" si="4"/>
        <v/>
      </c>
      <c r="AT8" s="203" t="str">
        <f t="shared" si="4"/>
        <v/>
      </c>
      <c r="AU8" s="204" t="str">
        <f t="shared" si="4"/>
        <v/>
      </c>
      <c r="AV8" s="205" t="str">
        <f t="shared" si="4"/>
        <v/>
      </c>
      <c r="AW8" s="203" t="str">
        <f t="shared" si="4"/>
        <v/>
      </c>
      <c r="AX8" s="203" t="str">
        <f t="shared" si="4"/>
        <v/>
      </c>
      <c r="AY8" s="204" t="str">
        <f t="shared" si="4"/>
        <v/>
      </c>
      <c r="AZ8" s="205" t="str">
        <f t="shared" si="4"/>
        <v/>
      </c>
      <c r="BA8" s="203" t="str">
        <f t="shared" si="4"/>
        <v/>
      </c>
      <c r="BB8" s="203" t="str">
        <f t="shared" si="4"/>
        <v/>
      </c>
      <c r="BC8" s="204" t="str">
        <f t="shared" si="4"/>
        <v/>
      </c>
      <c r="BD8" s="205" t="str">
        <f t="shared" si="5"/>
        <v/>
      </c>
      <c r="BE8" s="203" t="str">
        <f t="shared" si="5"/>
        <v/>
      </c>
      <c r="BF8" s="203" t="str">
        <f t="shared" si="5"/>
        <v/>
      </c>
      <c r="BG8" s="204" t="str">
        <f t="shared" si="5"/>
        <v/>
      </c>
      <c r="BH8" s="205" t="str">
        <f t="shared" si="5"/>
        <v/>
      </c>
      <c r="BI8" s="203" t="str">
        <f t="shared" si="5"/>
        <v/>
      </c>
      <c r="BJ8" s="203" t="str">
        <f t="shared" si="5"/>
        <v/>
      </c>
      <c r="BK8" s="204" t="str">
        <f t="shared" si="5"/>
        <v/>
      </c>
      <c r="BL8" s="205" t="str">
        <f t="shared" si="5"/>
        <v/>
      </c>
      <c r="BM8" s="203" t="str">
        <f t="shared" si="5"/>
        <v/>
      </c>
      <c r="BN8" s="203" t="str">
        <f t="shared" si="5"/>
        <v/>
      </c>
      <c r="BO8" s="204" t="str">
        <f t="shared" si="5"/>
        <v/>
      </c>
      <c r="BP8" s="205" t="str">
        <f t="shared" si="6"/>
        <v/>
      </c>
      <c r="BQ8" s="203" t="str">
        <f t="shared" si="6"/>
        <v/>
      </c>
      <c r="BR8" s="203" t="str">
        <f t="shared" si="6"/>
        <v/>
      </c>
      <c r="BS8" s="204" t="str">
        <f t="shared" si="6"/>
        <v/>
      </c>
      <c r="BT8" s="205" t="str">
        <f t="shared" si="6"/>
        <v/>
      </c>
      <c r="BU8" s="203" t="str">
        <f t="shared" si="6"/>
        <v/>
      </c>
      <c r="BV8" s="203" t="str">
        <f t="shared" si="6"/>
        <v/>
      </c>
      <c r="BW8" s="204" t="str">
        <f t="shared" si="6"/>
        <v/>
      </c>
      <c r="BX8" s="205" t="str">
        <f t="shared" si="6"/>
        <v/>
      </c>
      <c r="BY8" s="203" t="str">
        <f t="shared" si="6"/>
        <v/>
      </c>
      <c r="BZ8" s="203" t="str">
        <f t="shared" si="6"/>
        <v/>
      </c>
      <c r="CA8" s="204" t="str">
        <f t="shared" si="6"/>
        <v/>
      </c>
      <c r="CB8" s="205" t="str">
        <f t="shared" si="6"/>
        <v/>
      </c>
      <c r="CC8" s="203" t="str">
        <f t="shared" si="6"/>
        <v/>
      </c>
      <c r="CD8" s="203" t="str">
        <f t="shared" si="6"/>
        <v/>
      </c>
      <c r="CE8" s="204" t="str">
        <f t="shared" si="6"/>
        <v/>
      </c>
      <c r="CF8" s="17"/>
      <c r="CG8" s="16"/>
      <c r="CH8" s="16"/>
      <c r="CI8" s="16"/>
    </row>
    <row r="9" spans="1:87" ht="18" customHeight="1">
      <c r="A9" s="22">
        <f>+TABELLA!U13</f>
        <v>9</v>
      </c>
      <c r="B9" s="22">
        <f>+TABELLA!V13</f>
        <v>13.3</v>
      </c>
      <c r="C9" s="22">
        <f>+TABELLA!W13</f>
        <v>0</v>
      </c>
      <c r="D9" s="22">
        <f>+TABELLA!X13</f>
        <v>0</v>
      </c>
      <c r="E9" s="22"/>
      <c r="F9" s="41">
        <f>IF(TABELLA!B13="","",TABELLA!B13)</f>
        <v>10</v>
      </c>
      <c r="G9" s="42" t="str">
        <f>IF(TABELLA!C13="","",TABELLA!C13)</f>
        <v>PIANTA LISA</v>
      </c>
      <c r="H9" s="206" t="str">
        <f t="shared" ref="H9:W9" si="9">IF(AND(G$3&gt;=$A9,G$3&lt;$B9),1,IF(AND(G$3&gt;=$C9,G$3&lt;$D9),1,""))</f>
        <v/>
      </c>
      <c r="I9" s="206" t="str">
        <f t="shared" si="9"/>
        <v/>
      </c>
      <c r="J9" s="206" t="str">
        <f t="shared" si="9"/>
        <v/>
      </c>
      <c r="K9" s="207" t="str">
        <f t="shared" si="9"/>
        <v/>
      </c>
      <c r="L9" s="208" t="str">
        <f t="shared" si="9"/>
        <v/>
      </c>
      <c r="M9" s="206" t="str">
        <f t="shared" si="9"/>
        <v/>
      </c>
      <c r="N9" s="206" t="str">
        <f t="shared" si="9"/>
        <v/>
      </c>
      <c r="O9" s="207" t="str">
        <f t="shared" si="9"/>
        <v/>
      </c>
      <c r="P9" s="208" t="str">
        <f t="shared" si="9"/>
        <v/>
      </c>
      <c r="Q9" s="206" t="str">
        <f t="shared" si="9"/>
        <v/>
      </c>
      <c r="R9" s="206" t="str">
        <f t="shared" si="9"/>
        <v/>
      </c>
      <c r="S9" s="207" t="str">
        <f t="shared" si="9"/>
        <v/>
      </c>
      <c r="T9" s="208" t="str">
        <f t="shared" si="9"/>
        <v/>
      </c>
      <c r="U9" s="206" t="str">
        <f t="shared" si="9"/>
        <v/>
      </c>
      <c r="V9" s="206" t="str">
        <f t="shared" si="9"/>
        <v/>
      </c>
      <c r="W9" s="207" t="str">
        <f t="shared" si="9"/>
        <v/>
      </c>
      <c r="X9" s="208">
        <f t="shared" si="3"/>
        <v>1</v>
      </c>
      <c r="Y9" s="206">
        <f t="shared" si="3"/>
        <v>1</v>
      </c>
      <c r="Z9" s="206">
        <f t="shared" si="3"/>
        <v>1</v>
      </c>
      <c r="AA9" s="207">
        <f t="shared" si="3"/>
        <v>1</v>
      </c>
      <c r="AB9" s="208">
        <f t="shared" si="3"/>
        <v>1</v>
      </c>
      <c r="AC9" s="206">
        <f t="shared" si="3"/>
        <v>1</v>
      </c>
      <c r="AD9" s="206">
        <f t="shared" si="3"/>
        <v>1</v>
      </c>
      <c r="AE9" s="207">
        <f t="shared" si="3"/>
        <v>1</v>
      </c>
      <c r="AF9" s="208">
        <f t="shared" si="3"/>
        <v>1</v>
      </c>
      <c r="AG9" s="206">
        <f t="shared" si="3"/>
        <v>1</v>
      </c>
      <c r="AH9" s="206">
        <f t="shared" si="3"/>
        <v>1</v>
      </c>
      <c r="AI9" s="207">
        <f t="shared" si="3"/>
        <v>1</v>
      </c>
      <c r="AJ9" s="208">
        <f t="shared" si="3"/>
        <v>1</v>
      </c>
      <c r="AK9" s="206">
        <f t="shared" si="3"/>
        <v>1</v>
      </c>
      <c r="AL9" s="206">
        <f t="shared" si="3"/>
        <v>1</v>
      </c>
      <c r="AM9" s="207">
        <f t="shared" si="3"/>
        <v>1</v>
      </c>
      <c r="AN9" s="208">
        <f t="shared" si="4"/>
        <v>1</v>
      </c>
      <c r="AO9" s="206">
        <f t="shared" si="4"/>
        <v>1</v>
      </c>
      <c r="AP9" s="206" t="str">
        <f t="shared" si="4"/>
        <v/>
      </c>
      <c r="AQ9" s="207" t="str">
        <f t="shared" si="4"/>
        <v/>
      </c>
      <c r="AR9" s="208" t="str">
        <f t="shared" si="4"/>
        <v/>
      </c>
      <c r="AS9" s="206" t="str">
        <f t="shared" si="4"/>
        <v/>
      </c>
      <c r="AT9" s="206" t="str">
        <f t="shared" si="4"/>
        <v/>
      </c>
      <c r="AU9" s="207" t="str">
        <f t="shared" si="4"/>
        <v/>
      </c>
      <c r="AV9" s="208" t="str">
        <f t="shared" si="4"/>
        <v/>
      </c>
      <c r="AW9" s="206" t="str">
        <f t="shared" si="4"/>
        <v/>
      </c>
      <c r="AX9" s="206" t="str">
        <f t="shared" si="4"/>
        <v/>
      </c>
      <c r="AY9" s="207" t="str">
        <f t="shared" si="4"/>
        <v/>
      </c>
      <c r="AZ9" s="208" t="str">
        <f t="shared" si="4"/>
        <v/>
      </c>
      <c r="BA9" s="206" t="str">
        <f t="shared" si="4"/>
        <v/>
      </c>
      <c r="BB9" s="206" t="str">
        <f t="shared" si="4"/>
        <v/>
      </c>
      <c r="BC9" s="207" t="str">
        <f t="shared" si="4"/>
        <v/>
      </c>
      <c r="BD9" s="208" t="str">
        <f t="shared" si="5"/>
        <v/>
      </c>
      <c r="BE9" s="206" t="str">
        <f t="shared" si="5"/>
        <v/>
      </c>
      <c r="BF9" s="206" t="str">
        <f t="shared" si="5"/>
        <v/>
      </c>
      <c r="BG9" s="207" t="str">
        <f t="shared" si="5"/>
        <v/>
      </c>
      <c r="BH9" s="208" t="str">
        <f t="shared" si="5"/>
        <v/>
      </c>
      <c r="BI9" s="206" t="str">
        <f t="shared" si="5"/>
        <v/>
      </c>
      <c r="BJ9" s="206" t="str">
        <f t="shared" si="5"/>
        <v/>
      </c>
      <c r="BK9" s="207" t="str">
        <f t="shared" si="5"/>
        <v/>
      </c>
      <c r="BL9" s="208" t="str">
        <f t="shared" si="5"/>
        <v/>
      </c>
      <c r="BM9" s="206" t="str">
        <f t="shared" si="5"/>
        <v/>
      </c>
      <c r="BN9" s="206" t="str">
        <f t="shared" si="5"/>
        <v/>
      </c>
      <c r="BO9" s="207" t="str">
        <f t="shared" si="5"/>
        <v/>
      </c>
      <c r="BP9" s="208" t="str">
        <f t="shared" si="6"/>
        <v/>
      </c>
      <c r="BQ9" s="206" t="str">
        <f t="shared" si="6"/>
        <v/>
      </c>
      <c r="BR9" s="206" t="str">
        <f t="shared" si="6"/>
        <v/>
      </c>
      <c r="BS9" s="207" t="str">
        <f t="shared" si="6"/>
        <v/>
      </c>
      <c r="BT9" s="208" t="str">
        <f t="shared" si="6"/>
        <v/>
      </c>
      <c r="BU9" s="206" t="str">
        <f t="shared" si="6"/>
        <v/>
      </c>
      <c r="BV9" s="206" t="str">
        <f t="shared" si="6"/>
        <v/>
      </c>
      <c r="BW9" s="207" t="str">
        <f t="shared" si="6"/>
        <v/>
      </c>
      <c r="BX9" s="208" t="str">
        <f t="shared" si="6"/>
        <v/>
      </c>
      <c r="BY9" s="206" t="str">
        <f t="shared" si="6"/>
        <v/>
      </c>
      <c r="BZ9" s="206" t="str">
        <f t="shared" si="6"/>
        <v/>
      </c>
      <c r="CA9" s="207" t="str">
        <f t="shared" si="6"/>
        <v/>
      </c>
      <c r="CB9" s="208" t="str">
        <f t="shared" si="6"/>
        <v/>
      </c>
      <c r="CC9" s="206" t="str">
        <f t="shared" si="6"/>
        <v/>
      </c>
      <c r="CD9" s="206" t="str">
        <f t="shared" si="6"/>
        <v/>
      </c>
      <c r="CE9" s="207" t="str">
        <f t="shared" si="6"/>
        <v/>
      </c>
    </row>
    <row r="10" spans="1:87" ht="18" customHeight="1">
      <c r="A10" s="22">
        <f>+TABELLA!U14</f>
        <v>0</v>
      </c>
      <c r="B10" s="22">
        <f>+TABELLA!V14</f>
        <v>0</v>
      </c>
      <c r="C10" s="22">
        <f>+TABELLA!W14</f>
        <v>14.3</v>
      </c>
      <c r="D10" s="22">
        <f>+TABELLA!X14</f>
        <v>19.3</v>
      </c>
      <c r="E10" s="22"/>
      <c r="F10" s="26">
        <f>IF(TABELLA!B14="","",TABELLA!B14)</f>
        <v>10</v>
      </c>
      <c r="G10" s="27" t="str">
        <f>IF(TABELLA!C14="","",TABELLA!C14)</f>
        <v>VELENCINA ELAINE</v>
      </c>
      <c r="H10" s="203" t="str">
        <f t="shared" ref="H10:W10" si="10">IF(AND(G$3&gt;=$A10,G$3&lt;$B10),1,IF(AND(G$3&gt;=$C10,G$3&lt;$D10),1,""))</f>
        <v/>
      </c>
      <c r="I10" s="203" t="str">
        <f t="shared" si="10"/>
        <v/>
      </c>
      <c r="J10" s="203" t="str">
        <f t="shared" si="10"/>
        <v/>
      </c>
      <c r="K10" s="204" t="str">
        <f t="shared" si="10"/>
        <v/>
      </c>
      <c r="L10" s="205" t="str">
        <f t="shared" si="10"/>
        <v/>
      </c>
      <c r="M10" s="203" t="str">
        <f t="shared" si="10"/>
        <v/>
      </c>
      <c r="N10" s="203" t="str">
        <f t="shared" si="10"/>
        <v/>
      </c>
      <c r="O10" s="204" t="str">
        <f t="shared" si="10"/>
        <v/>
      </c>
      <c r="P10" s="205" t="str">
        <f t="shared" si="10"/>
        <v/>
      </c>
      <c r="Q10" s="203" t="str">
        <f t="shared" si="10"/>
        <v/>
      </c>
      <c r="R10" s="203" t="str">
        <f t="shared" si="10"/>
        <v/>
      </c>
      <c r="S10" s="204" t="str">
        <f t="shared" si="10"/>
        <v/>
      </c>
      <c r="T10" s="205" t="str">
        <f t="shared" si="10"/>
        <v/>
      </c>
      <c r="U10" s="203" t="str">
        <f t="shared" si="10"/>
        <v/>
      </c>
      <c r="V10" s="203" t="str">
        <f t="shared" si="10"/>
        <v/>
      </c>
      <c r="W10" s="204" t="str">
        <f t="shared" si="10"/>
        <v/>
      </c>
      <c r="X10" s="205" t="str">
        <f t="shared" si="3"/>
        <v/>
      </c>
      <c r="Y10" s="203" t="str">
        <f t="shared" si="3"/>
        <v/>
      </c>
      <c r="Z10" s="203" t="str">
        <f t="shared" si="3"/>
        <v/>
      </c>
      <c r="AA10" s="204" t="str">
        <f t="shared" si="3"/>
        <v/>
      </c>
      <c r="AB10" s="205" t="str">
        <f t="shared" si="3"/>
        <v/>
      </c>
      <c r="AC10" s="203" t="str">
        <f t="shared" si="3"/>
        <v/>
      </c>
      <c r="AD10" s="203" t="str">
        <f t="shared" si="3"/>
        <v/>
      </c>
      <c r="AE10" s="204" t="str">
        <f t="shared" si="3"/>
        <v/>
      </c>
      <c r="AF10" s="205" t="str">
        <f t="shared" si="3"/>
        <v/>
      </c>
      <c r="AG10" s="203" t="str">
        <f t="shared" si="3"/>
        <v/>
      </c>
      <c r="AH10" s="203" t="str">
        <f t="shared" si="3"/>
        <v/>
      </c>
      <c r="AI10" s="204" t="str">
        <f t="shared" si="3"/>
        <v/>
      </c>
      <c r="AJ10" s="205" t="str">
        <f t="shared" si="3"/>
        <v/>
      </c>
      <c r="AK10" s="203" t="str">
        <f t="shared" si="3"/>
        <v/>
      </c>
      <c r="AL10" s="203" t="str">
        <f t="shared" si="3"/>
        <v/>
      </c>
      <c r="AM10" s="204" t="str">
        <f t="shared" si="3"/>
        <v/>
      </c>
      <c r="AN10" s="205" t="str">
        <f t="shared" si="4"/>
        <v/>
      </c>
      <c r="AO10" s="203" t="str">
        <f t="shared" si="4"/>
        <v/>
      </c>
      <c r="AP10" s="203" t="str">
        <f t="shared" si="4"/>
        <v/>
      </c>
      <c r="AQ10" s="204" t="str">
        <f t="shared" si="4"/>
        <v/>
      </c>
      <c r="AR10" s="205" t="str">
        <f t="shared" si="4"/>
        <v/>
      </c>
      <c r="AS10" s="203" t="str">
        <f t="shared" si="4"/>
        <v/>
      </c>
      <c r="AT10" s="203">
        <f t="shared" si="4"/>
        <v>1</v>
      </c>
      <c r="AU10" s="204">
        <f t="shared" si="4"/>
        <v>1</v>
      </c>
      <c r="AV10" s="205">
        <f t="shared" si="4"/>
        <v>1</v>
      </c>
      <c r="AW10" s="203">
        <f t="shared" si="4"/>
        <v>1</v>
      </c>
      <c r="AX10" s="203">
        <f t="shared" si="4"/>
        <v>1</v>
      </c>
      <c r="AY10" s="204">
        <f t="shared" si="4"/>
        <v>1</v>
      </c>
      <c r="AZ10" s="205">
        <f t="shared" si="4"/>
        <v>1</v>
      </c>
      <c r="BA10" s="203">
        <f t="shared" si="4"/>
        <v>1</v>
      </c>
      <c r="BB10" s="203">
        <f t="shared" si="4"/>
        <v>1</v>
      </c>
      <c r="BC10" s="204">
        <f t="shared" si="4"/>
        <v>1</v>
      </c>
      <c r="BD10" s="205">
        <f t="shared" si="5"/>
        <v>1</v>
      </c>
      <c r="BE10" s="203">
        <f t="shared" si="5"/>
        <v>1</v>
      </c>
      <c r="BF10" s="203">
        <f t="shared" si="5"/>
        <v>1</v>
      </c>
      <c r="BG10" s="204">
        <f t="shared" si="5"/>
        <v>1</v>
      </c>
      <c r="BH10" s="205">
        <f t="shared" si="5"/>
        <v>1</v>
      </c>
      <c r="BI10" s="203">
        <f t="shared" si="5"/>
        <v>1</v>
      </c>
      <c r="BJ10" s="203">
        <f t="shared" si="5"/>
        <v>1</v>
      </c>
      <c r="BK10" s="204">
        <f t="shared" si="5"/>
        <v>1</v>
      </c>
      <c r="BL10" s="205">
        <f t="shared" si="5"/>
        <v>1</v>
      </c>
      <c r="BM10" s="203">
        <f t="shared" si="5"/>
        <v>1</v>
      </c>
      <c r="BN10" s="203" t="str">
        <f t="shared" si="5"/>
        <v/>
      </c>
      <c r="BO10" s="204" t="str">
        <f t="shared" si="5"/>
        <v/>
      </c>
      <c r="BP10" s="205" t="str">
        <f t="shared" si="6"/>
        <v/>
      </c>
      <c r="BQ10" s="203" t="str">
        <f t="shared" si="6"/>
        <v/>
      </c>
      <c r="BR10" s="203" t="str">
        <f t="shared" si="6"/>
        <v/>
      </c>
      <c r="BS10" s="204" t="str">
        <f t="shared" si="6"/>
        <v/>
      </c>
      <c r="BT10" s="205" t="str">
        <f t="shared" si="6"/>
        <v/>
      </c>
      <c r="BU10" s="203" t="str">
        <f t="shared" si="6"/>
        <v/>
      </c>
      <c r="BV10" s="203" t="str">
        <f t="shared" si="6"/>
        <v/>
      </c>
      <c r="BW10" s="204" t="str">
        <f t="shared" si="6"/>
        <v/>
      </c>
      <c r="BX10" s="205" t="str">
        <f t="shared" si="6"/>
        <v/>
      </c>
      <c r="BY10" s="203" t="str">
        <f t="shared" si="6"/>
        <v/>
      </c>
      <c r="BZ10" s="203" t="str">
        <f t="shared" si="6"/>
        <v/>
      </c>
      <c r="CA10" s="204" t="str">
        <f t="shared" si="6"/>
        <v/>
      </c>
      <c r="CB10" s="205" t="str">
        <f t="shared" si="6"/>
        <v/>
      </c>
      <c r="CC10" s="203" t="str">
        <f t="shared" si="6"/>
        <v/>
      </c>
      <c r="CD10" s="203" t="str">
        <f t="shared" si="6"/>
        <v/>
      </c>
      <c r="CE10" s="204" t="str">
        <f t="shared" si="6"/>
        <v/>
      </c>
    </row>
    <row r="11" spans="1:87" ht="18" customHeight="1">
      <c r="A11" s="22">
        <f>+TABELLA!U15</f>
        <v>0</v>
      </c>
      <c r="B11" s="22">
        <f>+TABELLA!V15</f>
        <v>0</v>
      </c>
      <c r="C11" s="22">
        <f>+TABELLA!W15</f>
        <v>0</v>
      </c>
      <c r="D11" s="22">
        <f>+TABELLA!X15</f>
        <v>0</v>
      </c>
      <c r="E11" s="22"/>
      <c r="F11" s="41">
        <f>IF(TABELLA!B15="","",TABELLA!B15)</f>
        <v>10</v>
      </c>
      <c r="G11" s="42" t="str">
        <f>IF(TABELLA!C15="","",TABELLA!C15)</f>
        <v/>
      </c>
      <c r="H11" s="206" t="str">
        <f t="shared" ref="H11:W11" si="11">IF(AND(G$3&gt;=$A11,G$3&lt;$B11),1,IF(AND(G$3&gt;=$C11,G$3&lt;$D11),1,""))</f>
        <v/>
      </c>
      <c r="I11" s="206" t="str">
        <f t="shared" si="11"/>
        <v/>
      </c>
      <c r="J11" s="206" t="str">
        <f t="shared" si="11"/>
        <v/>
      </c>
      <c r="K11" s="207" t="str">
        <f t="shared" si="11"/>
        <v/>
      </c>
      <c r="L11" s="208" t="str">
        <f t="shared" si="11"/>
        <v/>
      </c>
      <c r="M11" s="206" t="str">
        <f t="shared" si="11"/>
        <v/>
      </c>
      <c r="N11" s="206" t="str">
        <f t="shared" si="11"/>
        <v/>
      </c>
      <c r="O11" s="207" t="str">
        <f t="shared" si="11"/>
        <v/>
      </c>
      <c r="P11" s="208" t="str">
        <f t="shared" si="11"/>
        <v/>
      </c>
      <c r="Q11" s="206" t="str">
        <f t="shared" si="11"/>
        <v/>
      </c>
      <c r="R11" s="206" t="str">
        <f t="shared" si="11"/>
        <v/>
      </c>
      <c r="S11" s="207" t="str">
        <f t="shared" si="11"/>
        <v/>
      </c>
      <c r="T11" s="208" t="str">
        <f t="shared" si="11"/>
        <v/>
      </c>
      <c r="U11" s="206" t="str">
        <f t="shared" si="11"/>
        <v/>
      </c>
      <c r="V11" s="206" t="str">
        <f t="shared" si="11"/>
        <v/>
      </c>
      <c r="W11" s="207" t="str">
        <f t="shared" si="11"/>
        <v/>
      </c>
      <c r="X11" s="208" t="str">
        <f t="shared" si="3"/>
        <v/>
      </c>
      <c r="Y11" s="206" t="str">
        <f t="shared" si="3"/>
        <v/>
      </c>
      <c r="Z11" s="206" t="str">
        <f t="shared" si="3"/>
        <v/>
      </c>
      <c r="AA11" s="207" t="str">
        <f t="shared" si="3"/>
        <v/>
      </c>
      <c r="AB11" s="208" t="str">
        <f t="shared" si="3"/>
        <v/>
      </c>
      <c r="AC11" s="206" t="str">
        <f t="shared" si="3"/>
        <v/>
      </c>
      <c r="AD11" s="206" t="str">
        <f t="shared" si="3"/>
        <v/>
      </c>
      <c r="AE11" s="207" t="str">
        <f t="shared" si="3"/>
        <v/>
      </c>
      <c r="AF11" s="208" t="str">
        <f t="shared" si="3"/>
        <v/>
      </c>
      <c r="AG11" s="206" t="str">
        <f t="shared" si="3"/>
        <v/>
      </c>
      <c r="AH11" s="206" t="str">
        <f t="shared" si="3"/>
        <v/>
      </c>
      <c r="AI11" s="207" t="str">
        <f t="shared" si="3"/>
        <v/>
      </c>
      <c r="AJ11" s="208" t="str">
        <f t="shared" si="3"/>
        <v/>
      </c>
      <c r="AK11" s="206" t="str">
        <f t="shared" si="3"/>
        <v/>
      </c>
      <c r="AL11" s="206" t="str">
        <f t="shared" si="3"/>
        <v/>
      </c>
      <c r="AM11" s="207" t="str">
        <f t="shared" si="3"/>
        <v/>
      </c>
      <c r="AN11" s="208" t="str">
        <f t="shared" si="4"/>
        <v/>
      </c>
      <c r="AO11" s="206" t="str">
        <f t="shared" si="4"/>
        <v/>
      </c>
      <c r="AP11" s="206" t="str">
        <f t="shared" si="4"/>
        <v/>
      </c>
      <c r="AQ11" s="207" t="str">
        <f t="shared" si="4"/>
        <v/>
      </c>
      <c r="AR11" s="208" t="str">
        <f t="shared" si="4"/>
        <v/>
      </c>
      <c r="AS11" s="206" t="str">
        <f t="shared" si="4"/>
        <v/>
      </c>
      <c r="AT11" s="206" t="str">
        <f t="shared" si="4"/>
        <v/>
      </c>
      <c r="AU11" s="207" t="str">
        <f t="shared" si="4"/>
        <v/>
      </c>
      <c r="AV11" s="208" t="str">
        <f t="shared" si="4"/>
        <v/>
      </c>
      <c r="AW11" s="206" t="str">
        <f t="shared" si="4"/>
        <v/>
      </c>
      <c r="AX11" s="206" t="str">
        <f t="shared" si="4"/>
        <v/>
      </c>
      <c r="AY11" s="207" t="str">
        <f t="shared" si="4"/>
        <v/>
      </c>
      <c r="AZ11" s="208" t="str">
        <f t="shared" si="4"/>
        <v/>
      </c>
      <c r="BA11" s="206" t="str">
        <f t="shared" si="4"/>
        <v/>
      </c>
      <c r="BB11" s="206" t="str">
        <f t="shared" si="4"/>
        <v/>
      </c>
      <c r="BC11" s="207" t="str">
        <f t="shared" si="4"/>
        <v/>
      </c>
      <c r="BD11" s="208" t="str">
        <f t="shared" si="5"/>
        <v/>
      </c>
      <c r="BE11" s="206" t="str">
        <f t="shared" si="5"/>
        <v/>
      </c>
      <c r="BF11" s="206" t="str">
        <f t="shared" si="5"/>
        <v/>
      </c>
      <c r="BG11" s="207" t="str">
        <f t="shared" si="5"/>
        <v/>
      </c>
      <c r="BH11" s="208" t="str">
        <f t="shared" si="5"/>
        <v/>
      </c>
      <c r="BI11" s="206" t="str">
        <f t="shared" si="5"/>
        <v/>
      </c>
      <c r="BJ11" s="206" t="str">
        <f t="shared" si="5"/>
        <v/>
      </c>
      <c r="BK11" s="207" t="str">
        <f t="shared" si="5"/>
        <v/>
      </c>
      <c r="BL11" s="208" t="str">
        <f t="shared" si="5"/>
        <v/>
      </c>
      <c r="BM11" s="206" t="str">
        <f t="shared" si="5"/>
        <v/>
      </c>
      <c r="BN11" s="206" t="str">
        <f t="shared" si="5"/>
        <v/>
      </c>
      <c r="BO11" s="207" t="str">
        <f t="shared" si="5"/>
        <v/>
      </c>
      <c r="BP11" s="208" t="str">
        <f t="shared" si="6"/>
        <v/>
      </c>
      <c r="BQ11" s="206" t="str">
        <f t="shared" si="6"/>
        <v/>
      </c>
      <c r="BR11" s="206" t="str">
        <f t="shared" si="6"/>
        <v/>
      </c>
      <c r="BS11" s="207" t="str">
        <f t="shared" si="6"/>
        <v/>
      </c>
      <c r="BT11" s="208" t="str">
        <f t="shared" si="6"/>
        <v/>
      </c>
      <c r="BU11" s="206" t="str">
        <f t="shared" si="6"/>
        <v/>
      </c>
      <c r="BV11" s="206" t="str">
        <f t="shared" si="6"/>
        <v/>
      </c>
      <c r="BW11" s="207" t="str">
        <f t="shared" si="6"/>
        <v/>
      </c>
      <c r="BX11" s="208" t="str">
        <f t="shared" si="6"/>
        <v/>
      </c>
      <c r="BY11" s="206" t="str">
        <f t="shared" si="6"/>
        <v/>
      </c>
      <c r="BZ11" s="206" t="str">
        <f t="shared" si="6"/>
        <v/>
      </c>
      <c r="CA11" s="207" t="str">
        <f t="shared" si="6"/>
        <v/>
      </c>
      <c r="CB11" s="208" t="str">
        <f t="shared" si="6"/>
        <v/>
      </c>
      <c r="CC11" s="206" t="str">
        <f t="shared" si="6"/>
        <v/>
      </c>
      <c r="CD11" s="206" t="str">
        <f t="shared" si="6"/>
        <v/>
      </c>
      <c r="CE11" s="207" t="str">
        <f t="shared" si="6"/>
        <v/>
      </c>
    </row>
    <row r="12" spans="1:87" ht="18" customHeight="1">
      <c r="A12" s="22">
        <f>+TABELLA!U16</f>
        <v>9.3000000000000007</v>
      </c>
      <c r="B12" s="22">
        <f>+TABELLA!V16</f>
        <v>11</v>
      </c>
      <c r="C12" s="22">
        <f>+TABELLA!W16</f>
        <v>12</v>
      </c>
      <c r="D12" s="22">
        <f>+TABELLA!X16</f>
        <v>16.45</v>
      </c>
      <c r="E12" s="22"/>
      <c r="F12" s="26">
        <f>IF(TABELLA!B16="","",TABELLA!B16)</f>
        <v>10</v>
      </c>
      <c r="G12" s="27" t="str">
        <f>IF(TABELLA!C16="","",TABELLA!C16)</f>
        <v>ALAM ARA</v>
      </c>
      <c r="H12" s="203" t="str">
        <f t="shared" ref="H12:W12" si="12">IF(AND(G$3&gt;=$A12,G$3&lt;$B12),1,IF(AND(G$3&gt;=$C12,G$3&lt;$D12),1,""))</f>
        <v/>
      </c>
      <c r="I12" s="203" t="str">
        <f t="shared" si="12"/>
        <v/>
      </c>
      <c r="J12" s="203" t="str">
        <f t="shared" si="12"/>
        <v/>
      </c>
      <c r="K12" s="204" t="str">
        <f t="shared" si="12"/>
        <v/>
      </c>
      <c r="L12" s="205" t="str">
        <f t="shared" si="12"/>
        <v/>
      </c>
      <c r="M12" s="203" t="str">
        <f t="shared" si="12"/>
        <v/>
      </c>
      <c r="N12" s="203" t="str">
        <f t="shared" si="12"/>
        <v/>
      </c>
      <c r="O12" s="204" t="str">
        <f t="shared" si="12"/>
        <v/>
      </c>
      <c r="P12" s="205" t="str">
        <f t="shared" si="12"/>
        <v/>
      </c>
      <c r="Q12" s="203" t="str">
        <f t="shared" si="12"/>
        <v/>
      </c>
      <c r="R12" s="203" t="str">
        <f t="shared" si="12"/>
        <v/>
      </c>
      <c r="S12" s="204" t="str">
        <f t="shared" si="12"/>
        <v/>
      </c>
      <c r="T12" s="205" t="str">
        <f t="shared" si="12"/>
        <v/>
      </c>
      <c r="U12" s="203" t="str">
        <f t="shared" si="12"/>
        <v/>
      </c>
      <c r="V12" s="203" t="str">
        <f t="shared" si="12"/>
        <v/>
      </c>
      <c r="W12" s="204" t="str">
        <f t="shared" si="12"/>
        <v/>
      </c>
      <c r="X12" s="205" t="str">
        <f t="shared" si="3"/>
        <v/>
      </c>
      <c r="Y12" s="203" t="str">
        <f t="shared" si="3"/>
        <v/>
      </c>
      <c r="Z12" s="203">
        <f t="shared" si="3"/>
        <v>1</v>
      </c>
      <c r="AA12" s="204">
        <f t="shared" si="3"/>
        <v>1</v>
      </c>
      <c r="AB12" s="205">
        <f t="shared" si="3"/>
        <v>1</v>
      </c>
      <c r="AC12" s="203">
        <f t="shared" si="3"/>
        <v>1</v>
      </c>
      <c r="AD12" s="203">
        <f t="shared" si="3"/>
        <v>1</v>
      </c>
      <c r="AE12" s="204">
        <f t="shared" si="3"/>
        <v>1</v>
      </c>
      <c r="AF12" s="205" t="str">
        <f t="shared" si="3"/>
        <v/>
      </c>
      <c r="AG12" s="203" t="str">
        <f t="shared" si="3"/>
        <v/>
      </c>
      <c r="AH12" s="203" t="str">
        <f t="shared" si="3"/>
        <v/>
      </c>
      <c r="AI12" s="204" t="str">
        <f t="shared" si="3"/>
        <v/>
      </c>
      <c r="AJ12" s="205">
        <f t="shared" si="3"/>
        <v>1</v>
      </c>
      <c r="AK12" s="203">
        <f t="shared" si="3"/>
        <v>1</v>
      </c>
      <c r="AL12" s="203">
        <f t="shared" si="3"/>
        <v>1</v>
      </c>
      <c r="AM12" s="204">
        <f t="shared" si="3"/>
        <v>1</v>
      </c>
      <c r="AN12" s="205">
        <f t="shared" si="4"/>
        <v>1</v>
      </c>
      <c r="AO12" s="203">
        <f t="shared" si="4"/>
        <v>1</v>
      </c>
      <c r="AP12" s="203">
        <f t="shared" si="4"/>
        <v>1</v>
      </c>
      <c r="AQ12" s="204">
        <f t="shared" si="4"/>
        <v>1</v>
      </c>
      <c r="AR12" s="205">
        <f t="shared" si="4"/>
        <v>1</v>
      </c>
      <c r="AS12" s="203">
        <f t="shared" si="4"/>
        <v>1</v>
      </c>
      <c r="AT12" s="203">
        <f t="shared" si="4"/>
        <v>1</v>
      </c>
      <c r="AU12" s="204">
        <f t="shared" si="4"/>
        <v>1</v>
      </c>
      <c r="AV12" s="205">
        <f t="shared" si="4"/>
        <v>1</v>
      </c>
      <c r="AW12" s="203">
        <f t="shared" si="4"/>
        <v>1</v>
      </c>
      <c r="AX12" s="203">
        <f t="shared" si="4"/>
        <v>1</v>
      </c>
      <c r="AY12" s="204">
        <f t="shared" si="4"/>
        <v>1</v>
      </c>
      <c r="AZ12" s="205">
        <f t="shared" si="4"/>
        <v>1</v>
      </c>
      <c r="BA12" s="203">
        <f t="shared" si="4"/>
        <v>1</v>
      </c>
      <c r="BB12" s="203">
        <f t="shared" si="4"/>
        <v>1</v>
      </c>
      <c r="BC12" s="204" t="str">
        <f t="shared" si="4"/>
        <v/>
      </c>
      <c r="BD12" s="205" t="str">
        <f t="shared" si="5"/>
        <v/>
      </c>
      <c r="BE12" s="203" t="str">
        <f t="shared" si="5"/>
        <v/>
      </c>
      <c r="BF12" s="203" t="str">
        <f t="shared" si="5"/>
        <v/>
      </c>
      <c r="BG12" s="204" t="str">
        <f t="shared" si="5"/>
        <v/>
      </c>
      <c r="BH12" s="205" t="str">
        <f t="shared" si="5"/>
        <v/>
      </c>
      <c r="BI12" s="203" t="str">
        <f t="shared" si="5"/>
        <v/>
      </c>
      <c r="BJ12" s="203" t="str">
        <f t="shared" si="5"/>
        <v/>
      </c>
      <c r="BK12" s="204" t="str">
        <f t="shared" si="5"/>
        <v/>
      </c>
      <c r="BL12" s="205" t="str">
        <f t="shared" si="5"/>
        <v/>
      </c>
      <c r="BM12" s="203" t="str">
        <f t="shared" si="5"/>
        <v/>
      </c>
      <c r="BN12" s="203" t="str">
        <f t="shared" si="5"/>
        <v/>
      </c>
      <c r="BO12" s="204" t="str">
        <f t="shared" si="5"/>
        <v/>
      </c>
      <c r="BP12" s="205" t="str">
        <f t="shared" si="6"/>
        <v/>
      </c>
      <c r="BQ12" s="203" t="str">
        <f t="shared" si="6"/>
        <v/>
      </c>
      <c r="BR12" s="203" t="str">
        <f t="shared" si="6"/>
        <v/>
      </c>
      <c r="BS12" s="204" t="str">
        <f t="shared" si="6"/>
        <v/>
      </c>
      <c r="BT12" s="205" t="str">
        <f t="shared" si="6"/>
        <v/>
      </c>
      <c r="BU12" s="203" t="str">
        <f t="shared" si="6"/>
        <v/>
      </c>
      <c r="BV12" s="203" t="str">
        <f t="shared" si="6"/>
        <v/>
      </c>
      <c r="BW12" s="204" t="str">
        <f t="shared" si="6"/>
        <v/>
      </c>
      <c r="BX12" s="205" t="str">
        <f t="shared" si="6"/>
        <v/>
      </c>
      <c r="BY12" s="203" t="str">
        <f t="shared" si="6"/>
        <v/>
      </c>
      <c r="BZ12" s="203" t="str">
        <f t="shared" si="6"/>
        <v/>
      </c>
      <c r="CA12" s="204" t="str">
        <f t="shared" si="6"/>
        <v/>
      </c>
      <c r="CB12" s="205" t="str">
        <f t="shared" si="6"/>
        <v/>
      </c>
      <c r="CC12" s="203" t="str">
        <f t="shared" si="6"/>
        <v/>
      </c>
      <c r="CD12" s="203" t="str">
        <f t="shared" si="6"/>
        <v/>
      </c>
      <c r="CE12" s="204" t="str">
        <f t="shared" si="6"/>
        <v/>
      </c>
    </row>
    <row r="13" spans="1:87" ht="18" customHeight="1">
      <c r="A13" s="22">
        <f>+TABELLA!U17</f>
        <v>16.149999999999999</v>
      </c>
      <c r="B13" s="22">
        <f>+TABELLA!V17</f>
        <v>18.45</v>
      </c>
      <c r="C13" s="22">
        <f>+TABELLA!W17</f>
        <v>19.149999999999999</v>
      </c>
      <c r="D13" s="22">
        <f>+TABELLA!X17</f>
        <v>23</v>
      </c>
      <c r="E13" s="22"/>
      <c r="F13" s="41">
        <f>IF(TABELLA!B17="","",TABELLA!B17)</f>
        <v>10</v>
      </c>
      <c r="G13" s="42" t="str">
        <f>IF(TABELLA!C17="","",TABELLA!C17)</f>
        <v>BONATO ANGELO</v>
      </c>
      <c r="H13" s="206" t="str">
        <f t="shared" ref="H13:W13" si="13">IF(AND(G$3&gt;=$A13,G$3&lt;$B13),1,IF(AND(G$3&gt;=$C13,G$3&lt;$D13),1,""))</f>
        <v/>
      </c>
      <c r="I13" s="206" t="str">
        <f t="shared" si="13"/>
        <v/>
      </c>
      <c r="J13" s="206" t="str">
        <f t="shared" si="13"/>
        <v/>
      </c>
      <c r="K13" s="207" t="str">
        <f t="shared" si="13"/>
        <v/>
      </c>
      <c r="L13" s="208" t="str">
        <f t="shared" si="13"/>
        <v/>
      </c>
      <c r="M13" s="206" t="str">
        <f t="shared" si="13"/>
        <v/>
      </c>
      <c r="N13" s="206" t="str">
        <f t="shared" si="13"/>
        <v/>
      </c>
      <c r="O13" s="207" t="str">
        <f t="shared" si="13"/>
        <v/>
      </c>
      <c r="P13" s="208" t="str">
        <f t="shared" si="13"/>
        <v/>
      </c>
      <c r="Q13" s="206" t="str">
        <f t="shared" si="13"/>
        <v/>
      </c>
      <c r="R13" s="206" t="str">
        <f t="shared" si="13"/>
        <v/>
      </c>
      <c r="S13" s="207" t="str">
        <f t="shared" si="13"/>
        <v/>
      </c>
      <c r="T13" s="208" t="str">
        <f t="shared" si="13"/>
        <v/>
      </c>
      <c r="U13" s="206" t="str">
        <f t="shared" si="13"/>
        <v/>
      </c>
      <c r="V13" s="206" t="str">
        <f t="shared" si="13"/>
        <v/>
      </c>
      <c r="W13" s="207" t="str">
        <f t="shared" si="13"/>
        <v/>
      </c>
      <c r="X13" s="208" t="str">
        <f t="shared" si="3"/>
        <v/>
      </c>
      <c r="Y13" s="206" t="str">
        <f t="shared" si="3"/>
        <v/>
      </c>
      <c r="Z13" s="206" t="str">
        <f t="shared" si="3"/>
        <v/>
      </c>
      <c r="AA13" s="207" t="str">
        <f t="shared" si="3"/>
        <v/>
      </c>
      <c r="AB13" s="208" t="str">
        <f t="shared" si="3"/>
        <v/>
      </c>
      <c r="AC13" s="206" t="str">
        <f t="shared" si="3"/>
        <v/>
      </c>
      <c r="AD13" s="206" t="str">
        <f t="shared" si="3"/>
        <v/>
      </c>
      <c r="AE13" s="207" t="str">
        <f t="shared" si="3"/>
        <v/>
      </c>
      <c r="AF13" s="208" t="str">
        <f t="shared" si="3"/>
        <v/>
      </c>
      <c r="AG13" s="206" t="str">
        <f t="shared" si="3"/>
        <v/>
      </c>
      <c r="AH13" s="206" t="str">
        <f t="shared" si="3"/>
        <v/>
      </c>
      <c r="AI13" s="207" t="str">
        <f t="shared" si="3"/>
        <v/>
      </c>
      <c r="AJ13" s="208" t="str">
        <f t="shared" si="3"/>
        <v/>
      </c>
      <c r="AK13" s="206" t="str">
        <f t="shared" si="3"/>
        <v/>
      </c>
      <c r="AL13" s="206" t="str">
        <f t="shared" si="3"/>
        <v/>
      </c>
      <c r="AM13" s="207" t="str">
        <f t="shared" si="3"/>
        <v/>
      </c>
      <c r="AN13" s="208" t="str">
        <f t="shared" si="4"/>
        <v/>
      </c>
      <c r="AO13" s="206" t="str">
        <f t="shared" si="4"/>
        <v/>
      </c>
      <c r="AP13" s="206" t="str">
        <f t="shared" si="4"/>
        <v/>
      </c>
      <c r="AQ13" s="207" t="str">
        <f t="shared" si="4"/>
        <v/>
      </c>
      <c r="AR13" s="208" t="str">
        <f t="shared" si="4"/>
        <v/>
      </c>
      <c r="AS13" s="206" t="str">
        <f t="shared" si="4"/>
        <v/>
      </c>
      <c r="AT13" s="206" t="str">
        <f t="shared" si="4"/>
        <v/>
      </c>
      <c r="AU13" s="207" t="str">
        <f t="shared" si="4"/>
        <v/>
      </c>
      <c r="AV13" s="208" t="str">
        <f t="shared" si="4"/>
        <v/>
      </c>
      <c r="AW13" s="206" t="str">
        <f t="shared" si="4"/>
        <v/>
      </c>
      <c r="AX13" s="206" t="str">
        <f t="shared" si="4"/>
        <v/>
      </c>
      <c r="AY13" s="207" t="str">
        <f t="shared" si="4"/>
        <v/>
      </c>
      <c r="AZ13" s="208" t="str">
        <f t="shared" si="4"/>
        <v/>
      </c>
      <c r="BA13" s="206">
        <f t="shared" si="4"/>
        <v>1</v>
      </c>
      <c r="BB13" s="206">
        <f t="shared" si="4"/>
        <v>1</v>
      </c>
      <c r="BC13" s="207">
        <f t="shared" si="4"/>
        <v>1</v>
      </c>
      <c r="BD13" s="208">
        <f t="shared" si="5"/>
        <v>1</v>
      </c>
      <c r="BE13" s="206">
        <f t="shared" si="5"/>
        <v>1</v>
      </c>
      <c r="BF13" s="206">
        <f t="shared" si="5"/>
        <v>1</v>
      </c>
      <c r="BG13" s="207">
        <f t="shared" si="5"/>
        <v>1</v>
      </c>
      <c r="BH13" s="208">
        <f t="shared" si="5"/>
        <v>1</v>
      </c>
      <c r="BI13" s="206">
        <f t="shared" si="5"/>
        <v>1</v>
      </c>
      <c r="BJ13" s="206">
        <f t="shared" si="5"/>
        <v>1</v>
      </c>
      <c r="BK13" s="207" t="str">
        <f t="shared" si="5"/>
        <v/>
      </c>
      <c r="BL13" s="208" t="str">
        <f t="shared" si="5"/>
        <v/>
      </c>
      <c r="BM13" s="206">
        <f t="shared" si="5"/>
        <v>1</v>
      </c>
      <c r="BN13" s="206">
        <f t="shared" si="5"/>
        <v>1</v>
      </c>
      <c r="BO13" s="207">
        <f t="shared" si="5"/>
        <v>1</v>
      </c>
      <c r="BP13" s="208">
        <f t="shared" si="6"/>
        <v>1</v>
      </c>
      <c r="BQ13" s="206">
        <f t="shared" si="6"/>
        <v>1</v>
      </c>
      <c r="BR13" s="206">
        <f t="shared" si="6"/>
        <v>1</v>
      </c>
      <c r="BS13" s="207">
        <f t="shared" si="6"/>
        <v>1</v>
      </c>
      <c r="BT13" s="208">
        <f t="shared" si="6"/>
        <v>1</v>
      </c>
      <c r="BU13" s="206">
        <f t="shared" si="6"/>
        <v>1</v>
      </c>
      <c r="BV13" s="206">
        <f t="shared" si="6"/>
        <v>1</v>
      </c>
      <c r="BW13" s="207">
        <f t="shared" si="6"/>
        <v>1</v>
      </c>
      <c r="BX13" s="208">
        <f t="shared" si="6"/>
        <v>1</v>
      </c>
      <c r="BY13" s="206">
        <f t="shared" si="6"/>
        <v>1</v>
      </c>
      <c r="BZ13" s="206">
        <f t="shared" si="6"/>
        <v>1</v>
      </c>
      <c r="CA13" s="207">
        <f t="shared" si="6"/>
        <v>1</v>
      </c>
      <c r="CB13" s="208" t="str">
        <f t="shared" si="6"/>
        <v/>
      </c>
      <c r="CC13" s="206" t="str">
        <f t="shared" si="6"/>
        <v/>
      </c>
      <c r="CD13" s="206" t="str">
        <f t="shared" si="6"/>
        <v/>
      </c>
      <c r="CE13" s="207" t="str">
        <f t="shared" si="6"/>
        <v/>
      </c>
    </row>
    <row r="14" spans="1:87" ht="18" customHeight="1">
      <c r="A14" s="22">
        <f>+TABELLA!U18</f>
        <v>8</v>
      </c>
      <c r="B14" s="22">
        <f>+TABELLA!V18</f>
        <v>14</v>
      </c>
      <c r="C14" s="22">
        <f>+TABELLA!W18</f>
        <v>0</v>
      </c>
      <c r="D14" s="22">
        <f>+TABELLA!X18</f>
        <v>0</v>
      </c>
      <c r="E14" s="22"/>
      <c r="F14" s="26">
        <f>IF(TABELLA!B18="","",TABELLA!B18)</f>
        <v>10</v>
      </c>
      <c r="G14" s="27" t="str">
        <f>IF(TABELLA!C18="","",TABELLA!C18)</f>
        <v>SALVATO CRISTIAN</v>
      </c>
      <c r="H14" s="203" t="str">
        <f t="shared" ref="H14:W14" si="14">IF(AND(G$3&gt;=$A14,G$3&lt;$B14),1,IF(AND(G$3&gt;=$C14,G$3&lt;$D14),1,""))</f>
        <v/>
      </c>
      <c r="I14" s="203" t="str">
        <f t="shared" si="14"/>
        <v/>
      </c>
      <c r="J14" s="203" t="str">
        <f t="shared" si="14"/>
        <v/>
      </c>
      <c r="K14" s="204" t="str">
        <f t="shared" si="14"/>
        <v/>
      </c>
      <c r="L14" s="205" t="str">
        <f t="shared" si="14"/>
        <v/>
      </c>
      <c r="M14" s="203" t="str">
        <f t="shared" si="14"/>
        <v/>
      </c>
      <c r="N14" s="203" t="str">
        <f t="shared" si="14"/>
        <v/>
      </c>
      <c r="O14" s="204" t="str">
        <f t="shared" si="14"/>
        <v/>
      </c>
      <c r="P14" s="205" t="str">
        <f t="shared" si="14"/>
        <v/>
      </c>
      <c r="Q14" s="203" t="str">
        <f t="shared" si="14"/>
        <v/>
      </c>
      <c r="R14" s="203" t="str">
        <f t="shared" si="14"/>
        <v/>
      </c>
      <c r="S14" s="204" t="str">
        <f t="shared" si="14"/>
        <v/>
      </c>
      <c r="T14" s="205">
        <f t="shared" si="14"/>
        <v>1</v>
      </c>
      <c r="U14" s="203">
        <f t="shared" si="14"/>
        <v>1</v>
      </c>
      <c r="V14" s="203">
        <f t="shared" si="14"/>
        <v>1</v>
      </c>
      <c r="W14" s="204">
        <f t="shared" si="14"/>
        <v>1</v>
      </c>
      <c r="X14" s="205">
        <f t="shared" si="3"/>
        <v>1</v>
      </c>
      <c r="Y14" s="203">
        <f t="shared" si="3"/>
        <v>1</v>
      </c>
      <c r="Z14" s="203">
        <f t="shared" si="3"/>
        <v>1</v>
      </c>
      <c r="AA14" s="204">
        <f t="shared" si="3"/>
        <v>1</v>
      </c>
      <c r="AB14" s="205">
        <f t="shared" si="3"/>
        <v>1</v>
      </c>
      <c r="AC14" s="203">
        <f t="shared" si="3"/>
        <v>1</v>
      </c>
      <c r="AD14" s="203">
        <f t="shared" si="3"/>
        <v>1</v>
      </c>
      <c r="AE14" s="204">
        <f t="shared" si="3"/>
        <v>1</v>
      </c>
      <c r="AF14" s="205">
        <f t="shared" si="3"/>
        <v>1</v>
      </c>
      <c r="AG14" s="203">
        <f t="shared" si="3"/>
        <v>1</v>
      </c>
      <c r="AH14" s="203">
        <f t="shared" si="3"/>
        <v>1</v>
      </c>
      <c r="AI14" s="204">
        <f t="shared" si="3"/>
        <v>1</v>
      </c>
      <c r="AJ14" s="205">
        <f t="shared" si="3"/>
        <v>1</v>
      </c>
      <c r="AK14" s="203">
        <f t="shared" si="3"/>
        <v>1</v>
      </c>
      <c r="AL14" s="203">
        <f t="shared" si="3"/>
        <v>1</v>
      </c>
      <c r="AM14" s="204">
        <f t="shared" si="3"/>
        <v>1</v>
      </c>
      <c r="AN14" s="205">
        <f t="shared" si="4"/>
        <v>1</v>
      </c>
      <c r="AO14" s="203">
        <f t="shared" si="4"/>
        <v>1</v>
      </c>
      <c r="AP14" s="203">
        <f t="shared" si="4"/>
        <v>1</v>
      </c>
      <c r="AQ14" s="204">
        <f t="shared" si="4"/>
        <v>1</v>
      </c>
      <c r="AR14" s="205" t="str">
        <f t="shared" si="4"/>
        <v/>
      </c>
      <c r="AS14" s="203" t="str">
        <f t="shared" si="4"/>
        <v/>
      </c>
      <c r="AT14" s="203" t="str">
        <f t="shared" si="4"/>
        <v/>
      </c>
      <c r="AU14" s="204" t="str">
        <f t="shared" si="4"/>
        <v/>
      </c>
      <c r="AV14" s="205" t="str">
        <f t="shared" si="4"/>
        <v/>
      </c>
      <c r="AW14" s="203" t="str">
        <f t="shared" si="4"/>
        <v/>
      </c>
      <c r="AX14" s="203" t="str">
        <f t="shared" si="4"/>
        <v/>
      </c>
      <c r="AY14" s="204" t="str">
        <f t="shared" si="4"/>
        <v/>
      </c>
      <c r="AZ14" s="205" t="str">
        <f t="shared" si="4"/>
        <v/>
      </c>
      <c r="BA14" s="203" t="str">
        <f t="shared" si="4"/>
        <v/>
      </c>
      <c r="BB14" s="203" t="str">
        <f t="shared" si="4"/>
        <v/>
      </c>
      <c r="BC14" s="204" t="str">
        <f t="shared" si="4"/>
        <v/>
      </c>
      <c r="BD14" s="205" t="str">
        <f t="shared" si="5"/>
        <v/>
      </c>
      <c r="BE14" s="203" t="str">
        <f t="shared" si="5"/>
        <v/>
      </c>
      <c r="BF14" s="203" t="str">
        <f t="shared" si="5"/>
        <v/>
      </c>
      <c r="BG14" s="204" t="str">
        <f t="shared" si="5"/>
        <v/>
      </c>
      <c r="BH14" s="205" t="str">
        <f t="shared" si="5"/>
        <v/>
      </c>
      <c r="BI14" s="203" t="str">
        <f t="shared" si="5"/>
        <v/>
      </c>
      <c r="BJ14" s="203" t="str">
        <f t="shared" si="5"/>
        <v/>
      </c>
      <c r="BK14" s="204" t="str">
        <f t="shared" si="5"/>
        <v/>
      </c>
      <c r="BL14" s="205" t="str">
        <f t="shared" si="5"/>
        <v/>
      </c>
      <c r="BM14" s="203" t="str">
        <f t="shared" si="5"/>
        <v/>
      </c>
      <c r="BN14" s="203" t="str">
        <f t="shared" si="5"/>
        <v/>
      </c>
      <c r="BO14" s="204" t="str">
        <f t="shared" si="5"/>
        <v/>
      </c>
      <c r="BP14" s="205" t="str">
        <f t="shared" si="6"/>
        <v/>
      </c>
      <c r="BQ14" s="203" t="str">
        <f t="shared" si="6"/>
        <v/>
      </c>
      <c r="BR14" s="203" t="str">
        <f t="shared" si="6"/>
        <v/>
      </c>
      <c r="BS14" s="204" t="str">
        <f t="shared" si="6"/>
        <v/>
      </c>
      <c r="BT14" s="205" t="str">
        <f t="shared" si="6"/>
        <v/>
      </c>
      <c r="BU14" s="203" t="str">
        <f t="shared" si="6"/>
        <v/>
      </c>
      <c r="BV14" s="203" t="str">
        <f t="shared" si="6"/>
        <v/>
      </c>
      <c r="BW14" s="204" t="str">
        <f t="shared" si="6"/>
        <v/>
      </c>
      <c r="BX14" s="205" t="str">
        <f t="shared" si="6"/>
        <v/>
      </c>
      <c r="BY14" s="203" t="str">
        <f t="shared" si="6"/>
        <v/>
      </c>
      <c r="BZ14" s="203" t="str">
        <f t="shared" si="6"/>
        <v/>
      </c>
      <c r="CA14" s="204" t="str">
        <f t="shared" si="6"/>
        <v/>
      </c>
      <c r="CB14" s="205" t="str">
        <f t="shared" si="6"/>
        <v/>
      </c>
      <c r="CC14" s="203" t="str">
        <f t="shared" si="6"/>
        <v/>
      </c>
      <c r="CD14" s="203" t="str">
        <f t="shared" si="6"/>
        <v/>
      </c>
      <c r="CE14" s="204" t="str">
        <f t="shared" si="6"/>
        <v/>
      </c>
    </row>
    <row r="15" spans="1:87" ht="18" customHeight="1">
      <c r="A15" s="22">
        <f>+TABELLA!U19</f>
        <v>10</v>
      </c>
      <c r="B15" s="22">
        <f>+TABELLA!V19</f>
        <v>12</v>
      </c>
      <c r="C15" s="22">
        <f>+TABELLA!W19</f>
        <v>0</v>
      </c>
      <c r="D15" s="22">
        <f>+TABELLA!X19</f>
        <v>0</v>
      </c>
      <c r="E15" s="22"/>
      <c r="F15" s="41">
        <f>IF(TABELLA!B19="","",TABELLA!B19)</f>
        <v>10</v>
      </c>
      <c r="G15" s="42" t="str">
        <f>IF(TABELLA!C19="","",TABELLA!C19)</f>
        <v>VALENTINI TAMARA</v>
      </c>
      <c r="H15" s="206" t="str">
        <f t="shared" ref="H15:W15" si="15">IF(AND(G$3&gt;=$A15,G$3&lt;$B15),1,IF(AND(G$3&gt;=$C15,G$3&lt;$D15),1,""))</f>
        <v/>
      </c>
      <c r="I15" s="206" t="str">
        <f t="shared" si="15"/>
        <v/>
      </c>
      <c r="J15" s="206" t="str">
        <f t="shared" si="15"/>
        <v/>
      </c>
      <c r="K15" s="207" t="str">
        <f t="shared" si="15"/>
        <v/>
      </c>
      <c r="L15" s="208" t="str">
        <f t="shared" si="15"/>
        <v/>
      </c>
      <c r="M15" s="206" t="str">
        <f t="shared" si="15"/>
        <v/>
      </c>
      <c r="N15" s="206" t="str">
        <f t="shared" si="15"/>
        <v/>
      </c>
      <c r="O15" s="207" t="str">
        <f t="shared" si="15"/>
        <v/>
      </c>
      <c r="P15" s="208" t="str">
        <f t="shared" si="15"/>
        <v/>
      </c>
      <c r="Q15" s="206" t="str">
        <f t="shared" si="15"/>
        <v/>
      </c>
      <c r="R15" s="206" t="str">
        <f t="shared" si="15"/>
        <v/>
      </c>
      <c r="S15" s="207" t="str">
        <f t="shared" si="15"/>
        <v/>
      </c>
      <c r="T15" s="208" t="str">
        <f t="shared" si="15"/>
        <v/>
      </c>
      <c r="U15" s="206" t="str">
        <f t="shared" si="15"/>
        <v/>
      </c>
      <c r="V15" s="206" t="str">
        <f t="shared" si="15"/>
        <v/>
      </c>
      <c r="W15" s="207" t="str">
        <f t="shared" si="15"/>
        <v/>
      </c>
      <c r="X15" s="208" t="str">
        <f t="shared" si="3"/>
        <v/>
      </c>
      <c r="Y15" s="206" t="str">
        <f t="shared" si="3"/>
        <v/>
      </c>
      <c r="Z15" s="206" t="str">
        <f t="shared" si="3"/>
        <v/>
      </c>
      <c r="AA15" s="207" t="str">
        <f t="shared" si="3"/>
        <v/>
      </c>
      <c r="AB15" s="208">
        <f t="shared" si="3"/>
        <v>1</v>
      </c>
      <c r="AC15" s="206">
        <f t="shared" si="3"/>
        <v>1</v>
      </c>
      <c r="AD15" s="206">
        <f t="shared" si="3"/>
        <v>1</v>
      </c>
      <c r="AE15" s="207">
        <f t="shared" si="3"/>
        <v>1</v>
      </c>
      <c r="AF15" s="208">
        <f t="shared" si="3"/>
        <v>1</v>
      </c>
      <c r="AG15" s="206">
        <f t="shared" si="3"/>
        <v>1</v>
      </c>
      <c r="AH15" s="206">
        <f t="shared" si="3"/>
        <v>1</v>
      </c>
      <c r="AI15" s="207">
        <f t="shared" si="3"/>
        <v>1</v>
      </c>
      <c r="AJ15" s="208" t="str">
        <f t="shared" si="3"/>
        <v/>
      </c>
      <c r="AK15" s="206" t="str">
        <f t="shared" si="3"/>
        <v/>
      </c>
      <c r="AL15" s="206" t="str">
        <f t="shared" si="3"/>
        <v/>
      </c>
      <c r="AM15" s="207" t="str">
        <f t="shared" si="3"/>
        <v/>
      </c>
      <c r="AN15" s="208" t="str">
        <f t="shared" si="4"/>
        <v/>
      </c>
      <c r="AO15" s="206" t="str">
        <f t="shared" si="4"/>
        <v/>
      </c>
      <c r="AP15" s="206" t="str">
        <f t="shared" si="4"/>
        <v/>
      </c>
      <c r="AQ15" s="207" t="str">
        <f t="shared" si="4"/>
        <v/>
      </c>
      <c r="AR15" s="208" t="str">
        <f t="shared" si="4"/>
        <v/>
      </c>
      <c r="AS15" s="206" t="str">
        <f t="shared" si="4"/>
        <v/>
      </c>
      <c r="AT15" s="206" t="str">
        <f t="shared" si="4"/>
        <v/>
      </c>
      <c r="AU15" s="207" t="str">
        <f t="shared" si="4"/>
        <v/>
      </c>
      <c r="AV15" s="208" t="str">
        <f t="shared" si="4"/>
        <v/>
      </c>
      <c r="AW15" s="206" t="str">
        <f t="shared" si="4"/>
        <v/>
      </c>
      <c r="AX15" s="206" t="str">
        <f t="shared" si="4"/>
        <v/>
      </c>
      <c r="AY15" s="207" t="str">
        <f t="shared" si="4"/>
        <v/>
      </c>
      <c r="AZ15" s="208" t="str">
        <f t="shared" si="4"/>
        <v/>
      </c>
      <c r="BA15" s="206" t="str">
        <f t="shared" si="4"/>
        <v/>
      </c>
      <c r="BB15" s="206" t="str">
        <f t="shared" si="4"/>
        <v/>
      </c>
      <c r="BC15" s="207" t="str">
        <f t="shared" si="4"/>
        <v/>
      </c>
      <c r="BD15" s="208" t="str">
        <f t="shared" si="5"/>
        <v/>
      </c>
      <c r="BE15" s="206" t="str">
        <f t="shared" si="5"/>
        <v/>
      </c>
      <c r="BF15" s="206" t="str">
        <f t="shared" si="5"/>
        <v/>
      </c>
      <c r="BG15" s="207" t="str">
        <f t="shared" si="5"/>
        <v/>
      </c>
      <c r="BH15" s="208" t="str">
        <f t="shared" si="5"/>
        <v/>
      </c>
      <c r="BI15" s="206" t="str">
        <f t="shared" si="5"/>
        <v/>
      </c>
      <c r="BJ15" s="206" t="str">
        <f t="shared" si="5"/>
        <v/>
      </c>
      <c r="BK15" s="207" t="str">
        <f t="shared" si="5"/>
        <v/>
      </c>
      <c r="BL15" s="208" t="str">
        <f t="shared" si="5"/>
        <v/>
      </c>
      <c r="BM15" s="206" t="str">
        <f t="shared" si="5"/>
        <v/>
      </c>
      <c r="BN15" s="206" t="str">
        <f t="shared" si="5"/>
        <v/>
      </c>
      <c r="BO15" s="207" t="str">
        <f t="shared" si="5"/>
        <v/>
      </c>
      <c r="BP15" s="208" t="str">
        <f t="shared" si="6"/>
        <v/>
      </c>
      <c r="BQ15" s="206" t="str">
        <f t="shared" si="6"/>
        <v/>
      </c>
      <c r="BR15" s="206" t="str">
        <f t="shared" si="6"/>
        <v/>
      </c>
      <c r="BS15" s="207" t="str">
        <f t="shared" si="6"/>
        <v/>
      </c>
      <c r="BT15" s="208" t="str">
        <f t="shared" si="6"/>
        <v/>
      </c>
      <c r="BU15" s="206" t="str">
        <f t="shared" si="6"/>
        <v/>
      </c>
      <c r="BV15" s="206" t="str">
        <f t="shared" si="6"/>
        <v/>
      </c>
      <c r="BW15" s="207" t="str">
        <f t="shared" si="6"/>
        <v/>
      </c>
      <c r="BX15" s="208" t="str">
        <f t="shared" si="6"/>
        <v/>
      </c>
      <c r="BY15" s="206" t="str">
        <f t="shared" si="6"/>
        <v/>
      </c>
      <c r="BZ15" s="206" t="str">
        <f t="shared" si="6"/>
        <v/>
      </c>
      <c r="CA15" s="207" t="str">
        <f t="shared" si="6"/>
        <v/>
      </c>
      <c r="CB15" s="208" t="str">
        <f t="shared" si="6"/>
        <v/>
      </c>
      <c r="CC15" s="206" t="str">
        <f t="shared" si="6"/>
        <v/>
      </c>
      <c r="CD15" s="206" t="str">
        <f t="shared" si="6"/>
        <v/>
      </c>
      <c r="CE15" s="207" t="str">
        <f t="shared" si="6"/>
        <v/>
      </c>
    </row>
    <row r="16" spans="1:87" ht="18" customHeight="1">
      <c r="A16" s="22">
        <f>+TABELLA!U20</f>
        <v>0</v>
      </c>
      <c r="B16" s="22">
        <f>+TABELLA!V20</f>
        <v>0</v>
      </c>
      <c r="C16" s="22">
        <f>+TABELLA!W20</f>
        <v>17.149999999999999</v>
      </c>
      <c r="D16" s="22">
        <f>+TABELLA!X20</f>
        <v>22</v>
      </c>
      <c r="E16" s="22"/>
      <c r="F16" s="26">
        <f>IF(TABELLA!B20="","",TABELLA!B20)</f>
        <v>10</v>
      </c>
      <c r="G16" s="27" t="str">
        <f>IF(TABELLA!C20="","",TABELLA!C20)</f>
        <v>ALESSANDRO</v>
      </c>
      <c r="H16" s="203" t="str">
        <f t="shared" ref="H16:W16" si="16">IF(AND(G$3&gt;=$A16,G$3&lt;$B16),1,IF(AND(G$3&gt;=$C16,G$3&lt;$D16),1,""))</f>
        <v/>
      </c>
      <c r="I16" s="203" t="str">
        <f t="shared" si="16"/>
        <v/>
      </c>
      <c r="J16" s="203" t="str">
        <f t="shared" si="16"/>
        <v/>
      </c>
      <c r="K16" s="204" t="str">
        <f t="shared" si="16"/>
        <v/>
      </c>
      <c r="L16" s="205" t="str">
        <f t="shared" si="16"/>
        <v/>
      </c>
      <c r="M16" s="203" t="str">
        <f t="shared" si="16"/>
        <v/>
      </c>
      <c r="N16" s="203" t="str">
        <f t="shared" si="16"/>
        <v/>
      </c>
      <c r="O16" s="204" t="str">
        <f t="shared" si="16"/>
        <v/>
      </c>
      <c r="P16" s="205" t="str">
        <f t="shared" si="16"/>
        <v/>
      </c>
      <c r="Q16" s="203" t="str">
        <f t="shared" si="16"/>
        <v/>
      </c>
      <c r="R16" s="203" t="str">
        <f t="shared" si="16"/>
        <v/>
      </c>
      <c r="S16" s="204" t="str">
        <f t="shared" si="16"/>
        <v/>
      </c>
      <c r="T16" s="205" t="str">
        <f t="shared" si="16"/>
        <v/>
      </c>
      <c r="U16" s="203" t="str">
        <f t="shared" si="16"/>
        <v/>
      </c>
      <c r="V16" s="203" t="str">
        <f t="shared" si="16"/>
        <v/>
      </c>
      <c r="W16" s="204" t="str">
        <f t="shared" si="16"/>
        <v/>
      </c>
      <c r="X16" s="205" t="str">
        <f t="shared" si="3"/>
        <v/>
      </c>
      <c r="Y16" s="203" t="str">
        <f t="shared" si="3"/>
        <v/>
      </c>
      <c r="Z16" s="203" t="str">
        <f t="shared" si="3"/>
        <v/>
      </c>
      <c r="AA16" s="204" t="str">
        <f t="shared" si="3"/>
        <v/>
      </c>
      <c r="AB16" s="205" t="str">
        <f t="shared" si="3"/>
        <v/>
      </c>
      <c r="AC16" s="203" t="str">
        <f t="shared" si="3"/>
        <v/>
      </c>
      <c r="AD16" s="203" t="str">
        <f t="shared" si="3"/>
        <v/>
      </c>
      <c r="AE16" s="204" t="str">
        <f t="shared" si="3"/>
        <v/>
      </c>
      <c r="AF16" s="205" t="str">
        <f t="shared" si="3"/>
        <v/>
      </c>
      <c r="AG16" s="203" t="str">
        <f t="shared" si="3"/>
        <v/>
      </c>
      <c r="AH16" s="203" t="str">
        <f t="shared" si="3"/>
        <v/>
      </c>
      <c r="AI16" s="204" t="str">
        <f t="shared" si="3"/>
        <v/>
      </c>
      <c r="AJ16" s="205" t="str">
        <f t="shared" si="3"/>
        <v/>
      </c>
      <c r="AK16" s="203" t="str">
        <f t="shared" si="3"/>
        <v/>
      </c>
      <c r="AL16" s="203" t="str">
        <f t="shared" si="3"/>
        <v/>
      </c>
      <c r="AM16" s="204" t="str">
        <f t="shared" si="3"/>
        <v/>
      </c>
      <c r="AN16" s="205" t="str">
        <f t="shared" si="4"/>
        <v/>
      </c>
      <c r="AO16" s="203" t="str">
        <f t="shared" si="4"/>
        <v/>
      </c>
      <c r="AP16" s="203" t="str">
        <f t="shared" si="4"/>
        <v/>
      </c>
      <c r="AQ16" s="204" t="str">
        <f t="shared" si="4"/>
        <v/>
      </c>
      <c r="AR16" s="205" t="str">
        <f t="shared" si="4"/>
        <v/>
      </c>
      <c r="AS16" s="203" t="str">
        <f t="shared" si="4"/>
        <v/>
      </c>
      <c r="AT16" s="203" t="str">
        <f t="shared" si="4"/>
        <v/>
      </c>
      <c r="AU16" s="204" t="str">
        <f t="shared" si="4"/>
        <v/>
      </c>
      <c r="AV16" s="205" t="str">
        <f t="shared" si="4"/>
        <v/>
      </c>
      <c r="AW16" s="203" t="str">
        <f t="shared" si="4"/>
        <v/>
      </c>
      <c r="AX16" s="203" t="str">
        <f t="shared" si="4"/>
        <v/>
      </c>
      <c r="AY16" s="204" t="str">
        <f t="shared" si="4"/>
        <v/>
      </c>
      <c r="AZ16" s="205" t="str">
        <f t="shared" si="4"/>
        <v/>
      </c>
      <c r="BA16" s="203" t="str">
        <f t="shared" si="4"/>
        <v/>
      </c>
      <c r="BB16" s="203" t="str">
        <f t="shared" si="4"/>
        <v/>
      </c>
      <c r="BC16" s="204" t="str">
        <f t="shared" si="4"/>
        <v/>
      </c>
      <c r="BD16" s="205" t="str">
        <f t="shared" si="5"/>
        <v/>
      </c>
      <c r="BE16" s="203">
        <f t="shared" si="5"/>
        <v>1</v>
      </c>
      <c r="BF16" s="203">
        <f t="shared" si="5"/>
        <v>1</v>
      </c>
      <c r="BG16" s="204">
        <f t="shared" si="5"/>
        <v>1</v>
      </c>
      <c r="BH16" s="205">
        <f t="shared" si="5"/>
        <v>1</v>
      </c>
      <c r="BI16" s="203">
        <f t="shared" si="5"/>
        <v>1</v>
      </c>
      <c r="BJ16" s="203">
        <f t="shared" si="5"/>
        <v>1</v>
      </c>
      <c r="BK16" s="204">
        <f t="shared" si="5"/>
        <v>1</v>
      </c>
      <c r="BL16" s="205">
        <f t="shared" si="5"/>
        <v>1</v>
      </c>
      <c r="BM16" s="203">
        <f t="shared" si="5"/>
        <v>1</v>
      </c>
      <c r="BN16" s="203">
        <f t="shared" si="5"/>
        <v>1</v>
      </c>
      <c r="BO16" s="204">
        <f t="shared" si="5"/>
        <v>1</v>
      </c>
      <c r="BP16" s="205">
        <f t="shared" si="6"/>
        <v>1</v>
      </c>
      <c r="BQ16" s="203">
        <f t="shared" si="6"/>
        <v>1</v>
      </c>
      <c r="BR16" s="203">
        <f t="shared" si="6"/>
        <v>1</v>
      </c>
      <c r="BS16" s="204">
        <f t="shared" si="6"/>
        <v>1</v>
      </c>
      <c r="BT16" s="205">
        <f t="shared" si="6"/>
        <v>1</v>
      </c>
      <c r="BU16" s="203">
        <f t="shared" si="6"/>
        <v>1</v>
      </c>
      <c r="BV16" s="203">
        <f t="shared" si="6"/>
        <v>1</v>
      </c>
      <c r="BW16" s="204">
        <f t="shared" si="6"/>
        <v>1</v>
      </c>
      <c r="BX16" s="205" t="str">
        <f t="shared" si="6"/>
        <v/>
      </c>
      <c r="BY16" s="203" t="str">
        <f t="shared" si="6"/>
        <v/>
      </c>
      <c r="BZ16" s="203" t="str">
        <f t="shared" si="6"/>
        <v/>
      </c>
      <c r="CA16" s="204" t="str">
        <f t="shared" si="6"/>
        <v/>
      </c>
      <c r="CB16" s="205" t="str">
        <f t="shared" si="6"/>
        <v/>
      </c>
      <c r="CC16" s="203" t="str">
        <f t="shared" si="6"/>
        <v/>
      </c>
      <c r="CD16" s="203" t="str">
        <f t="shared" si="6"/>
        <v/>
      </c>
      <c r="CE16" s="204" t="str">
        <f t="shared" si="6"/>
        <v/>
      </c>
    </row>
    <row r="17" spans="1:83" ht="18" customHeight="1">
      <c r="A17" s="22">
        <f>+TABELLA!U21</f>
        <v>0</v>
      </c>
      <c r="B17" s="22">
        <f>+TABELLA!V21</f>
        <v>0</v>
      </c>
      <c r="C17" s="22">
        <f>+TABELLA!W21</f>
        <v>0</v>
      </c>
      <c r="D17" s="22">
        <f>+TABELLA!X21</f>
        <v>0</v>
      </c>
      <c r="E17" s="22"/>
      <c r="F17" s="41">
        <f>IF(TABELLA!B21="","",TABELLA!B21)</f>
        <v>1</v>
      </c>
      <c r="G17" s="42" t="str">
        <f>IF(TABELLA!C21="","",TABELLA!C21)</f>
        <v/>
      </c>
      <c r="H17" s="206" t="str">
        <f t="shared" ref="H17:W17" si="17">IF(AND(G$3&gt;=$A17,G$3&lt;$B17),1,IF(AND(G$3&gt;=$C17,G$3&lt;$D17),1,""))</f>
        <v/>
      </c>
      <c r="I17" s="206" t="str">
        <f t="shared" si="17"/>
        <v/>
      </c>
      <c r="J17" s="206" t="str">
        <f t="shared" si="17"/>
        <v/>
      </c>
      <c r="K17" s="207" t="str">
        <f t="shared" si="17"/>
        <v/>
      </c>
      <c r="L17" s="208" t="str">
        <f t="shared" si="17"/>
        <v/>
      </c>
      <c r="M17" s="206" t="str">
        <f t="shared" si="17"/>
        <v/>
      </c>
      <c r="N17" s="206" t="str">
        <f t="shared" si="17"/>
        <v/>
      </c>
      <c r="O17" s="207" t="str">
        <f t="shared" si="17"/>
        <v/>
      </c>
      <c r="P17" s="208" t="str">
        <f t="shared" si="17"/>
        <v/>
      </c>
      <c r="Q17" s="206" t="str">
        <f t="shared" si="17"/>
        <v/>
      </c>
      <c r="R17" s="206" t="str">
        <f t="shared" si="17"/>
        <v/>
      </c>
      <c r="S17" s="207" t="str">
        <f t="shared" si="17"/>
        <v/>
      </c>
      <c r="T17" s="208" t="str">
        <f t="shared" si="17"/>
        <v/>
      </c>
      <c r="U17" s="206" t="str">
        <f t="shared" si="17"/>
        <v/>
      </c>
      <c r="V17" s="206" t="str">
        <f t="shared" si="17"/>
        <v/>
      </c>
      <c r="W17" s="207" t="str">
        <f t="shared" si="17"/>
        <v/>
      </c>
      <c r="X17" s="208" t="str">
        <f t="shared" si="3"/>
        <v/>
      </c>
      <c r="Y17" s="206" t="str">
        <f t="shared" si="3"/>
        <v/>
      </c>
      <c r="Z17" s="206" t="str">
        <f t="shared" si="3"/>
        <v/>
      </c>
      <c r="AA17" s="207" t="str">
        <f t="shared" si="3"/>
        <v/>
      </c>
      <c r="AB17" s="208" t="str">
        <f t="shared" si="3"/>
        <v/>
      </c>
      <c r="AC17" s="206" t="str">
        <f t="shared" si="3"/>
        <v/>
      </c>
      <c r="AD17" s="206" t="str">
        <f t="shared" si="3"/>
        <v/>
      </c>
      <c r="AE17" s="207" t="str">
        <f t="shared" si="3"/>
        <v/>
      </c>
      <c r="AF17" s="208" t="str">
        <f t="shared" si="3"/>
        <v/>
      </c>
      <c r="AG17" s="206" t="str">
        <f t="shared" si="3"/>
        <v/>
      </c>
      <c r="AH17" s="206" t="str">
        <f t="shared" si="3"/>
        <v/>
      </c>
      <c r="AI17" s="207" t="str">
        <f t="shared" si="3"/>
        <v/>
      </c>
      <c r="AJ17" s="208" t="str">
        <f t="shared" si="3"/>
        <v/>
      </c>
      <c r="AK17" s="206" t="str">
        <f t="shared" si="3"/>
        <v/>
      </c>
      <c r="AL17" s="206" t="str">
        <f t="shared" si="3"/>
        <v/>
      </c>
      <c r="AM17" s="207" t="str">
        <f t="shared" si="3"/>
        <v/>
      </c>
      <c r="AN17" s="208" t="str">
        <f t="shared" si="4"/>
        <v/>
      </c>
      <c r="AO17" s="206" t="str">
        <f t="shared" si="4"/>
        <v/>
      </c>
      <c r="AP17" s="206" t="str">
        <f t="shared" si="4"/>
        <v/>
      </c>
      <c r="AQ17" s="207" t="str">
        <f t="shared" si="4"/>
        <v/>
      </c>
      <c r="AR17" s="208" t="str">
        <f t="shared" si="4"/>
        <v/>
      </c>
      <c r="AS17" s="206" t="str">
        <f t="shared" si="4"/>
        <v/>
      </c>
      <c r="AT17" s="206" t="str">
        <f t="shared" si="4"/>
        <v/>
      </c>
      <c r="AU17" s="207" t="str">
        <f t="shared" si="4"/>
        <v/>
      </c>
      <c r="AV17" s="208" t="str">
        <f t="shared" si="4"/>
        <v/>
      </c>
      <c r="AW17" s="206" t="str">
        <f t="shared" si="4"/>
        <v/>
      </c>
      <c r="AX17" s="206" t="str">
        <f t="shared" si="4"/>
        <v/>
      </c>
      <c r="AY17" s="207" t="str">
        <f t="shared" si="4"/>
        <v/>
      </c>
      <c r="AZ17" s="208" t="str">
        <f t="shared" si="4"/>
        <v/>
      </c>
      <c r="BA17" s="206" t="str">
        <f t="shared" si="4"/>
        <v/>
      </c>
      <c r="BB17" s="206" t="str">
        <f t="shared" si="4"/>
        <v/>
      </c>
      <c r="BC17" s="207" t="str">
        <f t="shared" si="4"/>
        <v/>
      </c>
      <c r="BD17" s="208" t="str">
        <f t="shared" si="5"/>
        <v/>
      </c>
      <c r="BE17" s="206" t="str">
        <f t="shared" si="5"/>
        <v/>
      </c>
      <c r="BF17" s="206" t="str">
        <f t="shared" si="5"/>
        <v/>
      </c>
      <c r="BG17" s="207" t="str">
        <f t="shared" si="5"/>
        <v/>
      </c>
      <c r="BH17" s="208" t="str">
        <f t="shared" si="5"/>
        <v/>
      </c>
      <c r="BI17" s="206" t="str">
        <f t="shared" si="5"/>
        <v/>
      </c>
      <c r="BJ17" s="206" t="str">
        <f t="shared" si="5"/>
        <v/>
      </c>
      <c r="BK17" s="207" t="str">
        <f t="shared" si="5"/>
        <v/>
      </c>
      <c r="BL17" s="208" t="str">
        <f t="shared" si="5"/>
        <v/>
      </c>
      <c r="BM17" s="206" t="str">
        <f t="shared" si="5"/>
        <v/>
      </c>
      <c r="BN17" s="206" t="str">
        <f t="shared" si="5"/>
        <v/>
      </c>
      <c r="BO17" s="207" t="str">
        <f t="shared" si="5"/>
        <v/>
      </c>
      <c r="BP17" s="208" t="str">
        <f t="shared" si="6"/>
        <v/>
      </c>
      <c r="BQ17" s="206" t="str">
        <f t="shared" si="6"/>
        <v/>
      </c>
      <c r="BR17" s="206" t="str">
        <f t="shared" si="6"/>
        <v/>
      </c>
      <c r="BS17" s="207" t="str">
        <f t="shared" si="6"/>
        <v/>
      </c>
      <c r="BT17" s="208" t="str">
        <f t="shared" si="6"/>
        <v/>
      </c>
      <c r="BU17" s="206" t="str">
        <f t="shared" si="6"/>
        <v/>
      </c>
      <c r="BV17" s="206" t="str">
        <f t="shared" si="6"/>
        <v/>
      </c>
      <c r="BW17" s="207" t="str">
        <f t="shared" si="6"/>
        <v/>
      </c>
      <c r="BX17" s="208" t="str">
        <f t="shared" si="6"/>
        <v/>
      </c>
      <c r="BY17" s="206" t="str">
        <f t="shared" si="6"/>
        <v/>
      </c>
      <c r="BZ17" s="206" t="str">
        <f t="shared" si="6"/>
        <v/>
      </c>
      <c r="CA17" s="207" t="str">
        <f t="shared" si="6"/>
        <v/>
      </c>
      <c r="CB17" s="208" t="str">
        <f t="shared" si="6"/>
        <v/>
      </c>
      <c r="CC17" s="206" t="str">
        <f t="shared" si="6"/>
        <v/>
      </c>
      <c r="CD17" s="206" t="str">
        <f t="shared" si="6"/>
        <v/>
      </c>
      <c r="CE17" s="207" t="str">
        <f t="shared" si="6"/>
        <v/>
      </c>
    </row>
    <row r="18" spans="1:83" ht="18" customHeight="1">
      <c r="A18" s="22">
        <f>+TABELLA!U22</f>
        <v>0</v>
      </c>
      <c r="B18" s="22">
        <f>+TABELLA!V22</f>
        <v>0</v>
      </c>
      <c r="C18" s="22">
        <f>+TABELLA!W22</f>
        <v>0</v>
      </c>
      <c r="D18" s="22">
        <f>+TABELLA!X22</f>
        <v>0</v>
      </c>
      <c r="E18" s="22"/>
      <c r="F18" s="26">
        <f>IF(TABELLA!B22="","",TABELLA!B22)</f>
        <v>1</v>
      </c>
      <c r="G18" s="27" t="str">
        <f>IF(TABELLA!C22="","",TABELLA!C22)</f>
        <v/>
      </c>
      <c r="H18" s="203" t="str">
        <f t="shared" ref="H18:W18" si="18">IF(AND(G$3&gt;=$A18,G$3&lt;$B18),1,IF(AND(G$3&gt;=$C18,G$3&lt;$D18),1,""))</f>
        <v/>
      </c>
      <c r="I18" s="203" t="str">
        <f t="shared" si="18"/>
        <v/>
      </c>
      <c r="J18" s="203" t="str">
        <f t="shared" si="18"/>
        <v/>
      </c>
      <c r="K18" s="204" t="str">
        <f t="shared" si="18"/>
        <v/>
      </c>
      <c r="L18" s="205" t="str">
        <f t="shared" si="18"/>
        <v/>
      </c>
      <c r="M18" s="203" t="str">
        <f t="shared" si="18"/>
        <v/>
      </c>
      <c r="N18" s="203" t="str">
        <f t="shared" si="18"/>
        <v/>
      </c>
      <c r="O18" s="204" t="str">
        <f t="shared" si="18"/>
        <v/>
      </c>
      <c r="P18" s="205" t="str">
        <f t="shared" si="18"/>
        <v/>
      </c>
      <c r="Q18" s="203" t="str">
        <f t="shared" si="18"/>
        <v/>
      </c>
      <c r="R18" s="203" t="str">
        <f t="shared" si="18"/>
        <v/>
      </c>
      <c r="S18" s="204" t="str">
        <f t="shared" si="18"/>
        <v/>
      </c>
      <c r="T18" s="205" t="str">
        <f t="shared" si="18"/>
        <v/>
      </c>
      <c r="U18" s="203" t="str">
        <f t="shared" si="18"/>
        <v/>
      </c>
      <c r="V18" s="203" t="str">
        <f t="shared" si="18"/>
        <v/>
      </c>
      <c r="W18" s="204" t="str">
        <f t="shared" si="18"/>
        <v/>
      </c>
      <c r="X18" s="205" t="str">
        <f t="shared" si="3"/>
        <v/>
      </c>
      <c r="Y18" s="203" t="str">
        <f t="shared" si="3"/>
        <v/>
      </c>
      <c r="Z18" s="203" t="str">
        <f t="shared" si="3"/>
        <v/>
      </c>
      <c r="AA18" s="204" t="str">
        <f t="shared" si="3"/>
        <v/>
      </c>
      <c r="AB18" s="205" t="str">
        <f t="shared" si="3"/>
        <v/>
      </c>
      <c r="AC18" s="203" t="str">
        <f t="shared" si="3"/>
        <v/>
      </c>
      <c r="AD18" s="203" t="str">
        <f t="shared" si="3"/>
        <v/>
      </c>
      <c r="AE18" s="204" t="str">
        <f t="shared" si="3"/>
        <v/>
      </c>
      <c r="AF18" s="205" t="str">
        <f t="shared" si="3"/>
        <v/>
      </c>
      <c r="AG18" s="203" t="str">
        <f t="shared" si="3"/>
        <v/>
      </c>
      <c r="AH18" s="203" t="str">
        <f t="shared" si="3"/>
        <v/>
      </c>
      <c r="AI18" s="204" t="str">
        <f t="shared" si="3"/>
        <v/>
      </c>
      <c r="AJ18" s="205" t="str">
        <f t="shared" si="3"/>
        <v/>
      </c>
      <c r="AK18" s="203" t="str">
        <f t="shared" si="3"/>
        <v/>
      </c>
      <c r="AL18" s="203" t="str">
        <f t="shared" si="3"/>
        <v/>
      </c>
      <c r="AM18" s="204" t="str">
        <f t="shared" si="3"/>
        <v/>
      </c>
      <c r="AN18" s="205" t="str">
        <f t="shared" si="4"/>
        <v/>
      </c>
      <c r="AO18" s="203" t="str">
        <f t="shared" si="4"/>
        <v/>
      </c>
      <c r="AP18" s="203" t="str">
        <f t="shared" si="4"/>
        <v/>
      </c>
      <c r="AQ18" s="204" t="str">
        <f t="shared" si="4"/>
        <v/>
      </c>
      <c r="AR18" s="205" t="str">
        <f t="shared" si="4"/>
        <v/>
      </c>
      <c r="AS18" s="203" t="str">
        <f t="shared" si="4"/>
        <v/>
      </c>
      <c r="AT18" s="203" t="str">
        <f t="shared" si="4"/>
        <v/>
      </c>
      <c r="AU18" s="204" t="str">
        <f t="shared" si="4"/>
        <v/>
      </c>
      <c r="AV18" s="205" t="str">
        <f t="shared" si="4"/>
        <v/>
      </c>
      <c r="AW18" s="203" t="str">
        <f t="shared" si="4"/>
        <v/>
      </c>
      <c r="AX18" s="203" t="str">
        <f t="shared" si="4"/>
        <v/>
      </c>
      <c r="AY18" s="204" t="str">
        <f t="shared" si="4"/>
        <v/>
      </c>
      <c r="AZ18" s="205" t="str">
        <f t="shared" si="4"/>
        <v/>
      </c>
      <c r="BA18" s="203" t="str">
        <f t="shared" si="4"/>
        <v/>
      </c>
      <c r="BB18" s="203" t="str">
        <f t="shared" si="4"/>
        <v/>
      </c>
      <c r="BC18" s="204" t="str">
        <f t="shared" si="4"/>
        <v/>
      </c>
      <c r="BD18" s="205" t="str">
        <f t="shared" si="5"/>
        <v/>
      </c>
      <c r="BE18" s="203" t="str">
        <f t="shared" si="5"/>
        <v/>
      </c>
      <c r="BF18" s="203" t="str">
        <f t="shared" si="5"/>
        <v/>
      </c>
      <c r="BG18" s="204" t="str">
        <f t="shared" si="5"/>
        <v/>
      </c>
      <c r="BH18" s="205" t="str">
        <f t="shared" si="5"/>
        <v/>
      </c>
      <c r="BI18" s="203" t="str">
        <f t="shared" si="5"/>
        <v/>
      </c>
      <c r="BJ18" s="203" t="str">
        <f t="shared" si="5"/>
        <v/>
      </c>
      <c r="BK18" s="204" t="str">
        <f t="shared" si="5"/>
        <v/>
      </c>
      <c r="BL18" s="205" t="str">
        <f t="shared" si="5"/>
        <v/>
      </c>
      <c r="BM18" s="203" t="str">
        <f t="shared" si="5"/>
        <v/>
      </c>
      <c r="BN18" s="203" t="str">
        <f t="shared" si="5"/>
        <v/>
      </c>
      <c r="BO18" s="204" t="str">
        <f t="shared" si="5"/>
        <v/>
      </c>
      <c r="BP18" s="205" t="str">
        <f t="shared" si="6"/>
        <v/>
      </c>
      <c r="BQ18" s="203" t="str">
        <f t="shared" si="6"/>
        <v/>
      </c>
      <c r="BR18" s="203" t="str">
        <f t="shared" si="6"/>
        <v/>
      </c>
      <c r="BS18" s="204" t="str">
        <f t="shared" si="6"/>
        <v/>
      </c>
      <c r="BT18" s="205" t="str">
        <f t="shared" si="6"/>
        <v/>
      </c>
      <c r="BU18" s="203" t="str">
        <f t="shared" si="6"/>
        <v/>
      </c>
      <c r="BV18" s="203" t="str">
        <f t="shared" si="6"/>
        <v/>
      </c>
      <c r="BW18" s="204" t="str">
        <f t="shared" si="6"/>
        <v/>
      </c>
      <c r="BX18" s="205" t="str">
        <f t="shared" si="6"/>
        <v/>
      </c>
      <c r="BY18" s="203" t="str">
        <f t="shared" si="6"/>
        <v/>
      </c>
      <c r="BZ18" s="203" t="str">
        <f t="shared" si="6"/>
        <v/>
      </c>
      <c r="CA18" s="204" t="str">
        <f t="shared" si="6"/>
        <v/>
      </c>
      <c r="CB18" s="205" t="str">
        <f t="shared" si="6"/>
        <v/>
      </c>
      <c r="CC18" s="203" t="str">
        <f t="shared" si="6"/>
        <v/>
      </c>
      <c r="CD18" s="203" t="str">
        <f t="shared" si="6"/>
        <v/>
      </c>
      <c r="CE18" s="204" t="str">
        <f t="shared" si="6"/>
        <v/>
      </c>
    </row>
    <row r="19" spans="1:83" ht="18" customHeight="1">
      <c r="A19" s="22">
        <f>+TABELLA!U23</f>
        <v>0</v>
      </c>
      <c r="B19" s="22">
        <f>+TABELLA!V23</f>
        <v>0</v>
      </c>
      <c r="C19" s="22">
        <f>+TABELLA!W23</f>
        <v>0</v>
      </c>
      <c r="D19" s="22">
        <f>+TABELLA!X23</f>
        <v>0</v>
      </c>
      <c r="E19" s="22"/>
      <c r="F19" s="41">
        <f>IF(TABELLA!B23="","",TABELLA!B23)</f>
        <v>1</v>
      </c>
      <c r="G19" s="42" t="str">
        <f>IF(TABELLA!C23="","",TABELLA!C23)</f>
        <v>BALDAZZI ENRICO</v>
      </c>
      <c r="H19" s="206" t="str">
        <f t="shared" ref="H19:W19" si="19">IF(AND(G$3&gt;=$A19,G$3&lt;$B19),1,IF(AND(G$3&gt;=$C19,G$3&lt;$D19),1,""))</f>
        <v/>
      </c>
      <c r="I19" s="206" t="str">
        <f t="shared" si="19"/>
        <v/>
      </c>
      <c r="J19" s="206" t="str">
        <f t="shared" si="19"/>
        <v/>
      </c>
      <c r="K19" s="207" t="str">
        <f t="shared" si="19"/>
        <v/>
      </c>
      <c r="L19" s="208" t="str">
        <f t="shared" si="19"/>
        <v/>
      </c>
      <c r="M19" s="206" t="str">
        <f t="shared" si="19"/>
        <v/>
      </c>
      <c r="N19" s="206" t="str">
        <f t="shared" si="19"/>
        <v/>
      </c>
      <c r="O19" s="207" t="str">
        <f t="shared" si="19"/>
        <v/>
      </c>
      <c r="P19" s="208" t="str">
        <f t="shared" si="19"/>
        <v/>
      </c>
      <c r="Q19" s="206" t="str">
        <f t="shared" si="19"/>
        <v/>
      </c>
      <c r="R19" s="206" t="str">
        <f t="shared" si="19"/>
        <v/>
      </c>
      <c r="S19" s="207" t="str">
        <f t="shared" si="19"/>
        <v/>
      </c>
      <c r="T19" s="208" t="str">
        <f t="shared" si="19"/>
        <v/>
      </c>
      <c r="U19" s="206" t="str">
        <f t="shared" si="19"/>
        <v/>
      </c>
      <c r="V19" s="206" t="str">
        <f t="shared" si="19"/>
        <v/>
      </c>
      <c r="W19" s="207" t="str">
        <f t="shared" si="19"/>
        <v/>
      </c>
      <c r="X19" s="208" t="str">
        <f t="shared" si="3"/>
        <v/>
      </c>
      <c r="Y19" s="206" t="str">
        <f t="shared" si="3"/>
        <v/>
      </c>
      <c r="Z19" s="206" t="str">
        <f t="shared" si="3"/>
        <v/>
      </c>
      <c r="AA19" s="207" t="str">
        <f t="shared" si="3"/>
        <v/>
      </c>
      <c r="AB19" s="208" t="str">
        <f t="shared" si="3"/>
        <v/>
      </c>
      <c r="AC19" s="206" t="str">
        <f t="shared" si="3"/>
        <v/>
      </c>
      <c r="AD19" s="206" t="str">
        <f t="shared" si="3"/>
        <v/>
      </c>
      <c r="AE19" s="207" t="str">
        <f t="shared" si="3"/>
        <v/>
      </c>
      <c r="AF19" s="208" t="str">
        <f t="shared" si="3"/>
        <v/>
      </c>
      <c r="AG19" s="206" t="str">
        <f t="shared" si="3"/>
        <v/>
      </c>
      <c r="AH19" s="206" t="str">
        <f t="shared" si="3"/>
        <v/>
      </c>
      <c r="AI19" s="207" t="str">
        <f t="shared" si="3"/>
        <v/>
      </c>
      <c r="AJ19" s="208" t="str">
        <f t="shared" si="3"/>
        <v/>
      </c>
      <c r="AK19" s="206" t="str">
        <f t="shared" si="3"/>
        <v/>
      </c>
      <c r="AL19" s="206" t="str">
        <f t="shared" si="3"/>
        <v/>
      </c>
      <c r="AM19" s="207" t="str">
        <f t="shared" si="3"/>
        <v/>
      </c>
      <c r="AN19" s="208" t="str">
        <f t="shared" si="4"/>
        <v/>
      </c>
      <c r="AO19" s="206" t="str">
        <f t="shared" si="4"/>
        <v/>
      </c>
      <c r="AP19" s="206" t="str">
        <f t="shared" si="4"/>
        <v/>
      </c>
      <c r="AQ19" s="207" t="str">
        <f t="shared" si="4"/>
        <v/>
      </c>
      <c r="AR19" s="208" t="str">
        <f t="shared" si="4"/>
        <v/>
      </c>
      <c r="AS19" s="206" t="str">
        <f t="shared" si="4"/>
        <v/>
      </c>
      <c r="AT19" s="206" t="str">
        <f t="shared" si="4"/>
        <v/>
      </c>
      <c r="AU19" s="207" t="str">
        <f t="shared" si="4"/>
        <v/>
      </c>
      <c r="AV19" s="208" t="str">
        <f t="shared" si="4"/>
        <v/>
      </c>
      <c r="AW19" s="206" t="str">
        <f t="shared" si="4"/>
        <v/>
      </c>
      <c r="AX19" s="206" t="str">
        <f t="shared" si="4"/>
        <v/>
      </c>
      <c r="AY19" s="207" t="str">
        <f t="shared" si="4"/>
        <v/>
      </c>
      <c r="AZ19" s="208" t="str">
        <f t="shared" si="4"/>
        <v/>
      </c>
      <c r="BA19" s="206" t="str">
        <f t="shared" si="4"/>
        <v/>
      </c>
      <c r="BB19" s="206" t="str">
        <f t="shared" si="4"/>
        <v/>
      </c>
      <c r="BC19" s="207" t="str">
        <f t="shared" si="4"/>
        <v/>
      </c>
      <c r="BD19" s="208" t="str">
        <f t="shared" si="5"/>
        <v/>
      </c>
      <c r="BE19" s="206" t="str">
        <f t="shared" si="5"/>
        <v/>
      </c>
      <c r="BF19" s="206" t="str">
        <f t="shared" si="5"/>
        <v/>
      </c>
      <c r="BG19" s="207" t="str">
        <f t="shared" si="5"/>
        <v/>
      </c>
      <c r="BH19" s="208" t="str">
        <f t="shared" si="5"/>
        <v/>
      </c>
      <c r="BI19" s="206" t="str">
        <f t="shared" si="5"/>
        <v/>
      </c>
      <c r="BJ19" s="206" t="str">
        <f t="shared" si="5"/>
        <v/>
      </c>
      <c r="BK19" s="207" t="str">
        <f t="shared" si="5"/>
        <v/>
      </c>
      <c r="BL19" s="208" t="str">
        <f t="shared" si="5"/>
        <v/>
      </c>
      <c r="BM19" s="206" t="str">
        <f t="shared" si="5"/>
        <v/>
      </c>
      <c r="BN19" s="206" t="str">
        <f t="shared" si="5"/>
        <v/>
      </c>
      <c r="BO19" s="207" t="str">
        <f t="shared" si="5"/>
        <v/>
      </c>
      <c r="BP19" s="208" t="str">
        <f t="shared" si="6"/>
        <v/>
      </c>
      <c r="BQ19" s="206" t="str">
        <f t="shared" si="6"/>
        <v/>
      </c>
      <c r="BR19" s="206" t="str">
        <f t="shared" si="6"/>
        <v/>
      </c>
      <c r="BS19" s="207" t="str">
        <f t="shared" si="6"/>
        <v/>
      </c>
      <c r="BT19" s="208" t="str">
        <f t="shared" si="6"/>
        <v/>
      </c>
      <c r="BU19" s="206" t="str">
        <f t="shared" si="6"/>
        <v/>
      </c>
      <c r="BV19" s="206" t="str">
        <f t="shared" si="6"/>
        <v/>
      </c>
      <c r="BW19" s="207" t="str">
        <f t="shared" si="6"/>
        <v/>
      </c>
      <c r="BX19" s="208" t="str">
        <f t="shared" si="6"/>
        <v/>
      </c>
      <c r="BY19" s="206" t="str">
        <f t="shared" si="6"/>
        <v/>
      </c>
      <c r="BZ19" s="206" t="str">
        <f t="shared" si="6"/>
        <v/>
      </c>
      <c r="CA19" s="207" t="str">
        <f t="shared" si="6"/>
        <v/>
      </c>
      <c r="CB19" s="208" t="str">
        <f t="shared" si="6"/>
        <v/>
      </c>
      <c r="CC19" s="206" t="str">
        <f t="shared" si="6"/>
        <v/>
      </c>
      <c r="CD19" s="206" t="str">
        <f t="shared" si="6"/>
        <v/>
      </c>
      <c r="CE19" s="207" t="str">
        <f t="shared" si="6"/>
        <v/>
      </c>
    </row>
    <row r="20" spans="1:83" ht="18" customHeight="1">
      <c r="A20" s="22">
        <f>+TABELLA!U24</f>
        <v>0</v>
      </c>
      <c r="B20" s="22">
        <f>+TABELLA!V24</f>
        <v>0</v>
      </c>
      <c r="C20" s="22">
        <f>+TABELLA!W24</f>
        <v>0</v>
      </c>
      <c r="D20" s="22">
        <f>+TABELLA!X24</f>
        <v>0</v>
      </c>
      <c r="E20" s="22"/>
      <c r="F20" s="26">
        <f>IF(TABELLA!B24="","",TABELLA!B24)</f>
        <v>12</v>
      </c>
      <c r="G20" s="27" t="str">
        <f>IF(TABELLA!C24="","",TABELLA!C24)</f>
        <v>xx</v>
      </c>
      <c r="H20" s="203" t="str">
        <f t="shared" ref="H20:W20" si="20">IF(AND(G$3&gt;=$A20,G$3&lt;$B20),1,IF(AND(G$3&gt;=$C20,G$3&lt;$D20),1,""))</f>
        <v/>
      </c>
      <c r="I20" s="203" t="str">
        <f t="shared" si="20"/>
        <v/>
      </c>
      <c r="J20" s="203" t="str">
        <f t="shared" si="20"/>
        <v/>
      </c>
      <c r="K20" s="204" t="str">
        <f t="shared" si="20"/>
        <v/>
      </c>
      <c r="L20" s="205" t="str">
        <f t="shared" si="20"/>
        <v/>
      </c>
      <c r="M20" s="203" t="str">
        <f t="shared" si="20"/>
        <v/>
      </c>
      <c r="N20" s="203" t="str">
        <f t="shared" si="20"/>
        <v/>
      </c>
      <c r="O20" s="204" t="str">
        <f t="shared" si="20"/>
        <v/>
      </c>
      <c r="P20" s="205" t="str">
        <f t="shared" si="20"/>
        <v/>
      </c>
      <c r="Q20" s="203" t="str">
        <f t="shared" si="20"/>
        <v/>
      </c>
      <c r="R20" s="203" t="str">
        <f t="shared" si="20"/>
        <v/>
      </c>
      <c r="S20" s="204" t="str">
        <f t="shared" si="20"/>
        <v/>
      </c>
      <c r="T20" s="205" t="str">
        <f t="shared" si="20"/>
        <v/>
      </c>
      <c r="U20" s="203" t="str">
        <f t="shared" si="20"/>
        <v/>
      </c>
      <c r="V20" s="203" t="str">
        <f t="shared" si="20"/>
        <v/>
      </c>
      <c r="W20" s="204" t="str">
        <f t="shared" si="20"/>
        <v/>
      </c>
      <c r="X20" s="205" t="str">
        <f t="shared" si="3"/>
        <v/>
      </c>
      <c r="Y20" s="203" t="str">
        <f t="shared" si="3"/>
        <v/>
      </c>
      <c r="Z20" s="203" t="str">
        <f t="shared" si="3"/>
        <v/>
      </c>
      <c r="AA20" s="204" t="str">
        <f t="shared" si="3"/>
        <v/>
      </c>
      <c r="AB20" s="205" t="str">
        <f t="shared" si="3"/>
        <v/>
      </c>
      <c r="AC20" s="203" t="str">
        <f t="shared" si="3"/>
        <v/>
      </c>
      <c r="AD20" s="203" t="str">
        <f t="shared" si="3"/>
        <v/>
      </c>
      <c r="AE20" s="204" t="str">
        <f t="shared" si="3"/>
        <v/>
      </c>
      <c r="AF20" s="205" t="str">
        <f t="shared" si="3"/>
        <v/>
      </c>
      <c r="AG20" s="203" t="str">
        <f t="shared" si="3"/>
        <v/>
      </c>
      <c r="AH20" s="203" t="str">
        <f t="shared" si="3"/>
        <v/>
      </c>
      <c r="AI20" s="204" t="str">
        <f t="shared" si="3"/>
        <v/>
      </c>
      <c r="AJ20" s="205" t="str">
        <f t="shared" si="3"/>
        <v/>
      </c>
      <c r="AK20" s="203" t="str">
        <f t="shared" si="3"/>
        <v/>
      </c>
      <c r="AL20" s="203" t="str">
        <f t="shared" si="3"/>
        <v/>
      </c>
      <c r="AM20" s="204" t="str">
        <f t="shared" si="3"/>
        <v/>
      </c>
      <c r="AN20" s="205" t="str">
        <f t="shared" si="4"/>
        <v/>
      </c>
      <c r="AO20" s="203" t="str">
        <f t="shared" si="4"/>
        <v/>
      </c>
      <c r="AP20" s="203" t="str">
        <f t="shared" si="4"/>
        <v/>
      </c>
      <c r="AQ20" s="204" t="str">
        <f t="shared" si="4"/>
        <v/>
      </c>
      <c r="AR20" s="205" t="str">
        <f t="shared" si="4"/>
        <v/>
      </c>
      <c r="AS20" s="203" t="str">
        <f t="shared" si="4"/>
        <v/>
      </c>
      <c r="AT20" s="203" t="str">
        <f t="shared" si="4"/>
        <v/>
      </c>
      <c r="AU20" s="204" t="str">
        <f t="shared" si="4"/>
        <v/>
      </c>
      <c r="AV20" s="205" t="str">
        <f t="shared" si="4"/>
        <v/>
      </c>
      <c r="AW20" s="203" t="str">
        <f t="shared" si="4"/>
        <v/>
      </c>
      <c r="AX20" s="203" t="str">
        <f t="shared" si="4"/>
        <v/>
      </c>
      <c r="AY20" s="204" t="str">
        <f t="shared" si="4"/>
        <v/>
      </c>
      <c r="AZ20" s="205" t="str">
        <f t="shared" si="4"/>
        <v/>
      </c>
      <c r="BA20" s="203" t="str">
        <f t="shared" si="4"/>
        <v/>
      </c>
      <c r="BB20" s="203" t="str">
        <f t="shared" si="4"/>
        <v/>
      </c>
      <c r="BC20" s="204" t="str">
        <f t="shared" si="4"/>
        <v/>
      </c>
      <c r="BD20" s="205" t="str">
        <f t="shared" si="5"/>
        <v/>
      </c>
      <c r="BE20" s="203" t="str">
        <f t="shared" si="5"/>
        <v/>
      </c>
      <c r="BF20" s="203" t="str">
        <f t="shared" si="5"/>
        <v/>
      </c>
      <c r="BG20" s="204" t="str">
        <f t="shared" si="5"/>
        <v/>
      </c>
      <c r="BH20" s="205" t="str">
        <f t="shared" si="5"/>
        <v/>
      </c>
      <c r="BI20" s="203" t="str">
        <f t="shared" si="5"/>
        <v/>
      </c>
      <c r="BJ20" s="203" t="str">
        <f t="shared" si="5"/>
        <v/>
      </c>
      <c r="BK20" s="204" t="str">
        <f t="shared" si="5"/>
        <v/>
      </c>
      <c r="BL20" s="205" t="str">
        <f t="shared" si="5"/>
        <v/>
      </c>
      <c r="BM20" s="203" t="str">
        <f t="shared" si="5"/>
        <v/>
      </c>
      <c r="BN20" s="203" t="str">
        <f t="shared" si="5"/>
        <v/>
      </c>
      <c r="BO20" s="204" t="str">
        <f t="shared" si="5"/>
        <v/>
      </c>
      <c r="BP20" s="205" t="str">
        <f t="shared" si="6"/>
        <v/>
      </c>
      <c r="BQ20" s="203" t="str">
        <f t="shared" si="6"/>
        <v/>
      </c>
      <c r="BR20" s="203" t="str">
        <f t="shared" si="6"/>
        <v/>
      </c>
      <c r="BS20" s="204" t="str">
        <f t="shared" si="6"/>
        <v/>
      </c>
      <c r="BT20" s="205" t="str">
        <f t="shared" si="6"/>
        <v/>
      </c>
      <c r="BU20" s="203" t="str">
        <f t="shared" si="6"/>
        <v/>
      </c>
      <c r="BV20" s="203" t="str">
        <f t="shared" si="6"/>
        <v/>
      </c>
      <c r="BW20" s="204" t="str">
        <f t="shared" si="6"/>
        <v/>
      </c>
      <c r="BX20" s="205" t="str">
        <f t="shared" si="6"/>
        <v/>
      </c>
      <c r="BY20" s="203" t="str">
        <f t="shared" si="6"/>
        <v/>
      </c>
      <c r="BZ20" s="203" t="str">
        <f t="shared" si="6"/>
        <v/>
      </c>
      <c r="CA20" s="204" t="str">
        <f t="shared" si="6"/>
        <v/>
      </c>
      <c r="CB20" s="205" t="str">
        <f t="shared" si="6"/>
        <v/>
      </c>
      <c r="CC20" s="203" t="str">
        <f t="shared" si="6"/>
        <v/>
      </c>
      <c r="CD20" s="203" t="str">
        <f t="shared" si="6"/>
        <v/>
      </c>
      <c r="CE20" s="204" t="str">
        <f t="shared" si="6"/>
        <v/>
      </c>
    </row>
    <row r="21" spans="1:83" ht="18" customHeight="1">
      <c r="A21" s="22">
        <f>+TABELLA!U25</f>
        <v>0</v>
      </c>
      <c r="B21" s="22">
        <f>+TABELLA!V25</f>
        <v>0</v>
      </c>
      <c r="C21" s="22">
        <f>+TABELLA!W25</f>
        <v>0</v>
      </c>
      <c r="D21" s="22">
        <f>+TABELLA!X25</f>
        <v>0</v>
      </c>
      <c r="E21" s="22"/>
      <c r="F21" s="41">
        <f>IF(TABELLA!B25="","",TABELLA!B25)</f>
        <v>1</v>
      </c>
      <c r="G21" s="42" t="str">
        <f>IF(TABELLA!C25="","",TABELLA!C25)</f>
        <v/>
      </c>
      <c r="H21" s="206" t="str">
        <f t="shared" ref="H21:V21" si="21">IF(AND(G$3&gt;=$A21,G$3&lt;$B21),1,IF(AND(G$3&gt;=$C21,G$3&lt;$D21),1,""))</f>
        <v/>
      </c>
      <c r="I21" s="206" t="str">
        <f t="shared" si="21"/>
        <v/>
      </c>
      <c r="J21" s="206" t="str">
        <f t="shared" si="21"/>
        <v/>
      </c>
      <c r="K21" s="207" t="str">
        <f t="shared" si="21"/>
        <v/>
      </c>
      <c r="L21" s="208" t="str">
        <f t="shared" si="21"/>
        <v/>
      </c>
      <c r="M21" s="206" t="str">
        <f t="shared" si="21"/>
        <v/>
      </c>
      <c r="N21" s="206" t="str">
        <f t="shared" si="21"/>
        <v/>
      </c>
      <c r="O21" s="207" t="str">
        <f t="shared" si="21"/>
        <v/>
      </c>
      <c r="P21" s="208" t="str">
        <f t="shared" si="21"/>
        <v/>
      </c>
      <c r="Q21" s="206" t="str">
        <f t="shared" si="21"/>
        <v/>
      </c>
      <c r="R21" s="206" t="str">
        <f t="shared" si="21"/>
        <v/>
      </c>
      <c r="S21" s="207" t="str">
        <f t="shared" si="21"/>
        <v/>
      </c>
      <c r="T21" s="208" t="str">
        <f t="shared" si="21"/>
        <v/>
      </c>
      <c r="U21" s="206" t="str">
        <f t="shared" si="21"/>
        <v/>
      </c>
      <c r="V21" s="206" t="str">
        <f t="shared" si="21"/>
        <v/>
      </c>
      <c r="W21" s="207" t="str">
        <f t="shared" ref="W21:AL36" si="22">IF(AND(V$3&gt;=$A21,V$3&lt;$B21),1,IF(AND(V$3&gt;=$C21,V$3&lt;$D21),1,""))</f>
        <v/>
      </c>
      <c r="X21" s="208" t="str">
        <f t="shared" si="22"/>
        <v/>
      </c>
      <c r="Y21" s="206" t="str">
        <f t="shared" si="22"/>
        <v/>
      </c>
      <c r="Z21" s="206" t="str">
        <f t="shared" si="22"/>
        <v/>
      </c>
      <c r="AA21" s="207" t="str">
        <f t="shared" si="22"/>
        <v/>
      </c>
      <c r="AB21" s="208" t="str">
        <f t="shared" si="22"/>
        <v/>
      </c>
      <c r="AC21" s="206" t="str">
        <f t="shared" si="22"/>
        <v/>
      </c>
      <c r="AD21" s="206" t="str">
        <f t="shared" si="22"/>
        <v/>
      </c>
      <c r="AE21" s="207" t="str">
        <f t="shared" si="22"/>
        <v/>
      </c>
      <c r="AF21" s="208" t="str">
        <f t="shared" si="22"/>
        <v/>
      </c>
      <c r="AG21" s="206" t="str">
        <f t="shared" si="22"/>
        <v/>
      </c>
      <c r="AH21" s="206" t="str">
        <f t="shared" si="22"/>
        <v/>
      </c>
      <c r="AI21" s="207" t="str">
        <f t="shared" si="22"/>
        <v/>
      </c>
      <c r="AJ21" s="208" t="str">
        <f t="shared" si="22"/>
        <v/>
      </c>
      <c r="AK21" s="206" t="str">
        <f t="shared" si="22"/>
        <v/>
      </c>
      <c r="AL21" s="206" t="str">
        <f t="shared" si="22"/>
        <v/>
      </c>
      <c r="AM21" s="207" t="str">
        <f t="shared" si="3"/>
        <v/>
      </c>
      <c r="AN21" s="208" t="str">
        <f t="shared" si="4"/>
        <v/>
      </c>
      <c r="AO21" s="206" t="str">
        <f t="shared" si="4"/>
        <v/>
      </c>
      <c r="AP21" s="206" t="str">
        <f t="shared" si="4"/>
        <v/>
      </c>
      <c r="AQ21" s="207" t="str">
        <f t="shared" si="4"/>
        <v/>
      </c>
      <c r="AR21" s="208" t="str">
        <f t="shared" si="4"/>
        <v/>
      </c>
      <c r="AS21" s="206" t="str">
        <f t="shared" si="4"/>
        <v/>
      </c>
      <c r="AT21" s="206" t="str">
        <f t="shared" si="4"/>
        <v/>
      </c>
      <c r="AU21" s="207" t="str">
        <f t="shared" si="4"/>
        <v/>
      </c>
      <c r="AV21" s="208" t="str">
        <f t="shared" si="4"/>
        <v/>
      </c>
      <c r="AW21" s="206" t="str">
        <f t="shared" si="4"/>
        <v/>
      </c>
      <c r="AX21" s="206" t="str">
        <f t="shared" si="4"/>
        <v/>
      </c>
      <c r="AY21" s="207" t="str">
        <f t="shared" si="4"/>
        <v/>
      </c>
      <c r="AZ21" s="208" t="str">
        <f t="shared" si="4"/>
        <v/>
      </c>
      <c r="BA21" s="206" t="str">
        <f t="shared" si="4"/>
        <v/>
      </c>
      <c r="BB21" s="206" t="str">
        <f t="shared" si="4"/>
        <v/>
      </c>
      <c r="BC21" s="207" t="str">
        <f t="shared" ref="BC21:BR36" si="23">IF(AND(BB$3&gt;=$A21,BB$3&lt;$B21),1,IF(AND(BB$3&gt;=$C21,BB$3&lt;$D21),1,""))</f>
        <v/>
      </c>
      <c r="BD21" s="208" t="str">
        <f t="shared" si="23"/>
        <v/>
      </c>
      <c r="BE21" s="206" t="str">
        <f t="shared" si="23"/>
        <v/>
      </c>
      <c r="BF21" s="206" t="str">
        <f t="shared" si="23"/>
        <v/>
      </c>
      <c r="BG21" s="207" t="str">
        <f t="shared" si="23"/>
        <v/>
      </c>
      <c r="BH21" s="208" t="str">
        <f t="shared" si="23"/>
        <v/>
      </c>
      <c r="BI21" s="206" t="str">
        <f t="shared" si="23"/>
        <v/>
      </c>
      <c r="BJ21" s="206" t="str">
        <f t="shared" si="23"/>
        <v/>
      </c>
      <c r="BK21" s="207" t="str">
        <f t="shared" si="23"/>
        <v/>
      </c>
      <c r="BL21" s="208" t="str">
        <f t="shared" si="23"/>
        <v/>
      </c>
      <c r="BM21" s="206" t="str">
        <f t="shared" si="23"/>
        <v/>
      </c>
      <c r="BN21" s="206" t="str">
        <f t="shared" si="23"/>
        <v/>
      </c>
      <c r="BO21" s="207" t="str">
        <f t="shared" si="23"/>
        <v/>
      </c>
      <c r="BP21" s="208" t="str">
        <f t="shared" si="6"/>
        <v/>
      </c>
      <c r="BQ21" s="206" t="str">
        <f t="shared" si="6"/>
        <v/>
      </c>
      <c r="BR21" s="206" t="str">
        <f t="shared" si="6"/>
        <v/>
      </c>
      <c r="BS21" s="207" t="str">
        <f t="shared" si="6"/>
        <v/>
      </c>
      <c r="BT21" s="208" t="str">
        <f t="shared" si="6"/>
        <v/>
      </c>
      <c r="BU21" s="206" t="str">
        <f t="shared" si="6"/>
        <v/>
      </c>
      <c r="BV21" s="206" t="str">
        <f t="shared" si="6"/>
        <v/>
      </c>
      <c r="BW21" s="207" t="str">
        <f t="shared" si="6"/>
        <v/>
      </c>
      <c r="BX21" s="208" t="str">
        <f t="shared" si="6"/>
        <v/>
      </c>
      <c r="BY21" s="206" t="str">
        <f t="shared" si="6"/>
        <v/>
      </c>
      <c r="BZ21" s="206" t="str">
        <f t="shared" si="6"/>
        <v/>
      </c>
      <c r="CA21" s="207" t="str">
        <f t="shared" si="6"/>
        <v/>
      </c>
      <c r="CB21" s="208" t="str">
        <f t="shared" si="6"/>
        <v/>
      </c>
      <c r="CC21" s="206" t="str">
        <f t="shared" si="6"/>
        <v/>
      </c>
      <c r="CD21" s="206" t="str">
        <f t="shared" si="6"/>
        <v/>
      </c>
      <c r="CE21" s="207" t="str">
        <f t="shared" si="6"/>
        <v/>
      </c>
    </row>
    <row r="22" spans="1:83" ht="18" customHeight="1">
      <c r="A22" s="22">
        <f>+TABELLA!U26</f>
        <v>0</v>
      </c>
      <c r="B22" s="22">
        <f>+TABELLA!V26</f>
        <v>0</v>
      </c>
      <c r="C22" s="22">
        <f>+TABELLA!W26</f>
        <v>0</v>
      </c>
      <c r="D22" s="22">
        <f>+TABELLA!X26</f>
        <v>0</v>
      </c>
      <c r="E22" s="22"/>
      <c r="F22" s="26">
        <f>IF(TABELLA!B26="","",TABELLA!B26)</f>
        <v>1</v>
      </c>
      <c r="G22" s="27" t="str">
        <f>IF(TABELLA!C26="","",TABELLA!C26)</f>
        <v/>
      </c>
      <c r="H22" s="203" t="str">
        <f t="shared" ref="H22:V22" si="24">IF(AND(G$3&gt;=$A22,G$3&lt;$B22),1,IF(AND(G$3&gt;=$C22,G$3&lt;$D22),1,""))</f>
        <v/>
      </c>
      <c r="I22" s="203" t="str">
        <f t="shared" si="24"/>
        <v/>
      </c>
      <c r="J22" s="203" t="str">
        <f t="shared" si="24"/>
        <v/>
      </c>
      <c r="K22" s="204" t="str">
        <f t="shared" si="24"/>
        <v/>
      </c>
      <c r="L22" s="205" t="str">
        <f t="shared" si="24"/>
        <v/>
      </c>
      <c r="M22" s="203" t="str">
        <f t="shared" si="24"/>
        <v/>
      </c>
      <c r="N22" s="203" t="str">
        <f t="shared" si="24"/>
        <v/>
      </c>
      <c r="O22" s="204" t="str">
        <f t="shared" si="24"/>
        <v/>
      </c>
      <c r="P22" s="205" t="str">
        <f t="shared" si="24"/>
        <v/>
      </c>
      <c r="Q22" s="203" t="str">
        <f t="shared" si="24"/>
        <v/>
      </c>
      <c r="R22" s="203" t="str">
        <f t="shared" si="24"/>
        <v/>
      </c>
      <c r="S22" s="204" t="str">
        <f t="shared" si="24"/>
        <v/>
      </c>
      <c r="T22" s="205" t="str">
        <f t="shared" si="24"/>
        <v/>
      </c>
      <c r="U22" s="203" t="str">
        <f t="shared" si="24"/>
        <v/>
      </c>
      <c r="V22" s="203" t="str">
        <f t="shared" si="24"/>
        <v/>
      </c>
      <c r="W22" s="204" t="str">
        <f t="shared" ref="W22:W36" si="25">IF(AND(V$3&gt;=$A22,V$3&lt;$B22),1,IF(AND(V$3&gt;=$C22,V$3&lt;$D22),1,""))</f>
        <v/>
      </c>
      <c r="X22" s="205" t="str">
        <f t="shared" si="22"/>
        <v/>
      </c>
      <c r="Y22" s="203" t="str">
        <f t="shared" si="22"/>
        <v/>
      </c>
      <c r="Z22" s="203" t="str">
        <f t="shared" si="22"/>
        <v/>
      </c>
      <c r="AA22" s="204" t="str">
        <f t="shared" si="22"/>
        <v/>
      </c>
      <c r="AB22" s="205" t="str">
        <f t="shared" si="22"/>
        <v/>
      </c>
      <c r="AC22" s="203" t="str">
        <f t="shared" si="22"/>
        <v/>
      </c>
      <c r="AD22" s="203" t="str">
        <f t="shared" si="22"/>
        <v/>
      </c>
      <c r="AE22" s="204" t="str">
        <f t="shared" si="22"/>
        <v/>
      </c>
      <c r="AF22" s="205" t="str">
        <f t="shared" si="22"/>
        <v/>
      </c>
      <c r="AG22" s="203" t="str">
        <f t="shared" si="22"/>
        <v/>
      </c>
      <c r="AH22" s="203" t="str">
        <f t="shared" si="22"/>
        <v/>
      </c>
      <c r="AI22" s="204" t="str">
        <f t="shared" si="22"/>
        <v/>
      </c>
      <c r="AJ22" s="205" t="str">
        <f t="shared" si="22"/>
        <v/>
      </c>
      <c r="AK22" s="203" t="str">
        <f t="shared" si="22"/>
        <v/>
      </c>
      <c r="AL22" s="203" t="str">
        <f t="shared" si="22"/>
        <v/>
      </c>
      <c r="AM22" s="204" t="str">
        <f t="shared" ref="AM22:BB37" si="26">IF(AND(AL$3&gt;=$A22,AL$3&lt;$B22),1,IF(AND(AL$3&gt;=$C22,AL$3&lt;$D22),1,""))</f>
        <v/>
      </c>
      <c r="AN22" s="205" t="str">
        <f t="shared" si="26"/>
        <v/>
      </c>
      <c r="AO22" s="203" t="str">
        <f t="shared" si="26"/>
        <v/>
      </c>
      <c r="AP22" s="203" t="str">
        <f t="shared" si="26"/>
        <v/>
      </c>
      <c r="AQ22" s="204" t="str">
        <f t="shared" si="26"/>
        <v/>
      </c>
      <c r="AR22" s="205" t="str">
        <f t="shared" si="26"/>
        <v/>
      </c>
      <c r="AS22" s="203" t="str">
        <f t="shared" si="26"/>
        <v/>
      </c>
      <c r="AT22" s="203" t="str">
        <f t="shared" si="26"/>
        <v/>
      </c>
      <c r="AU22" s="204" t="str">
        <f t="shared" si="26"/>
        <v/>
      </c>
      <c r="AV22" s="205" t="str">
        <f t="shared" si="26"/>
        <v/>
      </c>
      <c r="AW22" s="203" t="str">
        <f t="shared" si="26"/>
        <v/>
      </c>
      <c r="AX22" s="203" t="str">
        <f t="shared" si="26"/>
        <v/>
      </c>
      <c r="AY22" s="204" t="str">
        <f t="shared" si="26"/>
        <v/>
      </c>
      <c r="AZ22" s="205" t="str">
        <f t="shared" si="26"/>
        <v/>
      </c>
      <c r="BA22" s="203" t="str">
        <f t="shared" si="26"/>
        <v/>
      </c>
      <c r="BB22" s="203" t="str">
        <f t="shared" si="26"/>
        <v/>
      </c>
      <c r="BC22" s="204" t="str">
        <f t="shared" si="23"/>
        <v/>
      </c>
      <c r="BD22" s="205" t="str">
        <f t="shared" si="23"/>
        <v/>
      </c>
      <c r="BE22" s="203" t="str">
        <f t="shared" si="23"/>
        <v/>
      </c>
      <c r="BF22" s="203" t="str">
        <f t="shared" si="23"/>
        <v/>
      </c>
      <c r="BG22" s="204" t="str">
        <f t="shared" si="23"/>
        <v/>
      </c>
      <c r="BH22" s="205" t="str">
        <f t="shared" si="23"/>
        <v/>
      </c>
      <c r="BI22" s="203" t="str">
        <f t="shared" si="23"/>
        <v/>
      </c>
      <c r="BJ22" s="203" t="str">
        <f t="shared" si="23"/>
        <v/>
      </c>
      <c r="BK22" s="204" t="str">
        <f t="shared" si="23"/>
        <v/>
      </c>
      <c r="BL22" s="205" t="str">
        <f t="shared" si="23"/>
        <v/>
      </c>
      <c r="BM22" s="203" t="str">
        <f t="shared" si="23"/>
        <v/>
      </c>
      <c r="BN22" s="203" t="str">
        <f t="shared" si="23"/>
        <v/>
      </c>
      <c r="BO22" s="204" t="str">
        <f t="shared" si="23"/>
        <v/>
      </c>
      <c r="BP22" s="205" t="str">
        <f t="shared" si="23"/>
        <v/>
      </c>
      <c r="BQ22" s="203" t="str">
        <f t="shared" si="23"/>
        <v/>
      </c>
      <c r="BR22" s="203" t="str">
        <f t="shared" si="23"/>
        <v/>
      </c>
      <c r="BS22" s="204" t="str">
        <f t="shared" ref="BP22:CE37" si="27">IF(AND(BR$3&gt;=$A22,BR$3&lt;$B22),1,IF(AND(BR$3&gt;=$C22,BR$3&lt;$D22),1,""))</f>
        <v/>
      </c>
      <c r="BT22" s="205" t="str">
        <f t="shared" si="27"/>
        <v/>
      </c>
      <c r="BU22" s="203" t="str">
        <f t="shared" si="27"/>
        <v/>
      </c>
      <c r="BV22" s="203" t="str">
        <f t="shared" si="27"/>
        <v/>
      </c>
      <c r="BW22" s="204" t="str">
        <f t="shared" si="27"/>
        <v/>
      </c>
      <c r="BX22" s="205" t="str">
        <f t="shared" si="27"/>
        <v/>
      </c>
      <c r="BY22" s="203" t="str">
        <f t="shared" si="27"/>
        <v/>
      </c>
      <c r="BZ22" s="203" t="str">
        <f t="shared" si="27"/>
        <v/>
      </c>
      <c r="CA22" s="204" t="str">
        <f t="shared" si="27"/>
        <v/>
      </c>
      <c r="CB22" s="205" t="str">
        <f t="shared" si="27"/>
        <v/>
      </c>
      <c r="CC22" s="203" t="str">
        <f t="shared" si="27"/>
        <v/>
      </c>
      <c r="CD22" s="203" t="str">
        <f t="shared" si="27"/>
        <v/>
      </c>
      <c r="CE22" s="204" t="str">
        <f t="shared" si="27"/>
        <v/>
      </c>
    </row>
    <row r="23" spans="1:83" ht="18" customHeight="1">
      <c r="A23" s="22">
        <f>+TABELLA!U27</f>
        <v>0</v>
      </c>
      <c r="B23" s="22">
        <f>+TABELLA!V27</f>
        <v>0</v>
      </c>
      <c r="C23" s="22">
        <f>+TABELLA!W27</f>
        <v>0</v>
      </c>
      <c r="D23" s="22">
        <f>+TABELLA!X27</f>
        <v>0</v>
      </c>
      <c r="E23" s="22"/>
      <c r="F23" s="41" t="str">
        <f>IF(TABELLA!B27="","",TABELLA!B27)</f>
        <v/>
      </c>
      <c r="G23" s="42" t="str">
        <f>IF(TABELLA!C27="","",TABELLA!C27)</f>
        <v/>
      </c>
      <c r="H23" s="206" t="str">
        <f t="shared" ref="H23:V23" si="28">IF(AND(G$3&gt;=$A23,G$3&lt;$B23),1,IF(AND(G$3&gt;=$C23,G$3&lt;$D23),1,""))</f>
        <v/>
      </c>
      <c r="I23" s="206" t="str">
        <f t="shared" si="28"/>
        <v/>
      </c>
      <c r="J23" s="206" t="str">
        <f t="shared" si="28"/>
        <v/>
      </c>
      <c r="K23" s="207" t="str">
        <f t="shared" si="28"/>
        <v/>
      </c>
      <c r="L23" s="208" t="str">
        <f t="shared" si="28"/>
        <v/>
      </c>
      <c r="M23" s="206" t="str">
        <f t="shared" si="28"/>
        <v/>
      </c>
      <c r="N23" s="206" t="str">
        <f t="shared" si="28"/>
        <v/>
      </c>
      <c r="O23" s="207" t="str">
        <f t="shared" si="28"/>
        <v/>
      </c>
      <c r="P23" s="208" t="str">
        <f t="shared" si="28"/>
        <v/>
      </c>
      <c r="Q23" s="206" t="str">
        <f t="shared" si="28"/>
        <v/>
      </c>
      <c r="R23" s="206" t="str">
        <f t="shared" si="28"/>
        <v/>
      </c>
      <c r="S23" s="207" t="str">
        <f t="shared" si="28"/>
        <v/>
      </c>
      <c r="T23" s="208" t="str">
        <f t="shared" si="28"/>
        <v/>
      </c>
      <c r="U23" s="206" t="str">
        <f t="shared" si="28"/>
        <v/>
      </c>
      <c r="V23" s="206" t="str">
        <f t="shared" si="28"/>
        <v/>
      </c>
      <c r="W23" s="207" t="str">
        <f t="shared" si="25"/>
        <v/>
      </c>
      <c r="X23" s="208" t="str">
        <f t="shared" si="22"/>
        <v/>
      </c>
      <c r="Y23" s="206" t="str">
        <f t="shared" si="22"/>
        <v/>
      </c>
      <c r="Z23" s="206" t="str">
        <f t="shared" si="22"/>
        <v/>
      </c>
      <c r="AA23" s="207" t="str">
        <f t="shared" si="22"/>
        <v/>
      </c>
      <c r="AB23" s="208" t="str">
        <f t="shared" si="22"/>
        <v/>
      </c>
      <c r="AC23" s="206" t="str">
        <f t="shared" si="22"/>
        <v/>
      </c>
      <c r="AD23" s="206" t="str">
        <f t="shared" si="22"/>
        <v/>
      </c>
      <c r="AE23" s="207" t="str">
        <f t="shared" si="22"/>
        <v/>
      </c>
      <c r="AF23" s="208" t="str">
        <f t="shared" si="22"/>
        <v/>
      </c>
      <c r="AG23" s="206" t="str">
        <f t="shared" si="22"/>
        <v/>
      </c>
      <c r="AH23" s="206" t="str">
        <f t="shared" si="22"/>
        <v/>
      </c>
      <c r="AI23" s="207" t="str">
        <f t="shared" si="22"/>
        <v/>
      </c>
      <c r="AJ23" s="208" t="str">
        <f t="shared" si="22"/>
        <v/>
      </c>
      <c r="AK23" s="206" t="str">
        <f t="shared" si="22"/>
        <v/>
      </c>
      <c r="AL23" s="206" t="str">
        <f t="shared" si="22"/>
        <v/>
      </c>
      <c r="AM23" s="207" t="str">
        <f t="shared" si="26"/>
        <v/>
      </c>
      <c r="AN23" s="208" t="str">
        <f t="shared" si="26"/>
        <v/>
      </c>
      <c r="AO23" s="206" t="str">
        <f t="shared" si="26"/>
        <v/>
      </c>
      <c r="AP23" s="206" t="str">
        <f t="shared" si="26"/>
        <v/>
      </c>
      <c r="AQ23" s="207" t="str">
        <f t="shared" si="26"/>
        <v/>
      </c>
      <c r="AR23" s="208" t="str">
        <f t="shared" si="26"/>
        <v/>
      </c>
      <c r="AS23" s="206" t="str">
        <f t="shared" si="26"/>
        <v/>
      </c>
      <c r="AT23" s="206" t="str">
        <f t="shared" si="26"/>
        <v/>
      </c>
      <c r="AU23" s="207" t="str">
        <f t="shared" si="26"/>
        <v/>
      </c>
      <c r="AV23" s="208" t="str">
        <f t="shared" si="26"/>
        <v/>
      </c>
      <c r="AW23" s="206" t="str">
        <f t="shared" si="26"/>
        <v/>
      </c>
      <c r="AX23" s="206" t="str">
        <f t="shared" si="26"/>
        <v/>
      </c>
      <c r="AY23" s="207" t="str">
        <f t="shared" si="26"/>
        <v/>
      </c>
      <c r="AZ23" s="208" t="str">
        <f t="shared" si="26"/>
        <v/>
      </c>
      <c r="BA23" s="206" t="str">
        <f t="shared" si="26"/>
        <v/>
      </c>
      <c r="BB23" s="206" t="str">
        <f t="shared" si="26"/>
        <v/>
      </c>
      <c r="BC23" s="207" t="str">
        <f t="shared" si="23"/>
        <v/>
      </c>
      <c r="BD23" s="208" t="str">
        <f t="shared" si="23"/>
        <v/>
      </c>
      <c r="BE23" s="206" t="str">
        <f t="shared" si="23"/>
        <v/>
      </c>
      <c r="BF23" s="206" t="str">
        <f t="shared" si="23"/>
        <v/>
      </c>
      <c r="BG23" s="207" t="str">
        <f t="shared" si="23"/>
        <v/>
      </c>
      <c r="BH23" s="208" t="str">
        <f t="shared" si="23"/>
        <v/>
      </c>
      <c r="BI23" s="206" t="str">
        <f t="shared" si="23"/>
        <v/>
      </c>
      <c r="BJ23" s="206" t="str">
        <f t="shared" si="23"/>
        <v/>
      </c>
      <c r="BK23" s="207" t="str">
        <f t="shared" si="23"/>
        <v/>
      </c>
      <c r="BL23" s="208" t="str">
        <f t="shared" si="23"/>
        <v/>
      </c>
      <c r="BM23" s="206" t="str">
        <f t="shared" si="23"/>
        <v/>
      </c>
      <c r="BN23" s="206" t="str">
        <f t="shared" si="23"/>
        <v/>
      </c>
      <c r="BO23" s="207" t="str">
        <f t="shared" si="23"/>
        <v/>
      </c>
      <c r="BP23" s="208" t="str">
        <f t="shared" si="27"/>
        <v/>
      </c>
      <c r="BQ23" s="206" t="str">
        <f t="shared" si="27"/>
        <v/>
      </c>
      <c r="BR23" s="206" t="str">
        <f t="shared" si="27"/>
        <v/>
      </c>
      <c r="BS23" s="207" t="str">
        <f t="shared" si="27"/>
        <v/>
      </c>
      <c r="BT23" s="208" t="str">
        <f t="shared" si="27"/>
        <v/>
      </c>
      <c r="BU23" s="206" t="str">
        <f t="shared" si="27"/>
        <v/>
      </c>
      <c r="BV23" s="206" t="str">
        <f t="shared" si="27"/>
        <v/>
      </c>
      <c r="BW23" s="207" t="str">
        <f t="shared" si="27"/>
        <v/>
      </c>
      <c r="BX23" s="208" t="str">
        <f t="shared" si="27"/>
        <v/>
      </c>
      <c r="BY23" s="206" t="str">
        <f t="shared" si="27"/>
        <v/>
      </c>
      <c r="BZ23" s="206" t="str">
        <f t="shared" si="27"/>
        <v/>
      </c>
      <c r="CA23" s="207" t="str">
        <f t="shared" si="27"/>
        <v/>
      </c>
      <c r="CB23" s="208" t="str">
        <f t="shared" si="27"/>
        <v/>
      </c>
      <c r="CC23" s="206" t="str">
        <f t="shared" si="27"/>
        <v/>
      </c>
      <c r="CD23" s="206" t="str">
        <f t="shared" si="27"/>
        <v/>
      </c>
      <c r="CE23" s="207" t="str">
        <f t="shared" si="27"/>
        <v/>
      </c>
    </row>
    <row r="24" spans="1:83" ht="18" customHeight="1">
      <c r="A24" s="22">
        <f>+TABELLA!U28</f>
        <v>0</v>
      </c>
      <c r="B24" s="22">
        <f>+TABELLA!V28</f>
        <v>0</v>
      </c>
      <c r="C24" s="22">
        <f>+TABELLA!W28</f>
        <v>0</v>
      </c>
      <c r="D24" s="22">
        <f>+TABELLA!X28</f>
        <v>0</v>
      </c>
      <c r="E24" s="22"/>
      <c r="F24" s="26">
        <f>IF(TABELLA!B28="","",TABELLA!B28)</f>
        <v>3</v>
      </c>
      <c r="G24" s="27" t="str">
        <f>IF(TABELLA!C28="","",TABELLA!C28)</f>
        <v>SARTORATO TATIANA</v>
      </c>
      <c r="H24" s="203" t="str">
        <f t="shared" ref="H24:V24" si="29">IF(AND(G$3&gt;=$A24,G$3&lt;$B24),1,IF(AND(G$3&gt;=$C24,G$3&lt;$D24),1,""))</f>
        <v/>
      </c>
      <c r="I24" s="203" t="str">
        <f t="shared" si="29"/>
        <v/>
      </c>
      <c r="J24" s="203" t="str">
        <f t="shared" si="29"/>
        <v/>
      </c>
      <c r="K24" s="204" t="str">
        <f t="shared" si="29"/>
        <v/>
      </c>
      <c r="L24" s="205" t="str">
        <f t="shared" si="29"/>
        <v/>
      </c>
      <c r="M24" s="203" t="str">
        <f t="shared" si="29"/>
        <v/>
      </c>
      <c r="N24" s="203" t="str">
        <f t="shared" si="29"/>
        <v/>
      </c>
      <c r="O24" s="204" t="str">
        <f t="shared" si="29"/>
        <v/>
      </c>
      <c r="P24" s="205" t="str">
        <f t="shared" si="29"/>
        <v/>
      </c>
      <c r="Q24" s="203" t="str">
        <f t="shared" si="29"/>
        <v/>
      </c>
      <c r="R24" s="203" t="str">
        <f t="shared" si="29"/>
        <v/>
      </c>
      <c r="S24" s="204" t="str">
        <f t="shared" si="29"/>
        <v/>
      </c>
      <c r="T24" s="205" t="str">
        <f t="shared" si="29"/>
        <v/>
      </c>
      <c r="U24" s="203" t="str">
        <f t="shared" si="29"/>
        <v/>
      </c>
      <c r="V24" s="203" t="str">
        <f t="shared" si="29"/>
        <v/>
      </c>
      <c r="W24" s="204" t="str">
        <f t="shared" si="25"/>
        <v/>
      </c>
      <c r="X24" s="205" t="str">
        <f t="shared" si="22"/>
        <v/>
      </c>
      <c r="Y24" s="203" t="str">
        <f t="shared" si="22"/>
        <v/>
      </c>
      <c r="Z24" s="203" t="str">
        <f t="shared" si="22"/>
        <v/>
      </c>
      <c r="AA24" s="204" t="str">
        <f t="shared" si="22"/>
        <v/>
      </c>
      <c r="AB24" s="205" t="str">
        <f t="shared" si="22"/>
        <v/>
      </c>
      <c r="AC24" s="203" t="str">
        <f t="shared" si="22"/>
        <v/>
      </c>
      <c r="AD24" s="203" t="str">
        <f t="shared" si="22"/>
        <v/>
      </c>
      <c r="AE24" s="204" t="str">
        <f t="shared" si="22"/>
        <v/>
      </c>
      <c r="AF24" s="205" t="str">
        <f t="shared" si="22"/>
        <v/>
      </c>
      <c r="AG24" s="203" t="str">
        <f t="shared" si="22"/>
        <v/>
      </c>
      <c r="AH24" s="203" t="str">
        <f t="shared" si="22"/>
        <v/>
      </c>
      <c r="AI24" s="204" t="str">
        <f t="shared" si="22"/>
        <v/>
      </c>
      <c r="AJ24" s="205" t="str">
        <f t="shared" si="22"/>
        <v/>
      </c>
      <c r="AK24" s="203" t="str">
        <f t="shared" si="22"/>
        <v/>
      </c>
      <c r="AL24" s="203" t="str">
        <f t="shared" si="22"/>
        <v/>
      </c>
      <c r="AM24" s="204" t="str">
        <f t="shared" si="26"/>
        <v/>
      </c>
      <c r="AN24" s="205" t="str">
        <f t="shared" si="26"/>
        <v/>
      </c>
      <c r="AO24" s="203" t="str">
        <f t="shared" si="26"/>
        <v/>
      </c>
      <c r="AP24" s="203" t="str">
        <f t="shared" si="26"/>
        <v/>
      </c>
      <c r="AQ24" s="204" t="str">
        <f t="shared" si="26"/>
        <v/>
      </c>
      <c r="AR24" s="205" t="str">
        <f t="shared" si="26"/>
        <v/>
      </c>
      <c r="AS24" s="203" t="str">
        <f t="shared" si="26"/>
        <v/>
      </c>
      <c r="AT24" s="203" t="str">
        <f t="shared" si="26"/>
        <v/>
      </c>
      <c r="AU24" s="204" t="str">
        <f t="shared" si="26"/>
        <v/>
      </c>
      <c r="AV24" s="205" t="str">
        <f t="shared" si="26"/>
        <v/>
      </c>
      <c r="AW24" s="203" t="str">
        <f t="shared" si="26"/>
        <v/>
      </c>
      <c r="AX24" s="203" t="str">
        <f t="shared" si="26"/>
        <v/>
      </c>
      <c r="AY24" s="204" t="str">
        <f t="shared" si="26"/>
        <v/>
      </c>
      <c r="AZ24" s="205" t="str">
        <f t="shared" si="26"/>
        <v/>
      </c>
      <c r="BA24" s="203" t="str">
        <f t="shared" si="26"/>
        <v/>
      </c>
      <c r="BB24" s="203" t="str">
        <f t="shared" si="26"/>
        <v/>
      </c>
      <c r="BC24" s="204" t="str">
        <f t="shared" si="23"/>
        <v/>
      </c>
      <c r="BD24" s="205" t="str">
        <f t="shared" si="23"/>
        <v/>
      </c>
      <c r="BE24" s="203" t="str">
        <f t="shared" si="23"/>
        <v/>
      </c>
      <c r="BF24" s="203" t="str">
        <f t="shared" si="23"/>
        <v/>
      </c>
      <c r="BG24" s="204" t="str">
        <f t="shared" si="23"/>
        <v/>
      </c>
      <c r="BH24" s="205" t="str">
        <f t="shared" si="23"/>
        <v/>
      </c>
      <c r="BI24" s="203" t="str">
        <f t="shared" si="23"/>
        <v/>
      </c>
      <c r="BJ24" s="203" t="str">
        <f t="shared" si="23"/>
        <v/>
      </c>
      <c r="BK24" s="204" t="str">
        <f t="shared" si="23"/>
        <v/>
      </c>
      <c r="BL24" s="205" t="str">
        <f t="shared" si="23"/>
        <v/>
      </c>
      <c r="BM24" s="203" t="str">
        <f t="shared" si="23"/>
        <v/>
      </c>
      <c r="BN24" s="203" t="str">
        <f t="shared" si="23"/>
        <v/>
      </c>
      <c r="BO24" s="204" t="str">
        <f t="shared" si="23"/>
        <v/>
      </c>
      <c r="BP24" s="205" t="str">
        <f t="shared" si="27"/>
        <v/>
      </c>
      <c r="BQ24" s="203" t="str">
        <f t="shared" si="27"/>
        <v/>
      </c>
      <c r="BR24" s="203" t="str">
        <f t="shared" si="27"/>
        <v/>
      </c>
      <c r="BS24" s="204" t="str">
        <f t="shared" si="27"/>
        <v/>
      </c>
      <c r="BT24" s="205" t="str">
        <f t="shared" si="27"/>
        <v/>
      </c>
      <c r="BU24" s="203" t="str">
        <f t="shared" si="27"/>
        <v/>
      </c>
      <c r="BV24" s="203" t="str">
        <f t="shared" si="27"/>
        <v/>
      </c>
      <c r="BW24" s="204" t="str">
        <f t="shared" si="27"/>
        <v/>
      </c>
      <c r="BX24" s="205" t="str">
        <f t="shared" si="27"/>
        <v/>
      </c>
      <c r="BY24" s="203" t="str">
        <f t="shared" si="27"/>
        <v/>
      </c>
      <c r="BZ24" s="203" t="str">
        <f t="shared" si="27"/>
        <v/>
      </c>
      <c r="CA24" s="204" t="str">
        <f t="shared" si="27"/>
        <v/>
      </c>
      <c r="CB24" s="205" t="str">
        <f t="shared" si="27"/>
        <v/>
      </c>
      <c r="CC24" s="203" t="str">
        <f t="shared" si="27"/>
        <v/>
      </c>
      <c r="CD24" s="203" t="str">
        <f t="shared" si="27"/>
        <v/>
      </c>
      <c r="CE24" s="204" t="str">
        <f t="shared" si="27"/>
        <v/>
      </c>
    </row>
    <row r="25" spans="1:83" ht="18" customHeight="1">
      <c r="A25" s="22">
        <f>+TABELLA!U29</f>
        <v>0</v>
      </c>
      <c r="B25" s="22">
        <f>+TABELLA!V29</f>
        <v>0</v>
      </c>
      <c r="C25" s="22">
        <f>+TABELLA!W29</f>
        <v>0</v>
      </c>
      <c r="D25" s="22">
        <f>+TABELLA!X29</f>
        <v>0</v>
      </c>
      <c r="E25" s="22"/>
      <c r="F25" s="41">
        <f>IF(TABELLA!B29="","",TABELLA!B29)</f>
        <v>3</v>
      </c>
      <c r="G25" s="42" t="str">
        <f>IF(TABELLA!C29="","",TABELLA!C29)</f>
        <v>CATALDO MARIKA</v>
      </c>
      <c r="H25" s="206" t="str">
        <f t="shared" ref="H25:V25" si="30">IF(AND(G$3&gt;=$A25,G$3&lt;$B25),1,IF(AND(G$3&gt;=$C25,G$3&lt;$D25),1,""))</f>
        <v/>
      </c>
      <c r="I25" s="206" t="str">
        <f t="shared" si="30"/>
        <v/>
      </c>
      <c r="J25" s="206" t="str">
        <f t="shared" si="30"/>
        <v/>
      </c>
      <c r="K25" s="207" t="str">
        <f t="shared" si="30"/>
        <v/>
      </c>
      <c r="L25" s="208" t="str">
        <f t="shared" si="30"/>
        <v/>
      </c>
      <c r="M25" s="206" t="str">
        <f t="shared" si="30"/>
        <v/>
      </c>
      <c r="N25" s="206" t="str">
        <f t="shared" si="30"/>
        <v/>
      </c>
      <c r="O25" s="207" t="str">
        <f t="shared" si="30"/>
        <v/>
      </c>
      <c r="P25" s="208" t="str">
        <f t="shared" si="30"/>
        <v/>
      </c>
      <c r="Q25" s="206" t="str">
        <f t="shared" si="30"/>
        <v/>
      </c>
      <c r="R25" s="206" t="str">
        <f t="shared" si="30"/>
        <v/>
      </c>
      <c r="S25" s="207" t="str">
        <f t="shared" si="30"/>
        <v/>
      </c>
      <c r="T25" s="208" t="str">
        <f t="shared" si="30"/>
        <v/>
      </c>
      <c r="U25" s="206" t="str">
        <f t="shared" si="30"/>
        <v/>
      </c>
      <c r="V25" s="206" t="str">
        <f t="shared" si="30"/>
        <v/>
      </c>
      <c r="W25" s="207" t="str">
        <f t="shared" si="25"/>
        <v/>
      </c>
      <c r="X25" s="208" t="str">
        <f t="shared" si="22"/>
        <v/>
      </c>
      <c r="Y25" s="206" t="str">
        <f t="shared" si="22"/>
        <v/>
      </c>
      <c r="Z25" s="206" t="str">
        <f t="shared" si="22"/>
        <v/>
      </c>
      <c r="AA25" s="207" t="str">
        <f t="shared" si="22"/>
        <v/>
      </c>
      <c r="AB25" s="208" t="str">
        <f t="shared" si="22"/>
        <v/>
      </c>
      <c r="AC25" s="206" t="str">
        <f t="shared" si="22"/>
        <v/>
      </c>
      <c r="AD25" s="206" t="str">
        <f t="shared" si="22"/>
        <v/>
      </c>
      <c r="AE25" s="207" t="str">
        <f t="shared" si="22"/>
        <v/>
      </c>
      <c r="AF25" s="208" t="str">
        <f t="shared" si="22"/>
        <v/>
      </c>
      <c r="AG25" s="206" t="str">
        <f t="shared" si="22"/>
        <v/>
      </c>
      <c r="AH25" s="206" t="str">
        <f t="shared" si="22"/>
        <v/>
      </c>
      <c r="AI25" s="207" t="str">
        <f t="shared" si="22"/>
        <v/>
      </c>
      <c r="AJ25" s="208" t="str">
        <f t="shared" si="22"/>
        <v/>
      </c>
      <c r="AK25" s="206" t="str">
        <f t="shared" si="22"/>
        <v/>
      </c>
      <c r="AL25" s="206" t="str">
        <f t="shared" si="22"/>
        <v/>
      </c>
      <c r="AM25" s="207" t="str">
        <f t="shared" si="26"/>
        <v/>
      </c>
      <c r="AN25" s="208" t="str">
        <f t="shared" si="26"/>
        <v/>
      </c>
      <c r="AO25" s="206" t="str">
        <f t="shared" si="26"/>
        <v/>
      </c>
      <c r="AP25" s="206" t="str">
        <f t="shared" si="26"/>
        <v/>
      </c>
      <c r="AQ25" s="207" t="str">
        <f t="shared" si="26"/>
        <v/>
      </c>
      <c r="AR25" s="208" t="str">
        <f t="shared" si="26"/>
        <v/>
      </c>
      <c r="AS25" s="206" t="str">
        <f t="shared" si="26"/>
        <v/>
      </c>
      <c r="AT25" s="206" t="str">
        <f t="shared" si="26"/>
        <v/>
      </c>
      <c r="AU25" s="207" t="str">
        <f t="shared" si="26"/>
        <v/>
      </c>
      <c r="AV25" s="208" t="str">
        <f t="shared" si="26"/>
        <v/>
      </c>
      <c r="AW25" s="206" t="str">
        <f t="shared" si="26"/>
        <v/>
      </c>
      <c r="AX25" s="206" t="str">
        <f t="shared" si="26"/>
        <v/>
      </c>
      <c r="AY25" s="207" t="str">
        <f t="shared" si="26"/>
        <v/>
      </c>
      <c r="AZ25" s="208" t="str">
        <f t="shared" si="26"/>
        <v/>
      </c>
      <c r="BA25" s="206" t="str">
        <f t="shared" si="26"/>
        <v/>
      </c>
      <c r="BB25" s="206" t="str">
        <f t="shared" si="26"/>
        <v/>
      </c>
      <c r="BC25" s="207" t="str">
        <f t="shared" si="23"/>
        <v/>
      </c>
      <c r="BD25" s="208" t="str">
        <f t="shared" si="23"/>
        <v/>
      </c>
      <c r="BE25" s="206" t="str">
        <f t="shared" si="23"/>
        <v/>
      </c>
      <c r="BF25" s="206" t="str">
        <f t="shared" si="23"/>
        <v/>
      </c>
      <c r="BG25" s="207" t="str">
        <f t="shared" si="23"/>
        <v/>
      </c>
      <c r="BH25" s="208" t="str">
        <f t="shared" si="23"/>
        <v/>
      </c>
      <c r="BI25" s="206" t="str">
        <f t="shared" si="23"/>
        <v/>
      </c>
      <c r="BJ25" s="206" t="str">
        <f t="shared" si="23"/>
        <v/>
      </c>
      <c r="BK25" s="207" t="str">
        <f t="shared" si="23"/>
        <v/>
      </c>
      <c r="BL25" s="208" t="str">
        <f t="shared" si="23"/>
        <v/>
      </c>
      <c r="BM25" s="206" t="str">
        <f t="shared" si="23"/>
        <v/>
      </c>
      <c r="BN25" s="206" t="str">
        <f t="shared" si="23"/>
        <v/>
      </c>
      <c r="BO25" s="207" t="str">
        <f t="shared" si="23"/>
        <v/>
      </c>
      <c r="BP25" s="208" t="str">
        <f t="shared" si="27"/>
        <v/>
      </c>
      <c r="BQ25" s="206" t="str">
        <f t="shared" si="27"/>
        <v/>
      </c>
      <c r="BR25" s="206" t="str">
        <f t="shared" si="27"/>
        <v/>
      </c>
      <c r="BS25" s="207" t="str">
        <f t="shared" si="27"/>
        <v/>
      </c>
      <c r="BT25" s="208" t="str">
        <f t="shared" si="27"/>
        <v/>
      </c>
      <c r="BU25" s="206" t="str">
        <f t="shared" si="27"/>
        <v/>
      </c>
      <c r="BV25" s="206" t="str">
        <f t="shared" si="27"/>
        <v/>
      </c>
      <c r="BW25" s="207" t="str">
        <f t="shared" si="27"/>
        <v/>
      </c>
      <c r="BX25" s="208" t="str">
        <f t="shared" si="27"/>
        <v/>
      </c>
      <c r="BY25" s="206" t="str">
        <f t="shared" si="27"/>
        <v/>
      </c>
      <c r="BZ25" s="206" t="str">
        <f t="shared" si="27"/>
        <v/>
      </c>
      <c r="CA25" s="207" t="str">
        <f t="shared" si="27"/>
        <v/>
      </c>
      <c r="CB25" s="208" t="str">
        <f t="shared" si="27"/>
        <v/>
      </c>
      <c r="CC25" s="206" t="str">
        <f t="shared" si="27"/>
        <v/>
      </c>
      <c r="CD25" s="206" t="str">
        <f t="shared" si="27"/>
        <v/>
      </c>
      <c r="CE25" s="207" t="str">
        <f t="shared" si="27"/>
        <v/>
      </c>
    </row>
    <row r="26" spans="1:83" ht="18" customHeight="1">
      <c r="A26" s="22">
        <f>+TABELLA!U30</f>
        <v>0</v>
      </c>
      <c r="B26" s="22">
        <f>+TABELLA!V30</f>
        <v>0</v>
      </c>
      <c r="C26" s="22">
        <f>+TABELLA!W30</f>
        <v>0</v>
      </c>
      <c r="D26" s="22">
        <f>+TABELLA!X30</f>
        <v>0</v>
      </c>
      <c r="E26" s="22"/>
      <c r="F26" s="26">
        <f>IF(TABELLA!B30="","",TABELLA!B30)</f>
        <v>3</v>
      </c>
      <c r="G26" s="27" t="str">
        <f>IF(TABELLA!C30="","",TABELLA!C30)</f>
        <v>ALDARWISH HASSAN</v>
      </c>
      <c r="H26" s="203" t="str">
        <f t="shared" ref="H26:V26" si="31">IF(AND(G$3&gt;=$A26,G$3&lt;$B26),1,IF(AND(G$3&gt;=$C26,G$3&lt;$D26),1,""))</f>
        <v/>
      </c>
      <c r="I26" s="203" t="str">
        <f t="shared" si="31"/>
        <v/>
      </c>
      <c r="J26" s="203" t="str">
        <f t="shared" si="31"/>
        <v/>
      </c>
      <c r="K26" s="204" t="str">
        <f t="shared" si="31"/>
        <v/>
      </c>
      <c r="L26" s="205" t="str">
        <f t="shared" si="31"/>
        <v/>
      </c>
      <c r="M26" s="203" t="str">
        <f t="shared" si="31"/>
        <v/>
      </c>
      <c r="N26" s="203" t="str">
        <f t="shared" si="31"/>
        <v/>
      </c>
      <c r="O26" s="204" t="str">
        <f t="shared" si="31"/>
        <v/>
      </c>
      <c r="P26" s="205" t="str">
        <f t="shared" si="31"/>
        <v/>
      </c>
      <c r="Q26" s="203" t="str">
        <f t="shared" si="31"/>
        <v/>
      </c>
      <c r="R26" s="203" t="str">
        <f t="shared" si="31"/>
        <v/>
      </c>
      <c r="S26" s="204" t="str">
        <f t="shared" si="31"/>
        <v/>
      </c>
      <c r="T26" s="205" t="str">
        <f t="shared" si="31"/>
        <v/>
      </c>
      <c r="U26" s="203" t="str">
        <f t="shared" si="31"/>
        <v/>
      </c>
      <c r="V26" s="203" t="str">
        <f t="shared" si="31"/>
        <v/>
      </c>
      <c r="W26" s="204" t="str">
        <f t="shared" si="25"/>
        <v/>
      </c>
      <c r="X26" s="205" t="str">
        <f t="shared" si="22"/>
        <v/>
      </c>
      <c r="Y26" s="203" t="str">
        <f t="shared" si="22"/>
        <v/>
      </c>
      <c r="Z26" s="203" t="str">
        <f t="shared" si="22"/>
        <v/>
      </c>
      <c r="AA26" s="204" t="str">
        <f t="shared" si="22"/>
        <v/>
      </c>
      <c r="AB26" s="205" t="str">
        <f t="shared" si="22"/>
        <v/>
      </c>
      <c r="AC26" s="203" t="str">
        <f t="shared" si="22"/>
        <v/>
      </c>
      <c r="AD26" s="203" t="str">
        <f t="shared" si="22"/>
        <v/>
      </c>
      <c r="AE26" s="204" t="str">
        <f t="shared" si="22"/>
        <v/>
      </c>
      <c r="AF26" s="205" t="str">
        <f t="shared" si="22"/>
        <v/>
      </c>
      <c r="AG26" s="203" t="str">
        <f t="shared" si="22"/>
        <v/>
      </c>
      <c r="AH26" s="203" t="str">
        <f t="shared" si="22"/>
        <v/>
      </c>
      <c r="AI26" s="204" t="str">
        <f t="shared" si="22"/>
        <v/>
      </c>
      <c r="AJ26" s="205" t="str">
        <f t="shared" si="22"/>
        <v/>
      </c>
      <c r="AK26" s="203" t="str">
        <f t="shared" si="22"/>
        <v/>
      </c>
      <c r="AL26" s="203" t="str">
        <f t="shared" si="22"/>
        <v/>
      </c>
      <c r="AM26" s="204" t="str">
        <f t="shared" si="26"/>
        <v/>
      </c>
      <c r="AN26" s="205" t="str">
        <f t="shared" si="26"/>
        <v/>
      </c>
      <c r="AO26" s="203" t="str">
        <f t="shared" si="26"/>
        <v/>
      </c>
      <c r="AP26" s="203" t="str">
        <f t="shared" si="26"/>
        <v/>
      </c>
      <c r="AQ26" s="204" t="str">
        <f t="shared" si="26"/>
        <v/>
      </c>
      <c r="AR26" s="205" t="str">
        <f t="shared" si="26"/>
        <v/>
      </c>
      <c r="AS26" s="203" t="str">
        <f t="shared" si="26"/>
        <v/>
      </c>
      <c r="AT26" s="203" t="str">
        <f t="shared" si="26"/>
        <v/>
      </c>
      <c r="AU26" s="204" t="str">
        <f t="shared" si="26"/>
        <v/>
      </c>
      <c r="AV26" s="205" t="str">
        <f t="shared" si="26"/>
        <v/>
      </c>
      <c r="AW26" s="203" t="str">
        <f t="shared" si="26"/>
        <v/>
      </c>
      <c r="AX26" s="203" t="str">
        <f t="shared" si="26"/>
        <v/>
      </c>
      <c r="AY26" s="204" t="str">
        <f t="shared" si="26"/>
        <v/>
      </c>
      <c r="AZ26" s="205" t="str">
        <f t="shared" si="26"/>
        <v/>
      </c>
      <c r="BA26" s="203" t="str">
        <f t="shared" si="26"/>
        <v/>
      </c>
      <c r="BB26" s="203" t="str">
        <f t="shared" si="26"/>
        <v/>
      </c>
      <c r="BC26" s="204" t="str">
        <f t="shared" si="23"/>
        <v/>
      </c>
      <c r="BD26" s="205" t="str">
        <f t="shared" si="23"/>
        <v/>
      </c>
      <c r="BE26" s="203" t="str">
        <f t="shared" si="23"/>
        <v/>
      </c>
      <c r="BF26" s="203" t="str">
        <f t="shared" si="23"/>
        <v/>
      </c>
      <c r="BG26" s="204" t="str">
        <f t="shared" si="23"/>
        <v/>
      </c>
      <c r="BH26" s="205" t="str">
        <f t="shared" si="23"/>
        <v/>
      </c>
      <c r="BI26" s="203" t="str">
        <f t="shared" si="23"/>
        <v/>
      </c>
      <c r="BJ26" s="203" t="str">
        <f t="shared" si="23"/>
        <v/>
      </c>
      <c r="BK26" s="204" t="str">
        <f t="shared" si="23"/>
        <v/>
      </c>
      <c r="BL26" s="205" t="str">
        <f t="shared" si="23"/>
        <v/>
      </c>
      <c r="BM26" s="203" t="str">
        <f t="shared" si="23"/>
        <v/>
      </c>
      <c r="BN26" s="203" t="str">
        <f t="shared" si="23"/>
        <v/>
      </c>
      <c r="BO26" s="204" t="str">
        <f t="shared" si="23"/>
        <v/>
      </c>
      <c r="BP26" s="205" t="str">
        <f t="shared" si="27"/>
        <v/>
      </c>
      <c r="BQ26" s="203" t="str">
        <f t="shared" si="27"/>
        <v/>
      </c>
      <c r="BR26" s="203" t="str">
        <f t="shared" si="27"/>
        <v/>
      </c>
      <c r="BS26" s="204" t="str">
        <f t="shared" si="27"/>
        <v/>
      </c>
      <c r="BT26" s="205" t="str">
        <f t="shared" si="27"/>
        <v/>
      </c>
      <c r="BU26" s="203" t="str">
        <f t="shared" si="27"/>
        <v/>
      </c>
      <c r="BV26" s="203" t="str">
        <f t="shared" si="27"/>
        <v/>
      </c>
      <c r="BW26" s="204" t="str">
        <f t="shared" si="27"/>
        <v/>
      </c>
      <c r="BX26" s="205" t="str">
        <f t="shared" si="27"/>
        <v/>
      </c>
      <c r="BY26" s="203" t="str">
        <f t="shared" si="27"/>
        <v/>
      </c>
      <c r="BZ26" s="203" t="str">
        <f t="shared" si="27"/>
        <v/>
      </c>
      <c r="CA26" s="204" t="str">
        <f t="shared" si="27"/>
        <v/>
      </c>
      <c r="CB26" s="205" t="str">
        <f t="shared" si="27"/>
        <v/>
      </c>
      <c r="CC26" s="203" t="str">
        <f t="shared" si="27"/>
        <v/>
      </c>
      <c r="CD26" s="203" t="str">
        <f t="shared" si="27"/>
        <v/>
      </c>
      <c r="CE26" s="204" t="str">
        <f t="shared" si="27"/>
        <v/>
      </c>
    </row>
    <row r="27" spans="1:83" ht="18" customHeight="1">
      <c r="A27" s="22">
        <f>+TABELLA!U31</f>
        <v>0</v>
      </c>
      <c r="B27" s="22">
        <f>+TABELLA!V31</f>
        <v>0</v>
      </c>
      <c r="C27" s="22">
        <f>+TABELLA!W31</f>
        <v>0</v>
      </c>
      <c r="D27" s="22">
        <f>+TABELLA!X31</f>
        <v>0</v>
      </c>
      <c r="E27" s="22"/>
      <c r="F27" s="41" t="str">
        <f>IF(TABELLA!B31="","",TABELLA!B31)</f>
        <v/>
      </c>
      <c r="G27" s="42" t="str">
        <f>IF(TABELLA!C31="","",TABELLA!C31)</f>
        <v/>
      </c>
      <c r="H27" s="206" t="str">
        <f t="shared" ref="H27:V27" si="32">IF(AND(G$3&gt;=$A27,G$3&lt;$B27),1,IF(AND(G$3&gt;=$C27,G$3&lt;$D27),1,""))</f>
        <v/>
      </c>
      <c r="I27" s="206" t="str">
        <f t="shared" si="32"/>
        <v/>
      </c>
      <c r="J27" s="206" t="str">
        <f t="shared" si="32"/>
        <v/>
      </c>
      <c r="K27" s="207" t="str">
        <f t="shared" si="32"/>
        <v/>
      </c>
      <c r="L27" s="208" t="str">
        <f t="shared" si="32"/>
        <v/>
      </c>
      <c r="M27" s="206" t="str">
        <f t="shared" si="32"/>
        <v/>
      </c>
      <c r="N27" s="206" t="str">
        <f t="shared" si="32"/>
        <v/>
      </c>
      <c r="O27" s="207" t="str">
        <f t="shared" si="32"/>
        <v/>
      </c>
      <c r="P27" s="208" t="str">
        <f t="shared" si="32"/>
        <v/>
      </c>
      <c r="Q27" s="206" t="str">
        <f t="shared" si="32"/>
        <v/>
      </c>
      <c r="R27" s="206" t="str">
        <f t="shared" si="32"/>
        <v/>
      </c>
      <c r="S27" s="207" t="str">
        <f t="shared" si="32"/>
        <v/>
      </c>
      <c r="T27" s="208" t="str">
        <f t="shared" si="32"/>
        <v/>
      </c>
      <c r="U27" s="206" t="str">
        <f t="shared" si="32"/>
        <v/>
      </c>
      <c r="V27" s="206" t="str">
        <f t="shared" si="32"/>
        <v/>
      </c>
      <c r="W27" s="207" t="str">
        <f t="shared" si="25"/>
        <v/>
      </c>
      <c r="X27" s="208" t="str">
        <f t="shared" si="22"/>
        <v/>
      </c>
      <c r="Y27" s="206" t="str">
        <f t="shared" si="22"/>
        <v/>
      </c>
      <c r="Z27" s="206" t="str">
        <f t="shared" si="22"/>
        <v/>
      </c>
      <c r="AA27" s="207" t="str">
        <f t="shared" si="22"/>
        <v/>
      </c>
      <c r="AB27" s="208" t="str">
        <f t="shared" si="22"/>
        <v/>
      </c>
      <c r="AC27" s="206" t="str">
        <f t="shared" si="22"/>
        <v/>
      </c>
      <c r="AD27" s="206" t="str">
        <f t="shared" si="22"/>
        <v/>
      </c>
      <c r="AE27" s="207" t="str">
        <f t="shared" si="22"/>
        <v/>
      </c>
      <c r="AF27" s="208" t="str">
        <f t="shared" si="22"/>
        <v/>
      </c>
      <c r="AG27" s="206" t="str">
        <f t="shared" si="22"/>
        <v/>
      </c>
      <c r="AH27" s="206" t="str">
        <f t="shared" si="22"/>
        <v/>
      </c>
      <c r="AI27" s="207" t="str">
        <f t="shared" si="22"/>
        <v/>
      </c>
      <c r="AJ27" s="208" t="str">
        <f t="shared" si="22"/>
        <v/>
      </c>
      <c r="AK27" s="206" t="str">
        <f t="shared" si="22"/>
        <v/>
      </c>
      <c r="AL27" s="206" t="str">
        <f t="shared" si="22"/>
        <v/>
      </c>
      <c r="AM27" s="207" t="str">
        <f t="shared" si="26"/>
        <v/>
      </c>
      <c r="AN27" s="208" t="str">
        <f t="shared" si="26"/>
        <v/>
      </c>
      <c r="AO27" s="206" t="str">
        <f t="shared" si="26"/>
        <v/>
      </c>
      <c r="AP27" s="206" t="str">
        <f t="shared" si="26"/>
        <v/>
      </c>
      <c r="AQ27" s="207" t="str">
        <f t="shared" si="26"/>
        <v/>
      </c>
      <c r="AR27" s="208" t="str">
        <f t="shared" si="26"/>
        <v/>
      </c>
      <c r="AS27" s="206" t="str">
        <f t="shared" si="26"/>
        <v/>
      </c>
      <c r="AT27" s="206" t="str">
        <f t="shared" si="26"/>
        <v/>
      </c>
      <c r="AU27" s="207" t="str">
        <f t="shared" si="26"/>
        <v/>
      </c>
      <c r="AV27" s="208" t="str">
        <f t="shared" si="26"/>
        <v/>
      </c>
      <c r="AW27" s="206" t="str">
        <f t="shared" si="26"/>
        <v/>
      </c>
      <c r="AX27" s="206" t="str">
        <f t="shared" si="26"/>
        <v/>
      </c>
      <c r="AY27" s="207" t="str">
        <f t="shared" si="26"/>
        <v/>
      </c>
      <c r="AZ27" s="208" t="str">
        <f t="shared" si="26"/>
        <v/>
      </c>
      <c r="BA27" s="206" t="str">
        <f t="shared" si="26"/>
        <v/>
      </c>
      <c r="BB27" s="206" t="str">
        <f t="shared" si="26"/>
        <v/>
      </c>
      <c r="BC27" s="207" t="str">
        <f t="shared" si="23"/>
        <v/>
      </c>
      <c r="BD27" s="208" t="str">
        <f t="shared" si="23"/>
        <v/>
      </c>
      <c r="BE27" s="206" t="str">
        <f t="shared" si="23"/>
        <v/>
      </c>
      <c r="BF27" s="206" t="str">
        <f t="shared" si="23"/>
        <v/>
      </c>
      <c r="BG27" s="207" t="str">
        <f t="shared" si="23"/>
        <v/>
      </c>
      <c r="BH27" s="208" t="str">
        <f t="shared" si="23"/>
        <v/>
      </c>
      <c r="BI27" s="206" t="str">
        <f t="shared" si="23"/>
        <v/>
      </c>
      <c r="BJ27" s="206" t="str">
        <f t="shared" si="23"/>
        <v/>
      </c>
      <c r="BK27" s="207" t="str">
        <f t="shared" si="23"/>
        <v/>
      </c>
      <c r="BL27" s="208" t="str">
        <f t="shared" si="23"/>
        <v/>
      </c>
      <c r="BM27" s="206" t="str">
        <f t="shared" si="23"/>
        <v/>
      </c>
      <c r="BN27" s="206" t="str">
        <f t="shared" si="23"/>
        <v/>
      </c>
      <c r="BO27" s="207" t="str">
        <f t="shared" si="23"/>
        <v/>
      </c>
      <c r="BP27" s="208" t="str">
        <f t="shared" si="27"/>
        <v/>
      </c>
      <c r="BQ27" s="206" t="str">
        <f t="shared" si="27"/>
        <v/>
      </c>
      <c r="BR27" s="206" t="str">
        <f t="shared" si="27"/>
        <v/>
      </c>
      <c r="BS27" s="207" t="str">
        <f t="shared" si="27"/>
        <v/>
      </c>
      <c r="BT27" s="208" t="str">
        <f t="shared" si="27"/>
        <v/>
      </c>
      <c r="BU27" s="206" t="str">
        <f t="shared" si="27"/>
        <v/>
      </c>
      <c r="BV27" s="206" t="str">
        <f t="shared" si="27"/>
        <v/>
      </c>
      <c r="BW27" s="207" t="str">
        <f t="shared" si="27"/>
        <v/>
      </c>
      <c r="BX27" s="208" t="str">
        <f t="shared" si="27"/>
        <v/>
      </c>
      <c r="BY27" s="206" t="str">
        <f t="shared" si="27"/>
        <v/>
      </c>
      <c r="BZ27" s="206" t="str">
        <f t="shared" si="27"/>
        <v/>
      </c>
      <c r="CA27" s="207" t="str">
        <f t="shared" si="27"/>
        <v/>
      </c>
      <c r="CB27" s="208" t="str">
        <f t="shared" si="27"/>
        <v/>
      </c>
      <c r="CC27" s="206" t="str">
        <f t="shared" si="27"/>
        <v/>
      </c>
      <c r="CD27" s="206" t="str">
        <f t="shared" si="27"/>
        <v/>
      </c>
      <c r="CE27" s="207" t="str">
        <f t="shared" si="27"/>
        <v/>
      </c>
    </row>
    <row r="28" spans="1:83" ht="18" customHeight="1">
      <c r="A28" s="22">
        <f>+TABELLA!U32</f>
        <v>0</v>
      </c>
      <c r="B28" s="22">
        <f>+TABELLA!V32</f>
        <v>0</v>
      </c>
      <c r="C28" s="22">
        <f>+TABELLA!W32</f>
        <v>0</v>
      </c>
      <c r="D28" s="22">
        <f>+TABELLA!X32</f>
        <v>0</v>
      </c>
      <c r="E28" s="22"/>
      <c r="F28" s="26">
        <f>IF(TABELLA!B32="","",TABELLA!B32)</f>
        <v>2</v>
      </c>
      <c r="G28" s="27" t="str">
        <f>IF(TABELLA!C32="","",TABELLA!C32)</f>
        <v/>
      </c>
      <c r="H28" s="203" t="str">
        <f t="shared" ref="H28:V28" si="33">IF(AND(G$3&gt;=$A28,G$3&lt;$B28),1,IF(AND(G$3&gt;=$C28,G$3&lt;$D28),1,""))</f>
        <v/>
      </c>
      <c r="I28" s="203" t="str">
        <f t="shared" si="33"/>
        <v/>
      </c>
      <c r="J28" s="203" t="str">
        <f t="shared" si="33"/>
        <v/>
      </c>
      <c r="K28" s="204" t="str">
        <f t="shared" si="33"/>
        <v/>
      </c>
      <c r="L28" s="205" t="str">
        <f t="shared" si="33"/>
        <v/>
      </c>
      <c r="M28" s="203" t="str">
        <f t="shared" si="33"/>
        <v/>
      </c>
      <c r="N28" s="203" t="str">
        <f t="shared" si="33"/>
        <v/>
      </c>
      <c r="O28" s="204" t="str">
        <f t="shared" si="33"/>
        <v/>
      </c>
      <c r="P28" s="205" t="str">
        <f t="shared" si="33"/>
        <v/>
      </c>
      <c r="Q28" s="203" t="str">
        <f t="shared" si="33"/>
        <v/>
      </c>
      <c r="R28" s="203" t="str">
        <f t="shared" si="33"/>
        <v/>
      </c>
      <c r="S28" s="204" t="str">
        <f t="shared" si="33"/>
        <v/>
      </c>
      <c r="T28" s="205" t="str">
        <f t="shared" si="33"/>
        <v/>
      </c>
      <c r="U28" s="203" t="str">
        <f t="shared" si="33"/>
        <v/>
      </c>
      <c r="V28" s="203" t="str">
        <f t="shared" si="33"/>
        <v/>
      </c>
      <c r="W28" s="204" t="str">
        <f t="shared" si="25"/>
        <v/>
      </c>
      <c r="X28" s="205" t="str">
        <f t="shared" si="22"/>
        <v/>
      </c>
      <c r="Y28" s="203" t="str">
        <f t="shared" si="22"/>
        <v/>
      </c>
      <c r="Z28" s="203" t="str">
        <f t="shared" si="22"/>
        <v/>
      </c>
      <c r="AA28" s="204" t="str">
        <f t="shared" si="22"/>
        <v/>
      </c>
      <c r="AB28" s="205" t="str">
        <f t="shared" si="22"/>
        <v/>
      </c>
      <c r="AC28" s="203" t="str">
        <f t="shared" si="22"/>
        <v/>
      </c>
      <c r="AD28" s="203" t="str">
        <f t="shared" si="22"/>
        <v/>
      </c>
      <c r="AE28" s="204" t="str">
        <f t="shared" si="22"/>
        <v/>
      </c>
      <c r="AF28" s="205" t="str">
        <f t="shared" si="22"/>
        <v/>
      </c>
      <c r="AG28" s="203" t="str">
        <f t="shared" si="22"/>
        <v/>
      </c>
      <c r="AH28" s="203" t="str">
        <f t="shared" si="22"/>
        <v/>
      </c>
      <c r="AI28" s="204" t="str">
        <f t="shared" si="22"/>
        <v/>
      </c>
      <c r="AJ28" s="205" t="str">
        <f t="shared" si="22"/>
        <v/>
      </c>
      <c r="AK28" s="203" t="str">
        <f t="shared" si="22"/>
        <v/>
      </c>
      <c r="AL28" s="203" t="str">
        <f t="shared" si="22"/>
        <v/>
      </c>
      <c r="AM28" s="204" t="str">
        <f t="shared" si="26"/>
        <v/>
      </c>
      <c r="AN28" s="205" t="str">
        <f t="shared" si="26"/>
        <v/>
      </c>
      <c r="AO28" s="203" t="str">
        <f t="shared" si="26"/>
        <v/>
      </c>
      <c r="AP28" s="203" t="str">
        <f t="shared" si="26"/>
        <v/>
      </c>
      <c r="AQ28" s="204" t="str">
        <f t="shared" si="26"/>
        <v/>
      </c>
      <c r="AR28" s="205" t="str">
        <f t="shared" si="26"/>
        <v/>
      </c>
      <c r="AS28" s="203" t="str">
        <f t="shared" si="26"/>
        <v/>
      </c>
      <c r="AT28" s="203" t="str">
        <f t="shared" si="26"/>
        <v/>
      </c>
      <c r="AU28" s="204" t="str">
        <f t="shared" si="26"/>
        <v/>
      </c>
      <c r="AV28" s="205" t="str">
        <f t="shared" si="26"/>
        <v/>
      </c>
      <c r="AW28" s="203" t="str">
        <f t="shared" si="26"/>
        <v/>
      </c>
      <c r="AX28" s="203" t="str">
        <f t="shared" si="26"/>
        <v/>
      </c>
      <c r="AY28" s="204" t="str">
        <f t="shared" si="26"/>
        <v/>
      </c>
      <c r="AZ28" s="205" t="str">
        <f t="shared" si="26"/>
        <v/>
      </c>
      <c r="BA28" s="203" t="str">
        <f t="shared" si="26"/>
        <v/>
      </c>
      <c r="BB28" s="203" t="str">
        <f t="shared" si="26"/>
        <v/>
      </c>
      <c r="BC28" s="204" t="str">
        <f t="shared" si="23"/>
        <v/>
      </c>
      <c r="BD28" s="205" t="str">
        <f t="shared" si="23"/>
        <v/>
      </c>
      <c r="BE28" s="203" t="str">
        <f t="shared" si="23"/>
        <v/>
      </c>
      <c r="BF28" s="203" t="str">
        <f t="shared" si="23"/>
        <v/>
      </c>
      <c r="BG28" s="204" t="str">
        <f t="shared" si="23"/>
        <v/>
      </c>
      <c r="BH28" s="205" t="str">
        <f t="shared" si="23"/>
        <v/>
      </c>
      <c r="BI28" s="203" t="str">
        <f t="shared" si="23"/>
        <v/>
      </c>
      <c r="BJ28" s="203" t="str">
        <f t="shared" si="23"/>
        <v/>
      </c>
      <c r="BK28" s="204" t="str">
        <f t="shared" si="23"/>
        <v/>
      </c>
      <c r="BL28" s="205" t="str">
        <f t="shared" si="23"/>
        <v/>
      </c>
      <c r="BM28" s="203" t="str">
        <f t="shared" si="23"/>
        <v/>
      </c>
      <c r="BN28" s="203" t="str">
        <f t="shared" si="23"/>
        <v/>
      </c>
      <c r="BO28" s="204" t="str">
        <f t="shared" si="23"/>
        <v/>
      </c>
      <c r="BP28" s="205" t="str">
        <f t="shared" si="27"/>
        <v/>
      </c>
      <c r="BQ28" s="203" t="str">
        <f t="shared" si="27"/>
        <v/>
      </c>
      <c r="BR28" s="203" t="str">
        <f t="shared" si="27"/>
        <v/>
      </c>
      <c r="BS28" s="204" t="str">
        <f t="shared" si="27"/>
        <v/>
      </c>
      <c r="BT28" s="205" t="str">
        <f t="shared" si="27"/>
        <v/>
      </c>
      <c r="BU28" s="203" t="str">
        <f t="shared" si="27"/>
        <v/>
      </c>
      <c r="BV28" s="203" t="str">
        <f t="shared" si="27"/>
        <v/>
      </c>
      <c r="BW28" s="204" t="str">
        <f t="shared" si="27"/>
        <v/>
      </c>
      <c r="BX28" s="205" t="str">
        <f t="shared" si="27"/>
        <v/>
      </c>
      <c r="BY28" s="203" t="str">
        <f t="shared" si="27"/>
        <v/>
      </c>
      <c r="BZ28" s="203" t="str">
        <f t="shared" si="27"/>
        <v/>
      </c>
      <c r="CA28" s="204" t="str">
        <f t="shared" si="27"/>
        <v/>
      </c>
      <c r="CB28" s="205" t="str">
        <f t="shared" si="27"/>
        <v/>
      </c>
      <c r="CC28" s="203" t="str">
        <f t="shared" si="27"/>
        <v/>
      </c>
      <c r="CD28" s="203" t="str">
        <f t="shared" si="27"/>
        <v/>
      </c>
      <c r="CE28" s="204" t="str">
        <f t="shared" si="27"/>
        <v/>
      </c>
    </row>
    <row r="29" spans="1:83" ht="18" customHeight="1">
      <c r="A29" s="22">
        <f>+TABELLA!U33</f>
        <v>0</v>
      </c>
      <c r="B29" s="22">
        <f>+TABELLA!V33</f>
        <v>0</v>
      </c>
      <c r="C29" s="22">
        <f>+TABELLA!W33</f>
        <v>0</v>
      </c>
      <c r="D29" s="22">
        <f>+TABELLA!X33</f>
        <v>0</v>
      </c>
      <c r="E29" s="22"/>
      <c r="F29" s="41" t="str">
        <f>IF(TABELLA!B33="","",TABELLA!B33)</f>
        <v/>
      </c>
      <c r="G29" s="42" t="str">
        <f>IF(TABELLA!C33="","",TABELLA!C33)</f>
        <v/>
      </c>
      <c r="H29" s="206" t="str">
        <f t="shared" ref="H29:V29" si="34">IF(AND(G$3&gt;=$A29,G$3&lt;$B29),1,IF(AND(G$3&gt;=$C29,G$3&lt;$D29),1,""))</f>
        <v/>
      </c>
      <c r="I29" s="206" t="str">
        <f t="shared" si="34"/>
        <v/>
      </c>
      <c r="J29" s="206" t="str">
        <f t="shared" si="34"/>
        <v/>
      </c>
      <c r="K29" s="207" t="str">
        <f t="shared" si="34"/>
        <v/>
      </c>
      <c r="L29" s="208" t="str">
        <f t="shared" si="34"/>
        <v/>
      </c>
      <c r="M29" s="206" t="str">
        <f t="shared" si="34"/>
        <v/>
      </c>
      <c r="N29" s="206" t="str">
        <f t="shared" si="34"/>
        <v/>
      </c>
      <c r="O29" s="207" t="str">
        <f t="shared" si="34"/>
        <v/>
      </c>
      <c r="P29" s="208" t="str">
        <f t="shared" si="34"/>
        <v/>
      </c>
      <c r="Q29" s="206" t="str">
        <f t="shared" si="34"/>
        <v/>
      </c>
      <c r="R29" s="206" t="str">
        <f t="shared" si="34"/>
        <v/>
      </c>
      <c r="S29" s="207" t="str">
        <f t="shared" si="34"/>
        <v/>
      </c>
      <c r="T29" s="208" t="str">
        <f t="shared" si="34"/>
        <v/>
      </c>
      <c r="U29" s="206" t="str">
        <f t="shared" si="34"/>
        <v/>
      </c>
      <c r="V29" s="206" t="str">
        <f t="shared" si="34"/>
        <v/>
      </c>
      <c r="W29" s="207" t="str">
        <f t="shared" si="25"/>
        <v/>
      </c>
      <c r="X29" s="208" t="str">
        <f t="shared" si="22"/>
        <v/>
      </c>
      <c r="Y29" s="206" t="str">
        <f t="shared" si="22"/>
        <v/>
      </c>
      <c r="Z29" s="206" t="str">
        <f t="shared" si="22"/>
        <v/>
      </c>
      <c r="AA29" s="207" t="str">
        <f t="shared" si="22"/>
        <v/>
      </c>
      <c r="AB29" s="208" t="str">
        <f t="shared" si="22"/>
        <v/>
      </c>
      <c r="AC29" s="206" t="str">
        <f t="shared" si="22"/>
        <v/>
      </c>
      <c r="AD29" s="206" t="str">
        <f t="shared" si="22"/>
        <v/>
      </c>
      <c r="AE29" s="207" t="str">
        <f t="shared" si="22"/>
        <v/>
      </c>
      <c r="AF29" s="208" t="str">
        <f t="shared" si="22"/>
        <v/>
      </c>
      <c r="AG29" s="206" t="str">
        <f t="shared" si="22"/>
        <v/>
      </c>
      <c r="AH29" s="206" t="str">
        <f t="shared" si="22"/>
        <v/>
      </c>
      <c r="AI29" s="207" t="str">
        <f t="shared" si="22"/>
        <v/>
      </c>
      <c r="AJ29" s="208" t="str">
        <f t="shared" si="22"/>
        <v/>
      </c>
      <c r="AK29" s="206" t="str">
        <f t="shared" si="22"/>
        <v/>
      </c>
      <c r="AL29" s="206" t="str">
        <f t="shared" si="22"/>
        <v/>
      </c>
      <c r="AM29" s="207" t="str">
        <f t="shared" si="26"/>
        <v/>
      </c>
      <c r="AN29" s="208" t="str">
        <f t="shared" si="26"/>
        <v/>
      </c>
      <c r="AO29" s="206" t="str">
        <f t="shared" si="26"/>
        <v/>
      </c>
      <c r="AP29" s="206" t="str">
        <f t="shared" si="26"/>
        <v/>
      </c>
      <c r="AQ29" s="207" t="str">
        <f t="shared" si="26"/>
        <v/>
      </c>
      <c r="AR29" s="208" t="str">
        <f t="shared" si="26"/>
        <v/>
      </c>
      <c r="AS29" s="206" t="str">
        <f t="shared" si="26"/>
        <v/>
      </c>
      <c r="AT29" s="206" t="str">
        <f t="shared" si="26"/>
        <v/>
      </c>
      <c r="AU29" s="207" t="str">
        <f t="shared" si="26"/>
        <v/>
      </c>
      <c r="AV29" s="208" t="str">
        <f t="shared" si="26"/>
        <v/>
      </c>
      <c r="AW29" s="206" t="str">
        <f t="shared" si="26"/>
        <v/>
      </c>
      <c r="AX29" s="206" t="str">
        <f t="shared" si="26"/>
        <v/>
      </c>
      <c r="AY29" s="207" t="str">
        <f t="shared" si="26"/>
        <v/>
      </c>
      <c r="AZ29" s="208" t="str">
        <f t="shared" si="26"/>
        <v/>
      </c>
      <c r="BA29" s="206" t="str">
        <f t="shared" si="26"/>
        <v/>
      </c>
      <c r="BB29" s="206" t="str">
        <f t="shared" si="26"/>
        <v/>
      </c>
      <c r="BC29" s="207" t="str">
        <f t="shared" si="23"/>
        <v/>
      </c>
      <c r="BD29" s="208" t="str">
        <f t="shared" si="23"/>
        <v/>
      </c>
      <c r="BE29" s="206" t="str">
        <f t="shared" si="23"/>
        <v/>
      </c>
      <c r="BF29" s="206" t="str">
        <f t="shared" si="23"/>
        <v/>
      </c>
      <c r="BG29" s="207" t="str">
        <f t="shared" si="23"/>
        <v/>
      </c>
      <c r="BH29" s="208" t="str">
        <f t="shared" si="23"/>
        <v/>
      </c>
      <c r="BI29" s="206" t="str">
        <f t="shared" si="23"/>
        <v/>
      </c>
      <c r="BJ29" s="206" t="str">
        <f t="shared" si="23"/>
        <v/>
      </c>
      <c r="BK29" s="207" t="str">
        <f t="shared" si="23"/>
        <v/>
      </c>
      <c r="BL29" s="208" t="str">
        <f t="shared" si="23"/>
        <v/>
      </c>
      <c r="BM29" s="206" t="str">
        <f t="shared" si="23"/>
        <v/>
      </c>
      <c r="BN29" s="206" t="str">
        <f t="shared" si="23"/>
        <v/>
      </c>
      <c r="BO29" s="207" t="str">
        <f t="shared" si="23"/>
        <v/>
      </c>
      <c r="BP29" s="208" t="str">
        <f t="shared" si="27"/>
        <v/>
      </c>
      <c r="BQ29" s="206" t="str">
        <f t="shared" si="27"/>
        <v/>
      </c>
      <c r="BR29" s="206" t="str">
        <f t="shared" si="27"/>
        <v/>
      </c>
      <c r="BS29" s="207" t="str">
        <f t="shared" si="27"/>
        <v/>
      </c>
      <c r="BT29" s="208" t="str">
        <f t="shared" si="27"/>
        <v/>
      </c>
      <c r="BU29" s="206" t="str">
        <f t="shared" si="27"/>
        <v/>
      </c>
      <c r="BV29" s="206" t="str">
        <f t="shared" si="27"/>
        <v/>
      </c>
      <c r="BW29" s="207" t="str">
        <f t="shared" si="27"/>
        <v/>
      </c>
      <c r="BX29" s="208" t="str">
        <f t="shared" si="27"/>
        <v/>
      </c>
      <c r="BY29" s="206" t="str">
        <f t="shared" si="27"/>
        <v/>
      </c>
      <c r="BZ29" s="206" t="str">
        <f t="shared" si="27"/>
        <v/>
      </c>
      <c r="CA29" s="207" t="str">
        <f t="shared" si="27"/>
        <v/>
      </c>
      <c r="CB29" s="208" t="str">
        <f t="shared" si="27"/>
        <v/>
      </c>
      <c r="CC29" s="206" t="str">
        <f t="shared" si="27"/>
        <v/>
      </c>
      <c r="CD29" s="206" t="str">
        <f t="shared" si="27"/>
        <v/>
      </c>
      <c r="CE29" s="207" t="str">
        <f t="shared" si="27"/>
        <v/>
      </c>
    </row>
    <row r="30" spans="1:83" ht="18" customHeight="1">
      <c r="A30" s="22">
        <f>+TABELLA!U34</f>
        <v>0</v>
      </c>
      <c r="B30" s="22">
        <f>+TABELLA!V34</f>
        <v>0</v>
      </c>
      <c r="C30" s="22">
        <f>+TABELLA!W34</f>
        <v>0</v>
      </c>
      <c r="D30" s="22">
        <f>+TABELLA!X34</f>
        <v>0</v>
      </c>
      <c r="E30" s="22"/>
      <c r="F30" s="26">
        <f>IF(TABELLA!B34="","",TABELLA!B34)</f>
        <v>8</v>
      </c>
      <c r="G30" s="27" t="str">
        <f>IF(TABELLA!C34="","",TABELLA!C34)</f>
        <v>VALENTINI TAMARA</v>
      </c>
      <c r="H30" s="203" t="str">
        <f t="shared" ref="H30:V30" si="35">IF(AND(G$3&gt;=$A30,G$3&lt;$B30),1,IF(AND(G$3&gt;=$C30,G$3&lt;$D30),1,""))</f>
        <v/>
      </c>
      <c r="I30" s="203" t="str">
        <f t="shared" si="35"/>
        <v/>
      </c>
      <c r="J30" s="203" t="str">
        <f t="shared" si="35"/>
        <v/>
      </c>
      <c r="K30" s="204" t="str">
        <f t="shared" si="35"/>
        <v/>
      </c>
      <c r="L30" s="205" t="str">
        <f t="shared" si="35"/>
        <v/>
      </c>
      <c r="M30" s="203" t="str">
        <f t="shared" si="35"/>
        <v/>
      </c>
      <c r="N30" s="203" t="str">
        <f t="shared" si="35"/>
        <v/>
      </c>
      <c r="O30" s="204" t="str">
        <f t="shared" si="35"/>
        <v/>
      </c>
      <c r="P30" s="205" t="str">
        <f t="shared" si="35"/>
        <v/>
      </c>
      <c r="Q30" s="203" t="str">
        <f t="shared" si="35"/>
        <v/>
      </c>
      <c r="R30" s="203" t="str">
        <f t="shared" si="35"/>
        <v/>
      </c>
      <c r="S30" s="204" t="str">
        <f t="shared" si="35"/>
        <v/>
      </c>
      <c r="T30" s="205" t="str">
        <f t="shared" si="35"/>
        <v/>
      </c>
      <c r="U30" s="203" t="str">
        <f t="shared" si="35"/>
        <v/>
      </c>
      <c r="V30" s="203" t="str">
        <f t="shared" si="35"/>
        <v/>
      </c>
      <c r="W30" s="204" t="str">
        <f t="shared" si="25"/>
        <v/>
      </c>
      <c r="X30" s="205" t="str">
        <f t="shared" si="22"/>
        <v/>
      </c>
      <c r="Y30" s="203" t="str">
        <f t="shared" si="22"/>
        <v/>
      </c>
      <c r="Z30" s="203" t="str">
        <f t="shared" si="22"/>
        <v/>
      </c>
      <c r="AA30" s="204" t="str">
        <f t="shared" si="22"/>
        <v/>
      </c>
      <c r="AB30" s="205" t="str">
        <f t="shared" si="22"/>
        <v/>
      </c>
      <c r="AC30" s="203" t="str">
        <f t="shared" si="22"/>
        <v/>
      </c>
      <c r="AD30" s="203" t="str">
        <f t="shared" si="22"/>
        <v/>
      </c>
      <c r="AE30" s="204" t="str">
        <f t="shared" si="22"/>
        <v/>
      </c>
      <c r="AF30" s="205" t="str">
        <f t="shared" si="22"/>
        <v/>
      </c>
      <c r="AG30" s="203" t="str">
        <f t="shared" si="22"/>
        <v/>
      </c>
      <c r="AH30" s="203" t="str">
        <f t="shared" si="22"/>
        <v/>
      </c>
      <c r="AI30" s="204" t="str">
        <f t="shared" si="22"/>
        <v/>
      </c>
      <c r="AJ30" s="205" t="str">
        <f t="shared" si="22"/>
        <v/>
      </c>
      <c r="AK30" s="203" t="str">
        <f t="shared" si="22"/>
        <v/>
      </c>
      <c r="AL30" s="203" t="str">
        <f t="shared" si="22"/>
        <v/>
      </c>
      <c r="AM30" s="204" t="str">
        <f t="shared" si="26"/>
        <v/>
      </c>
      <c r="AN30" s="205" t="str">
        <f t="shared" si="26"/>
        <v/>
      </c>
      <c r="AO30" s="203" t="str">
        <f t="shared" si="26"/>
        <v/>
      </c>
      <c r="AP30" s="203" t="str">
        <f t="shared" si="26"/>
        <v/>
      </c>
      <c r="AQ30" s="204" t="str">
        <f t="shared" si="26"/>
        <v/>
      </c>
      <c r="AR30" s="205" t="str">
        <f t="shared" si="26"/>
        <v/>
      </c>
      <c r="AS30" s="203" t="str">
        <f t="shared" si="26"/>
        <v/>
      </c>
      <c r="AT30" s="203" t="str">
        <f t="shared" si="26"/>
        <v/>
      </c>
      <c r="AU30" s="204" t="str">
        <f t="shared" si="26"/>
        <v/>
      </c>
      <c r="AV30" s="205" t="str">
        <f t="shared" si="26"/>
        <v/>
      </c>
      <c r="AW30" s="203" t="str">
        <f t="shared" si="26"/>
        <v/>
      </c>
      <c r="AX30" s="203" t="str">
        <f t="shared" si="26"/>
        <v/>
      </c>
      <c r="AY30" s="204" t="str">
        <f t="shared" si="26"/>
        <v/>
      </c>
      <c r="AZ30" s="205" t="str">
        <f t="shared" si="26"/>
        <v/>
      </c>
      <c r="BA30" s="203" t="str">
        <f t="shared" si="26"/>
        <v/>
      </c>
      <c r="BB30" s="203" t="str">
        <f t="shared" si="26"/>
        <v/>
      </c>
      <c r="BC30" s="204" t="str">
        <f t="shared" si="23"/>
        <v/>
      </c>
      <c r="BD30" s="205" t="str">
        <f t="shared" si="23"/>
        <v/>
      </c>
      <c r="BE30" s="203" t="str">
        <f t="shared" si="23"/>
        <v/>
      </c>
      <c r="BF30" s="203" t="str">
        <f t="shared" si="23"/>
        <v/>
      </c>
      <c r="BG30" s="204" t="str">
        <f t="shared" si="23"/>
        <v/>
      </c>
      <c r="BH30" s="205" t="str">
        <f t="shared" si="23"/>
        <v/>
      </c>
      <c r="BI30" s="203" t="str">
        <f t="shared" si="23"/>
        <v/>
      </c>
      <c r="BJ30" s="203" t="str">
        <f t="shared" si="23"/>
        <v/>
      </c>
      <c r="BK30" s="204" t="str">
        <f t="shared" si="23"/>
        <v/>
      </c>
      <c r="BL30" s="205" t="str">
        <f t="shared" si="23"/>
        <v/>
      </c>
      <c r="BM30" s="203" t="str">
        <f t="shared" si="23"/>
        <v/>
      </c>
      <c r="BN30" s="203" t="str">
        <f t="shared" si="23"/>
        <v/>
      </c>
      <c r="BO30" s="204" t="str">
        <f t="shared" si="23"/>
        <v/>
      </c>
      <c r="BP30" s="205" t="str">
        <f t="shared" si="27"/>
        <v/>
      </c>
      <c r="BQ30" s="203" t="str">
        <f t="shared" si="27"/>
        <v/>
      </c>
      <c r="BR30" s="203" t="str">
        <f t="shared" si="27"/>
        <v/>
      </c>
      <c r="BS30" s="204" t="str">
        <f t="shared" si="27"/>
        <v/>
      </c>
      <c r="BT30" s="205" t="str">
        <f t="shared" si="27"/>
        <v/>
      </c>
      <c r="BU30" s="203" t="str">
        <f t="shared" si="27"/>
        <v/>
      </c>
      <c r="BV30" s="203" t="str">
        <f t="shared" si="27"/>
        <v/>
      </c>
      <c r="BW30" s="204" t="str">
        <f t="shared" si="27"/>
        <v/>
      </c>
      <c r="BX30" s="205" t="str">
        <f t="shared" si="27"/>
        <v/>
      </c>
      <c r="BY30" s="203" t="str">
        <f t="shared" si="27"/>
        <v/>
      </c>
      <c r="BZ30" s="203" t="str">
        <f t="shared" si="27"/>
        <v/>
      </c>
      <c r="CA30" s="204" t="str">
        <f t="shared" si="27"/>
        <v/>
      </c>
      <c r="CB30" s="205" t="str">
        <f t="shared" si="27"/>
        <v/>
      </c>
      <c r="CC30" s="203" t="str">
        <f t="shared" si="27"/>
        <v/>
      </c>
      <c r="CD30" s="203" t="str">
        <f t="shared" si="27"/>
        <v/>
      </c>
      <c r="CE30" s="204" t="str">
        <f t="shared" si="27"/>
        <v/>
      </c>
    </row>
    <row r="31" spans="1:83" ht="18" customHeight="1">
      <c r="A31" s="22">
        <f>+TABELLA!U35</f>
        <v>0</v>
      </c>
      <c r="B31" s="22">
        <f>+TABELLA!V35</f>
        <v>0</v>
      </c>
      <c r="C31" s="22">
        <f>+TABELLA!W35</f>
        <v>0</v>
      </c>
      <c r="D31" s="22">
        <f>+TABELLA!X35</f>
        <v>0</v>
      </c>
      <c r="E31" s="22"/>
      <c r="F31" s="41" t="str">
        <f>IF(TABELLA!B35="","",TABELLA!B35)</f>
        <v/>
      </c>
      <c r="G31" s="42" t="str">
        <f>IF(TABELLA!C35="","",TABELLA!C35)</f>
        <v/>
      </c>
      <c r="H31" s="206" t="str">
        <f t="shared" ref="H31:V31" si="36">IF(AND(G$3&gt;=$A31,G$3&lt;$B31),1,IF(AND(G$3&gt;=$C31,G$3&lt;$D31),1,""))</f>
        <v/>
      </c>
      <c r="I31" s="206" t="str">
        <f t="shared" si="36"/>
        <v/>
      </c>
      <c r="J31" s="206" t="str">
        <f t="shared" si="36"/>
        <v/>
      </c>
      <c r="K31" s="207" t="str">
        <f t="shared" si="36"/>
        <v/>
      </c>
      <c r="L31" s="208" t="str">
        <f t="shared" si="36"/>
        <v/>
      </c>
      <c r="M31" s="206" t="str">
        <f t="shared" si="36"/>
        <v/>
      </c>
      <c r="N31" s="206" t="str">
        <f t="shared" si="36"/>
        <v/>
      </c>
      <c r="O31" s="207" t="str">
        <f t="shared" si="36"/>
        <v/>
      </c>
      <c r="P31" s="208" t="str">
        <f t="shared" si="36"/>
        <v/>
      </c>
      <c r="Q31" s="206" t="str">
        <f t="shared" si="36"/>
        <v/>
      </c>
      <c r="R31" s="206" t="str">
        <f t="shared" si="36"/>
        <v/>
      </c>
      <c r="S31" s="207" t="str">
        <f t="shared" si="36"/>
        <v/>
      </c>
      <c r="T31" s="208" t="str">
        <f t="shared" si="36"/>
        <v/>
      </c>
      <c r="U31" s="206" t="str">
        <f t="shared" si="36"/>
        <v/>
      </c>
      <c r="V31" s="206" t="str">
        <f t="shared" si="36"/>
        <v/>
      </c>
      <c r="W31" s="207" t="str">
        <f t="shared" si="25"/>
        <v/>
      </c>
      <c r="X31" s="208" t="str">
        <f t="shared" si="22"/>
        <v/>
      </c>
      <c r="Y31" s="206" t="str">
        <f t="shared" si="22"/>
        <v/>
      </c>
      <c r="Z31" s="206" t="str">
        <f t="shared" si="22"/>
        <v/>
      </c>
      <c r="AA31" s="207" t="str">
        <f t="shared" si="22"/>
        <v/>
      </c>
      <c r="AB31" s="208" t="str">
        <f t="shared" si="22"/>
        <v/>
      </c>
      <c r="AC31" s="206" t="str">
        <f t="shared" si="22"/>
        <v/>
      </c>
      <c r="AD31" s="206" t="str">
        <f t="shared" si="22"/>
        <v/>
      </c>
      <c r="AE31" s="207" t="str">
        <f t="shared" si="22"/>
        <v/>
      </c>
      <c r="AF31" s="208" t="str">
        <f t="shared" si="22"/>
        <v/>
      </c>
      <c r="AG31" s="206" t="str">
        <f t="shared" si="22"/>
        <v/>
      </c>
      <c r="AH31" s="206" t="str">
        <f t="shared" si="22"/>
        <v/>
      </c>
      <c r="AI31" s="207" t="str">
        <f t="shared" si="22"/>
        <v/>
      </c>
      <c r="AJ31" s="208" t="str">
        <f t="shared" si="22"/>
        <v/>
      </c>
      <c r="AK31" s="206" t="str">
        <f t="shared" si="22"/>
        <v/>
      </c>
      <c r="AL31" s="206" t="str">
        <f t="shared" si="22"/>
        <v/>
      </c>
      <c r="AM31" s="207" t="str">
        <f t="shared" si="26"/>
        <v/>
      </c>
      <c r="AN31" s="208" t="str">
        <f t="shared" si="26"/>
        <v/>
      </c>
      <c r="AO31" s="206" t="str">
        <f t="shared" si="26"/>
        <v/>
      </c>
      <c r="AP31" s="206" t="str">
        <f t="shared" si="26"/>
        <v/>
      </c>
      <c r="AQ31" s="207" t="str">
        <f t="shared" si="26"/>
        <v/>
      </c>
      <c r="AR31" s="208" t="str">
        <f t="shared" si="26"/>
        <v/>
      </c>
      <c r="AS31" s="206" t="str">
        <f t="shared" si="26"/>
        <v/>
      </c>
      <c r="AT31" s="206" t="str">
        <f t="shared" si="26"/>
        <v/>
      </c>
      <c r="AU31" s="207" t="str">
        <f t="shared" si="26"/>
        <v/>
      </c>
      <c r="AV31" s="208" t="str">
        <f t="shared" si="26"/>
        <v/>
      </c>
      <c r="AW31" s="206" t="str">
        <f t="shared" si="26"/>
        <v/>
      </c>
      <c r="AX31" s="206" t="str">
        <f t="shared" si="26"/>
        <v/>
      </c>
      <c r="AY31" s="207" t="str">
        <f t="shared" si="26"/>
        <v/>
      </c>
      <c r="AZ31" s="208" t="str">
        <f t="shared" si="26"/>
        <v/>
      </c>
      <c r="BA31" s="206" t="str">
        <f t="shared" si="26"/>
        <v/>
      </c>
      <c r="BB31" s="206" t="str">
        <f t="shared" si="26"/>
        <v/>
      </c>
      <c r="BC31" s="207" t="str">
        <f t="shared" si="23"/>
        <v/>
      </c>
      <c r="BD31" s="208" t="str">
        <f t="shared" si="23"/>
        <v/>
      </c>
      <c r="BE31" s="206" t="str">
        <f t="shared" si="23"/>
        <v/>
      </c>
      <c r="BF31" s="206" t="str">
        <f t="shared" si="23"/>
        <v/>
      </c>
      <c r="BG31" s="207" t="str">
        <f t="shared" si="23"/>
        <v/>
      </c>
      <c r="BH31" s="208" t="str">
        <f t="shared" si="23"/>
        <v/>
      </c>
      <c r="BI31" s="206" t="str">
        <f t="shared" si="23"/>
        <v/>
      </c>
      <c r="BJ31" s="206" t="str">
        <f t="shared" si="23"/>
        <v/>
      </c>
      <c r="BK31" s="207" t="str">
        <f t="shared" si="23"/>
        <v/>
      </c>
      <c r="BL31" s="208" t="str">
        <f t="shared" si="23"/>
        <v/>
      </c>
      <c r="BM31" s="206" t="str">
        <f t="shared" si="23"/>
        <v/>
      </c>
      <c r="BN31" s="206" t="str">
        <f t="shared" si="23"/>
        <v/>
      </c>
      <c r="BO31" s="207" t="str">
        <f t="shared" si="23"/>
        <v/>
      </c>
      <c r="BP31" s="208" t="str">
        <f t="shared" si="27"/>
        <v/>
      </c>
      <c r="BQ31" s="206" t="str">
        <f t="shared" si="27"/>
        <v/>
      </c>
      <c r="BR31" s="206" t="str">
        <f t="shared" si="27"/>
        <v/>
      </c>
      <c r="BS31" s="207" t="str">
        <f t="shared" si="27"/>
        <v/>
      </c>
      <c r="BT31" s="208" t="str">
        <f t="shared" si="27"/>
        <v/>
      </c>
      <c r="BU31" s="206" t="str">
        <f t="shared" si="27"/>
        <v/>
      </c>
      <c r="BV31" s="206" t="str">
        <f t="shared" si="27"/>
        <v/>
      </c>
      <c r="BW31" s="207" t="str">
        <f t="shared" si="27"/>
        <v/>
      </c>
      <c r="BX31" s="208" t="str">
        <f t="shared" si="27"/>
        <v/>
      </c>
      <c r="BY31" s="206" t="str">
        <f t="shared" si="27"/>
        <v/>
      </c>
      <c r="BZ31" s="206" t="str">
        <f t="shared" si="27"/>
        <v/>
      </c>
      <c r="CA31" s="207" t="str">
        <f t="shared" si="27"/>
        <v/>
      </c>
      <c r="CB31" s="208" t="str">
        <f t="shared" si="27"/>
        <v/>
      </c>
      <c r="CC31" s="206" t="str">
        <f t="shared" si="27"/>
        <v/>
      </c>
      <c r="CD31" s="206" t="str">
        <f t="shared" si="27"/>
        <v/>
      </c>
      <c r="CE31" s="207" t="str">
        <f t="shared" si="27"/>
        <v/>
      </c>
    </row>
    <row r="32" spans="1:83" ht="18" customHeight="1">
      <c r="A32" s="22">
        <f>+TABELLA!U36</f>
        <v>0</v>
      </c>
      <c r="B32" s="22">
        <f>+TABELLA!V36</f>
        <v>0</v>
      </c>
      <c r="C32" s="22">
        <f>+TABELLA!W36</f>
        <v>0</v>
      </c>
      <c r="D32" s="22">
        <f>+TABELLA!X36</f>
        <v>0</v>
      </c>
      <c r="E32" s="22"/>
      <c r="F32" s="26" t="str">
        <f>IF(TABELLA!B36="","",TABELLA!B36)</f>
        <v/>
      </c>
      <c r="G32" s="27" t="str">
        <f>IF(TABELLA!C36="","",TABELLA!C36)</f>
        <v/>
      </c>
      <c r="H32" s="203" t="str">
        <f t="shared" ref="H32:V32" si="37">IF(AND(G$3&gt;=$A32,G$3&lt;$B32),1,IF(AND(G$3&gt;=$C32,G$3&lt;$D32),1,""))</f>
        <v/>
      </c>
      <c r="I32" s="203" t="str">
        <f t="shared" si="37"/>
        <v/>
      </c>
      <c r="J32" s="203" t="str">
        <f t="shared" si="37"/>
        <v/>
      </c>
      <c r="K32" s="204" t="str">
        <f t="shared" si="37"/>
        <v/>
      </c>
      <c r="L32" s="205" t="str">
        <f t="shared" si="37"/>
        <v/>
      </c>
      <c r="M32" s="203" t="str">
        <f t="shared" si="37"/>
        <v/>
      </c>
      <c r="N32" s="203" t="str">
        <f t="shared" si="37"/>
        <v/>
      </c>
      <c r="O32" s="204" t="str">
        <f t="shared" si="37"/>
        <v/>
      </c>
      <c r="P32" s="205" t="str">
        <f t="shared" si="37"/>
        <v/>
      </c>
      <c r="Q32" s="203" t="str">
        <f t="shared" si="37"/>
        <v/>
      </c>
      <c r="R32" s="203" t="str">
        <f t="shared" si="37"/>
        <v/>
      </c>
      <c r="S32" s="204" t="str">
        <f t="shared" si="37"/>
        <v/>
      </c>
      <c r="T32" s="205" t="str">
        <f t="shared" si="37"/>
        <v/>
      </c>
      <c r="U32" s="203" t="str">
        <f t="shared" si="37"/>
        <v/>
      </c>
      <c r="V32" s="203" t="str">
        <f t="shared" si="37"/>
        <v/>
      </c>
      <c r="W32" s="204" t="str">
        <f t="shared" si="25"/>
        <v/>
      </c>
      <c r="X32" s="205" t="str">
        <f t="shared" si="22"/>
        <v/>
      </c>
      <c r="Y32" s="203" t="str">
        <f t="shared" si="22"/>
        <v/>
      </c>
      <c r="Z32" s="203" t="str">
        <f t="shared" si="22"/>
        <v/>
      </c>
      <c r="AA32" s="204" t="str">
        <f t="shared" si="22"/>
        <v/>
      </c>
      <c r="AB32" s="205" t="str">
        <f t="shared" si="22"/>
        <v/>
      </c>
      <c r="AC32" s="203" t="str">
        <f t="shared" si="22"/>
        <v/>
      </c>
      <c r="AD32" s="203" t="str">
        <f t="shared" si="22"/>
        <v/>
      </c>
      <c r="AE32" s="204" t="str">
        <f t="shared" si="22"/>
        <v/>
      </c>
      <c r="AF32" s="205" t="str">
        <f t="shared" si="22"/>
        <v/>
      </c>
      <c r="AG32" s="203" t="str">
        <f t="shared" si="22"/>
        <v/>
      </c>
      <c r="AH32" s="203" t="str">
        <f t="shared" si="22"/>
        <v/>
      </c>
      <c r="AI32" s="204" t="str">
        <f t="shared" si="22"/>
        <v/>
      </c>
      <c r="AJ32" s="205" t="str">
        <f t="shared" si="22"/>
        <v/>
      </c>
      <c r="AK32" s="203" t="str">
        <f t="shared" si="22"/>
        <v/>
      </c>
      <c r="AL32" s="203" t="str">
        <f t="shared" si="22"/>
        <v/>
      </c>
      <c r="AM32" s="204" t="str">
        <f t="shared" si="26"/>
        <v/>
      </c>
      <c r="AN32" s="205" t="str">
        <f t="shared" si="26"/>
        <v/>
      </c>
      <c r="AO32" s="203" t="str">
        <f t="shared" si="26"/>
        <v/>
      </c>
      <c r="AP32" s="203" t="str">
        <f t="shared" si="26"/>
        <v/>
      </c>
      <c r="AQ32" s="204" t="str">
        <f t="shared" si="26"/>
        <v/>
      </c>
      <c r="AR32" s="205" t="str">
        <f t="shared" si="26"/>
        <v/>
      </c>
      <c r="AS32" s="203" t="str">
        <f t="shared" si="26"/>
        <v/>
      </c>
      <c r="AT32" s="203" t="str">
        <f t="shared" si="26"/>
        <v/>
      </c>
      <c r="AU32" s="204" t="str">
        <f t="shared" si="26"/>
        <v/>
      </c>
      <c r="AV32" s="205" t="str">
        <f t="shared" si="26"/>
        <v/>
      </c>
      <c r="AW32" s="203" t="str">
        <f t="shared" si="26"/>
        <v/>
      </c>
      <c r="AX32" s="203" t="str">
        <f t="shared" si="26"/>
        <v/>
      </c>
      <c r="AY32" s="204" t="str">
        <f t="shared" si="26"/>
        <v/>
      </c>
      <c r="AZ32" s="205" t="str">
        <f t="shared" si="26"/>
        <v/>
      </c>
      <c r="BA32" s="203" t="str">
        <f t="shared" si="26"/>
        <v/>
      </c>
      <c r="BB32" s="203" t="str">
        <f t="shared" si="26"/>
        <v/>
      </c>
      <c r="BC32" s="204" t="str">
        <f t="shared" si="23"/>
        <v/>
      </c>
      <c r="BD32" s="205" t="str">
        <f t="shared" si="23"/>
        <v/>
      </c>
      <c r="BE32" s="203" t="str">
        <f t="shared" si="23"/>
        <v/>
      </c>
      <c r="BF32" s="203" t="str">
        <f t="shared" si="23"/>
        <v/>
      </c>
      <c r="BG32" s="204" t="str">
        <f t="shared" si="23"/>
        <v/>
      </c>
      <c r="BH32" s="205" t="str">
        <f t="shared" si="23"/>
        <v/>
      </c>
      <c r="BI32" s="203" t="str">
        <f t="shared" si="23"/>
        <v/>
      </c>
      <c r="BJ32" s="203" t="str">
        <f t="shared" si="23"/>
        <v/>
      </c>
      <c r="BK32" s="204" t="str">
        <f t="shared" si="23"/>
        <v/>
      </c>
      <c r="BL32" s="205" t="str">
        <f t="shared" si="23"/>
        <v/>
      </c>
      <c r="BM32" s="203" t="str">
        <f t="shared" si="23"/>
        <v/>
      </c>
      <c r="BN32" s="203" t="str">
        <f t="shared" si="23"/>
        <v/>
      </c>
      <c r="BO32" s="204" t="str">
        <f t="shared" si="23"/>
        <v/>
      </c>
      <c r="BP32" s="205" t="str">
        <f t="shared" si="27"/>
        <v/>
      </c>
      <c r="BQ32" s="203" t="str">
        <f t="shared" si="27"/>
        <v/>
      </c>
      <c r="BR32" s="203" t="str">
        <f t="shared" si="27"/>
        <v/>
      </c>
      <c r="BS32" s="204" t="str">
        <f t="shared" si="27"/>
        <v/>
      </c>
      <c r="BT32" s="205" t="str">
        <f t="shared" si="27"/>
        <v/>
      </c>
      <c r="BU32" s="203" t="str">
        <f t="shared" si="27"/>
        <v/>
      </c>
      <c r="BV32" s="203" t="str">
        <f t="shared" si="27"/>
        <v/>
      </c>
      <c r="BW32" s="204" t="str">
        <f t="shared" si="27"/>
        <v/>
      </c>
      <c r="BX32" s="205" t="str">
        <f t="shared" si="27"/>
        <v/>
      </c>
      <c r="BY32" s="203" t="str">
        <f t="shared" si="27"/>
        <v/>
      </c>
      <c r="BZ32" s="203" t="str">
        <f t="shared" si="27"/>
        <v/>
      </c>
      <c r="CA32" s="204" t="str">
        <f t="shared" si="27"/>
        <v/>
      </c>
      <c r="CB32" s="205" t="str">
        <f t="shared" si="27"/>
        <v/>
      </c>
      <c r="CC32" s="203" t="str">
        <f t="shared" si="27"/>
        <v/>
      </c>
      <c r="CD32" s="203" t="str">
        <f t="shared" si="27"/>
        <v/>
      </c>
      <c r="CE32" s="204" t="str">
        <f t="shared" si="27"/>
        <v/>
      </c>
    </row>
    <row r="33" spans="1:87" ht="18" customHeight="1">
      <c r="A33" s="22">
        <f>+TABELLA!U37</f>
        <v>0</v>
      </c>
      <c r="B33" s="22">
        <f>+TABELLA!V37</f>
        <v>0</v>
      </c>
      <c r="C33" s="22">
        <f>+TABELLA!W37</f>
        <v>0</v>
      </c>
      <c r="D33" s="22">
        <f>+TABELLA!X37</f>
        <v>0</v>
      </c>
      <c r="E33" s="22"/>
      <c r="F33" s="41">
        <f>IF(TABELLA!B37="","",TABELLA!B37)</f>
        <v>4</v>
      </c>
      <c r="G33" s="42" t="str">
        <f>IF(TABELLA!C37="","",TABELLA!C37)</f>
        <v/>
      </c>
      <c r="H33" s="206" t="str">
        <f t="shared" ref="H33:V33" si="38">IF(AND(G$3&gt;=$A33,G$3&lt;$B33),1,IF(AND(G$3&gt;=$C33,G$3&lt;$D33),1,""))</f>
        <v/>
      </c>
      <c r="I33" s="206" t="str">
        <f t="shared" si="38"/>
        <v/>
      </c>
      <c r="J33" s="206" t="str">
        <f t="shared" si="38"/>
        <v/>
      </c>
      <c r="K33" s="207" t="str">
        <f t="shared" si="38"/>
        <v/>
      </c>
      <c r="L33" s="208" t="str">
        <f t="shared" si="38"/>
        <v/>
      </c>
      <c r="M33" s="206" t="str">
        <f t="shared" si="38"/>
        <v/>
      </c>
      <c r="N33" s="206" t="str">
        <f t="shared" si="38"/>
        <v/>
      </c>
      <c r="O33" s="207" t="str">
        <f t="shared" si="38"/>
        <v/>
      </c>
      <c r="P33" s="208" t="str">
        <f t="shared" si="38"/>
        <v/>
      </c>
      <c r="Q33" s="206" t="str">
        <f t="shared" si="38"/>
        <v/>
      </c>
      <c r="R33" s="206" t="str">
        <f t="shared" si="38"/>
        <v/>
      </c>
      <c r="S33" s="207" t="str">
        <f t="shared" si="38"/>
        <v/>
      </c>
      <c r="T33" s="208" t="str">
        <f t="shared" si="38"/>
        <v/>
      </c>
      <c r="U33" s="206" t="str">
        <f t="shared" si="38"/>
        <v/>
      </c>
      <c r="V33" s="206" t="str">
        <f t="shared" si="38"/>
        <v/>
      </c>
      <c r="W33" s="207" t="str">
        <f t="shared" si="25"/>
        <v/>
      </c>
      <c r="X33" s="208" t="str">
        <f t="shared" si="22"/>
        <v/>
      </c>
      <c r="Y33" s="206" t="str">
        <f t="shared" si="22"/>
        <v/>
      </c>
      <c r="Z33" s="206" t="str">
        <f t="shared" si="22"/>
        <v/>
      </c>
      <c r="AA33" s="207" t="str">
        <f t="shared" si="22"/>
        <v/>
      </c>
      <c r="AB33" s="208" t="str">
        <f t="shared" si="22"/>
        <v/>
      </c>
      <c r="AC33" s="206" t="str">
        <f t="shared" si="22"/>
        <v/>
      </c>
      <c r="AD33" s="206" t="str">
        <f t="shared" si="22"/>
        <v/>
      </c>
      <c r="AE33" s="207" t="str">
        <f t="shared" si="22"/>
        <v/>
      </c>
      <c r="AF33" s="208" t="str">
        <f t="shared" si="22"/>
        <v/>
      </c>
      <c r="AG33" s="206" t="str">
        <f t="shared" si="22"/>
        <v/>
      </c>
      <c r="AH33" s="206" t="str">
        <f t="shared" si="22"/>
        <v/>
      </c>
      <c r="AI33" s="207" t="str">
        <f t="shared" si="22"/>
        <v/>
      </c>
      <c r="AJ33" s="208" t="str">
        <f t="shared" si="22"/>
        <v/>
      </c>
      <c r="AK33" s="206" t="str">
        <f t="shared" si="22"/>
        <v/>
      </c>
      <c r="AL33" s="206" t="str">
        <f t="shared" si="22"/>
        <v/>
      </c>
      <c r="AM33" s="207" t="str">
        <f t="shared" si="26"/>
        <v/>
      </c>
      <c r="AN33" s="208" t="str">
        <f t="shared" si="26"/>
        <v/>
      </c>
      <c r="AO33" s="206" t="str">
        <f t="shared" si="26"/>
        <v/>
      </c>
      <c r="AP33" s="206" t="str">
        <f t="shared" si="26"/>
        <v/>
      </c>
      <c r="AQ33" s="207" t="str">
        <f t="shared" si="26"/>
        <v/>
      </c>
      <c r="AR33" s="208" t="str">
        <f t="shared" si="26"/>
        <v/>
      </c>
      <c r="AS33" s="206" t="str">
        <f t="shared" si="26"/>
        <v/>
      </c>
      <c r="AT33" s="206" t="str">
        <f t="shared" si="26"/>
        <v/>
      </c>
      <c r="AU33" s="207" t="str">
        <f t="shared" si="26"/>
        <v/>
      </c>
      <c r="AV33" s="208" t="str">
        <f t="shared" si="26"/>
        <v/>
      </c>
      <c r="AW33" s="206" t="str">
        <f t="shared" si="26"/>
        <v/>
      </c>
      <c r="AX33" s="206" t="str">
        <f t="shared" si="26"/>
        <v/>
      </c>
      <c r="AY33" s="207" t="str">
        <f t="shared" si="26"/>
        <v/>
      </c>
      <c r="AZ33" s="208" t="str">
        <f t="shared" si="26"/>
        <v/>
      </c>
      <c r="BA33" s="206" t="str">
        <f t="shared" si="26"/>
        <v/>
      </c>
      <c r="BB33" s="206" t="str">
        <f t="shared" si="26"/>
        <v/>
      </c>
      <c r="BC33" s="207" t="str">
        <f t="shared" si="23"/>
        <v/>
      </c>
      <c r="BD33" s="208" t="str">
        <f t="shared" si="23"/>
        <v/>
      </c>
      <c r="BE33" s="206" t="str">
        <f t="shared" si="23"/>
        <v/>
      </c>
      <c r="BF33" s="206" t="str">
        <f t="shared" si="23"/>
        <v/>
      </c>
      <c r="BG33" s="207" t="str">
        <f t="shared" si="23"/>
        <v/>
      </c>
      <c r="BH33" s="208" t="str">
        <f t="shared" si="23"/>
        <v/>
      </c>
      <c r="BI33" s="206" t="str">
        <f t="shared" si="23"/>
        <v/>
      </c>
      <c r="BJ33" s="206" t="str">
        <f t="shared" si="23"/>
        <v/>
      </c>
      <c r="BK33" s="207" t="str">
        <f t="shared" si="23"/>
        <v/>
      </c>
      <c r="BL33" s="208" t="str">
        <f t="shared" si="23"/>
        <v/>
      </c>
      <c r="BM33" s="206" t="str">
        <f t="shared" si="23"/>
        <v/>
      </c>
      <c r="BN33" s="206" t="str">
        <f t="shared" si="23"/>
        <v/>
      </c>
      <c r="BO33" s="207" t="str">
        <f t="shared" si="23"/>
        <v/>
      </c>
      <c r="BP33" s="208" t="str">
        <f t="shared" si="27"/>
        <v/>
      </c>
      <c r="BQ33" s="206" t="str">
        <f t="shared" si="27"/>
        <v/>
      </c>
      <c r="BR33" s="206" t="str">
        <f t="shared" si="27"/>
        <v/>
      </c>
      <c r="BS33" s="207" t="str">
        <f t="shared" si="27"/>
        <v/>
      </c>
      <c r="BT33" s="208" t="str">
        <f t="shared" si="27"/>
        <v/>
      </c>
      <c r="BU33" s="206" t="str">
        <f t="shared" si="27"/>
        <v/>
      </c>
      <c r="BV33" s="206" t="str">
        <f t="shared" si="27"/>
        <v/>
      </c>
      <c r="BW33" s="207" t="str">
        <f t="shared" si="27"/>
        <v/>
      </c>
      <c r="BX33" s="208" t="str">
        <f t="shared" si="27"/>
        <v/>
      </c>
      <c r="BY33" s="206" t="str">
        <f t="shared" si="27"/>
        <v/>
      </c>
      <c r="BZ33" s="206" t="str">
        <f t="shared" si="27"/>
        <v/>
      </c>
      <c r="CA33" s="207" t="str">
        <f t="shared" si="27"/>
        <v/>
      </c>
      <c r="CB33" s="208" t="str">
        <f t="shared" si="27"/>
        <v/>
      </c>
      <c r="CC33" s="206" t="str">
        <f t="shared" si="27"/>
        <v/>
      </c>
      <c r="CD33" s="206" t="str">
        <f t="shared" si="27"/>
        <v/>
      </c>
      <c r="CE33" s="207" t="str">
        <f t="shared" si="27"/>
        <v/>
      </c>
    </row>
    <row r="34" spans="1:87" ht="18" customHeight="1">
      <c r="A34" s="22">
        <f>+TABELLA!U38</f>
        <v>0</v>
      </c>
      <c r="B34" s="22">
        <f>+TABELLA!V38</f>
        <v>0</v>
      </c>
      <c r="C34" s="22">
        <f>+TABELLA!W38</f>
        <v>0</v>
      </c>
      <c r="D34" s="22">
        <f>+TABELLA!X38</f>
        <v>0</v>
      </c>
      <c r="E34" s="22"/>
      <c r="F34" s="26">
        <f>IF(TABELLA!B38="","",TABELLA!B38)</f>
        <v>4</v>
      </c>
      <c r="G34" s="27" t="str">
        <f>IF(TABELLA!C38="","",TABELLA!C38)</f>
        <v>GREGGIO MONICA</v>
      </c>
      <c r="H34" s="203" t="str">
        <f t="shared" ref="H34:V34" si="39">IF(AND(G$3&gt;=$A34,G$3&lt;$B34),1,IF(AND(G$3&gt;=$C34,G$3&lt;$D34),1,""))</f>
        <v/>
      </c>
      <c r="I34" s="203" t="str">
        <f t="shared" si="39"/>
        <v/>
      </c>
      <c r="J34" s="203" t="str">
        <f t="shared" si="39"/>
        <v/>
      </c>
      <c r="K34" s="204" t="str">
        <f t="shared" si="39"/>
        <v/>
      </c>
      <c r="L34" s="205" t="str">
        <f t="shared" si="39"/>
        <v/>
      </c>
      <c r="M34" s="203" t="str">
        <f t="shared" si="39"/>
        <v/>
      </c>
      <c r="N34" s="203" t="str">
        <f t="shared" si="39"/>
        <v/>
      </c>
      <c r="O34" s="204" t="str">
        <f t="shared" si="39"/>
        <v/>
      </c>
      <c r="P34" s="205" t="str">
        <f t="shared" si="39"/>
        <v/>
      </c>
      <c r="Q34" s="203" t="str">
        <f t="shared" si="39"/>
        <v/>
      </c>
      <c r="R34" s="203" t="str">
        <f t="shared" si="39"/>
        <v/>
      </c>
      <c r="S34" s="204" t="str">
        <f t="shared" si="39"/>
        <v/>
      </c>
      <c r="T34" s="205" t="str">
        <f t="shared" si="39"/>
        <v/>
      </c>
      <c r="U34" s="203" t="str">
        <f t="shared" si="39"/>
        <v/>
      </c>
      <c r="V34" s="203" t="str">
        <f t="shared" si="39"/>
        <v/>
      </c>
      <c r="W34" s="204" t="str">
        <f t="shared" si="25"/>
        <v/>
      </c>
      <c r="X34" s="205" t="str">
        <f t="shared" si="22"/>
        <v/>
      </c>
      <c r="Y34" s="203" t="str">
        <f t="shared" si="22"/>
        <v/>
      </c>
      <c r="Z34" s="203" t="str">
        <f t="shared" si="22"/>
        <v/>
      </c>
      <c r="AA34" s="204" t="str">
        <f t="shared" si="22"/>
        <v/>
      </c>
      <c r="AB34" s="205" t="str">
        <f t="shared" si="22"/>
        <v/>
      </c>
      <c r="AC34" s="203" t="str">
        <f t="shared" si="22"/>
        <v/>
      </c>
      <c r="AD34" s="203" t="str">
        <f t="shared" si="22"/>
        <v/>
      </c>
      <c r="AE34" s="204" t="str">
        <f t="shared" si="22"/>
        <v/>
      </c>
      <c r="AF34" s="205" t="str">
        <f t="shared" si="22"/>
        <v/>
      </c>
      <c r="AG34" s="203" t="str">
        <f t="shared" si="22"/>
        <v/>
      </c>
      <c r="AH34" s="203" t="str">
        <f t="shared" si="22"/>
        <v/>
      </c>
      <c r="AI34" s="204" t="str">
        <f t="shared" si="22"/>
        <v/>
      </c>
      <c r="AJ34" s="205" t="str">
        <f t="shared" si="22"/>
        <v/>
      </c>
      <c r="AK34" s="203" t="str">
        <f t="shared" si="22"/>
        <v/>
      </c>
      <c r="AL34" s="203" t="str">
        <f t="shared" si="22"/>
        <v/>
      </c>
      <c r="AM34" s="204" t="str">
        <f t="shared" si="26"/>
        <v/>
      </c>
      <c r="AN34" s="205" t="str">
        <f t="shared" si="26"/>
        <v/>
      </c>
      <c r="AO34" s="203" t="str">
        <f t="shared" si="26"/>
        <v/>
      </c>
      <c r="AP34" s="203" t="str">
        <f t="shared" si="26"/>
        <v/>
      </c>
      <c r="AQ34" s="204" t="str">
        <f t="shared" si="26"/>
        <v/>
      </c>
      <c r="AR34" s="205" t="str">
        <f t="shared" si="26"/>
        <v/>
      </c>
      <c r="AS34" s="203" t="str">
        <f t="shared" si="26"/>
        <v/>
      </c>
      <c r="AT34" s="203" t="str">
        <f t="shared" si="26"/>
        <v/>
      </c>
      <c r="AU34" s="204" t="str">
        <f t="shared" si="26"/>
        <v/>
      </c>
      <c r="AV34" s="205" t="str">
        <f t="shared" si="26"/>
        <v/>
      </c>
      <c r="AW34" s="203" t="str">
        <f t="shared" si="26"/>
        <v/>
      </c>
      <c r="AX34" s="203" t="str">
        <f t="shared" si="26"/>
        <v/>
      </c>
      <c r="AY34" s="204" t="str">
        <f t="shared" si="26"/>
        <v/>
      </c>
      <c r="AZ34" s="205" t="str">
        <f t="shared" si="26"/>
        <v/>
      </c>
      <c r="BA34" s="203" t="str">
        <f t="shared" si="26"/>
        <v/>
      </c>
      <c r="BB34" s="203" t="str">
        <f t="shared" si="26"/>
        <v/>
      </c>
      <c r="BC34" s="204" t="str">
        <f t="shared" si="23"/>
        <v/>
      </c>
      <c r="BD34" s="205" t="str">
        <f t="shared" si="23"/>
        <v/>
      </c>
      <c r="BE34" s="203" t="str">
        <f t="shared" si="23"/>
        <v/>
      </c>
      <c r="BF34" s="203" t="str">
        <f t="shared" si="23"/>
        <v/>
      </c>
      <c r="BG34" s="204" t="str">
        <f t="shared" si="23"/>
        <v/>
      </c>
      <c r="BH34" s="205" t="str">
        <f t="shared" si="23"/>
        <v/>
      </c>
      <c r="BI34" s="203" t="str">
        <f t="shared" si="23"/>
        <v/>
      </c>
      <c r="BJ34" s="203" t="str">
        <f t="shared" si="23"/>
        <v/>
      </c>
      <c r="BK34" s="204" t="str">
        <f t="shared" si="23"/>
        <v/>
      </c>
      <c r="BL34" s="205" t="str">
        <f t="shared" si="23"/>
        <v/>
      </c>
      <c r="BM34" s="203" t="str">
        <f t="shared" si="23"/>
        <v/>
      </c>
      <c r="BN34" s="203" t="str">
        <f t="shared" si="23"/>
        <v/>
      </c>
      <c r="BO34" s="204" t="str">
        <f t="shared" si="23"/>
        <v/>
      </c>
      <c r="BP34" s="205" t="str">
        <f t="shared" si="27"/>
        <v/>
      </c>
      <c r="BQ34" s="203" t="str">
        <f t="shared" si="27"/>
        <v/>
      </c>
      <c r="BR34" s="203" t="str">
        <f t="shared" si="27"/>
        <v/>
      </c>
      <c r="BS34" s="204" t="str">
        <f t="shared" si="27"/>
        <v/>
      </c>
      <c r="BT34" s="205" t="str">
        <f t="shared" si="27"/>
        <v/>
      </c>
      <c r="BU34" s="203" t="str">
        <f t="shared" si="27"/>
        <v/>
      </c>
      <c r="BV34" s="203" t="str">
        <f t="shared" si="27"/>
        <v/>
      </c>
      <c r="BW34" s="204" t="str">
        <f t="shared" si="27"/>
        <v/>
      </c>
      <c r="BX34" s="205" t="str">
        <f t="shared" si="27"/>
        <v/>
      </c>
      <c r="BY34" s="203" t="str">
        <f t="shared" si="27"/>
        <v/>
      </c>
      <c r="BZ34" s="203" t="str">
        <f t="shared" si="27"/>
        <v/>
      </c>
      <c r="CA34" s="204" t="str">
        <f t="shared" si="27"/>
        <v/>
      </c>
      <c r="CB34" s="205" t="str">
        <f t="shared" si="27"/>
        <v/>
      </c>
      <c r="CC34" s="203" t="str">
        <f t="shared" si="27"/>
        <v/>
      </c>
      <c r="CD34" s="203" t="str">
        <f t="shared" si="27"/>
        <v/>
      </c>
      <c r="CE34" s="204" t="str">
        <f t="shared" si="27"/>
        <v/>
      </c>
    </row>
    <row r="35" spans="1:87" ht="18" customHeight="1">
      <c r="A35" s="22">
        <f>+TABELLA!U39</f>
        <v>0</v>
      </c>
      <c r="B35" s="22">
        <f>+TABELLA!V39</f>
        <v>0</v>
      </c>
      <c r="C35" s="22">
        <f>+TABELLA!W39</f>
        <v>0</v>
      </c>
      <c r="D35" s="22">
        <f>+TABELLA!X39</f>
        <v>0</v>
      </c>
      <c r="E35" s="22"/>
      <c r="F35" s="41">
        <f>IF(TABELLA!B39="","",TABELLA!B39)</f>
        <v>4</v>
      </c>
      <c r="G35" s="42" t="str">
        <f>IF(TABELLA!C39="","",TABELLA!C39)</f>
        <v>RACCAGNI CRISTIANA</v>
      </c>
      <c r="H35" s="206" t="str">
        <f t="shared" ref="H35:V35" si="40">IF(AND(G$3&gt;=$A35,G$3&lt;$B35),1,IF(AND(G$3&gt;=$C35,G$3&lt;$D35),1,""))</f>
        <v/>
      </c>
      <c r="I35" s="206" t="str">
        <f t="shared" si="40"/>
        <v/>
      </c>
      <c r="J35" s="206" t="str">
        <f t="shared" si="40"/>
        <v/>
      </c>
      <c r="K35" s="207" t="str">
        <f t="shared" si="40"/>
        <v/>
      </c>
      <c r="L35" s="208" t="str">
        <f t="shared" si="40"/>
        <v/>
      </c>
      <c r="M35" s="206" t="str">
        <f t="shared" si="40"/>
        <v/>
      </c>
      <c r="N35" s="206" t="str">
        <f t="shared" si="40"/>
        <v/>
      </c>
      <c r="O35" s="207" t="str">
        <f t="shared" si="40"/>
        <v/>
      </c>
      <c r="P35" s="208" t="str">
        <f t="shared" si="40"/>
        <v/>
      </c>
      <c r="Q35" s="206" t="str">
        <f t="shared" si="40"/>
        <v/>
      </c>
      <c r="R35" s="206" t="str">
        <f t="shared" si="40"/>
        <v/>
      </c>
      <c r="S35" s="207" t="str">
        <f t="shared" si="40"/>
        <v/>
      </c>
      <c r="T35" s="208" t="str">
        <f t="shared" si="40"/>
        <v/>
      </c>
      <c r="U35" s="206" t="str">
        <f t="shared" si="40"/>
        <v/>
      </c>
      <c r="V35" s="206" t="str">
        <f t="shared" si="40"/>
        <v/>
      </c>
      <c r="W35" s="207" t="str">
        <f t="shared" si="25"/>
        <v/>
      </c>
      <c r="X35" s="208" t="str">
        <f t="shared" si="22"/>
        <v/>
      </c>
      <c r="Y35" s="206" t="str">
        <f t="shared" si="22"/>
        <v/>
      </c>
      <c r="Z35" s="206" t="str">
        <f t="shared" si="22"/>
        <v/>
      </c>
      <c r="AA35" s="207" t="str">
        <f t="shared" si="22"/>
        <v/>
      </c>
      <c r="AB35" s="208" t="str">
        <f t="shared" si="22"/>
        <v/>
      </c>
      <c r="AC35" s="206" t="str">
        <f t="shared" si="22"/>
        <v/>
      </c>
      <c r="AD35" s="206" t="str">
        <f t="shared" si="22"/>
        <v/>
      </c>
      <c r="AE35" s="207" t="str">
        <f t="shared" si="22"/>
        <v/>
      </c>
      <c r="AF35" s="208" t="str">
        <f t="shared" si="22"/>
        <v/>
      </c>
      <c r="AG35" s="206" t="str">
        <f t="shared" si="22"/>
        <v/>
      </c>
      <c r="AH35" s="206" t="str">
        <f t="shared" si="22"/>
        <v/>
      </c>
      <c r="AI35" s="207" t="str">
        <f t="shared" si="22"/>
        <v/>
      </c>
      <c r="AJ35" s="208" t="str">
        <f t="shared" si="22"/>
        <v/>
      </c>
      <c r="AK35" s="206" t="str">
        <f t="shared" si="22"/>
        <v/>
      </c>
      <c r="AL35" s="206" t="str">
        <f t="shared" si="22"/>
        <v/>
      </c>
      <c r="AM35" s="207" t="str">
        <f t="shared" si="26"/>
        <v/>
      </c>
      <c r="AN35" s="208" t="str">
        <f t="shared" si="26"/>
        <v/>
      </c>
      <c r="AO35" s="206" t="str">
        <f t="shared" si="26"/>
        <v/>
      </c>
      <c r="AP35" s="206" t="str">
        <f t="shared" si="26"/>
        <v/>
      </c>
      <c r="AQ35" s="207" t="str">
        <f t="shared" si="26"/>
        <v/>
      </c>
      <c r="AR35" s="208" t="str">
        <f t="shared" si="26"/>
        <v/>
      </c>
      <c r="AS35" s="206" t="str">
        <f t="shared" si="26"/>
        <v/>
      </c>
      <c r="AT35" s="206" t="str">
        <f t="shared" si="26"/>
        <v/>
      </c>
      <c r="AU35" s="207" t="str">
        <f t="shared" si="26"/>
        <v/>
      </c>
      <c r="AV35" s="208" t="str">
        <f t="shared" si="26"/>
        <v/>
      </c>
      <c r="AW35" s="206" t="str">
        <f t="shared" si="26"/>
        <v/>
      </c>
      <c r="AX35" s="206" t="str">
        <f t="shared" si="26"/>
        <v/>
      </c>
      <c r="AY35" s="207" t="str">
        <f t="shared" si="26"/>
        <v/>
      </c>
      <c r="AZ35" s="208" t="str">
        <f t="shared" si="26"/>
        <v/>
      </c>
      <c r="BA35" s="206" t="str">
        <f t="shared" si="26"/>
        <v/>
      </c>
      <c r="BB35" s="206" t="str">
        <f t="shared" si="26"/>
        <v/>
      </c>
      <c r="BC35" s="207" t="str">
        <f t="shared" si="23"/>
        <v/>
      </c>
      <c r="BD35" s="208" t="str">
        <f t="shared" si="23"/>
        <v/>
      </c>
      <c r="BE35" s="206" t="str">
        <f t="shared" si="23"/>
        <v/>
      </c>
      <c r="BF35" s="206" t="str">
        <f t="shared" si="23"/>
        <v/>
      </c>
      <c r="BG35" s="207" t="str">
        <f t="shared" si="23"/>
        <v/>
      </c>
      <c r="BH35" s="208" t="str">
        <f t="shared" si="23"/>
        <v/>
      </c>
      <c r="BI35" s="206" t="str">
        <f t="shared" si="23"/>
        <v/>
      </c>
      <c r="BJ35" s="206" t="str">
        <f t="shared" si="23"/>
        <v/>
      </c>
      <c r="BK35" s="207" t="str">
        <f t="shared" si="23"/>
        <v/>
      </c>
      <c r="BL35" s="208" t="str">
        <f t="shared" si="23"/>
        <v/>
      </c>
      <c r="BM35" s="206" t="str">
        <f t="shared" si="23"/>
        <v/>
      </c>
      <c r="BN35" s="206" t="str">
        <f t="shared" si="23"/>
        <v/>
      </c>
      <c r="BO35" s="207" t="str">
        <f t="shared" si="23"/>
        <v/>
      </c>
      <c r="BP35" s="208" t="str">
        <f t="shared" si="27"/>
        <v/>
      </c>
      <c r="BQ35" s="206" t="str">
        <f t="shared" si="27"/>
        <v/>
      </c>
      <c r="BR35" s="206" t="str">
        <f t="shared" si="27"/>
        <v/>
      </c>
      <c r="BS35" s="207" t="str">
        <f t="shared" si="27"/>
        <v/>
      </c>
      <c r="BT35" s="208" t="str">
        <f t="shared" si="27"/>
        <v/>
      </c>
      <c r="BU35" s="206" t="str">
        <f t="shared" si="27"/>
        <v/>
      </c>
      <c r="BV35" s="206" t="str">
        <f t="shared" si="27"/>
        <v/>
      </c>
      <c r="BW35" s="207" t="str">
        <f t="shared" si="27"/>
        <v/>
      </c>
      <c r="BX35" s="208" t="str">
        <f t="shared" si="27"/>
        <v/>
      </c>
      <c r="BY35" s="206" t="str">
        <f t="shared" si="27"/>
        <v/>
      </c>
      <c r="BZ35" s="206" t="str">
        <f t="shared" si="27"/>
        <v/>
      </c>
      <c r="CA35" s="207" t="str">
        <f t="shared" si="27"/>
        <v/>
      </c>
      <c r="CB35" s="208" t="str">
        <f t="shared" si="27"/>
        <v/>
      </c>
      <c r="CC35" s="206" t="str">
        <f t="shared" si="27"/>
        <v/>
      </c>
      <c r="CD35" s="206" t="str">
        <f t="shared" si="27"/>
        <v/>
      </c>
      <c r="CE35" s="207" t="str">
        <f t="shared" si="27"/>
        <v/>
      </c>
    </row>
    <row r="36" spans="1:87" ht="18" customHeight="1">
      <c r="A36" s="22">
        <f>+TABELLA!U40</f>
        <v>0</v>
      </c>
      <c r="B36" s="22">
        <f>+TABELLA!V40</f>
        <v>0</v>
      </c>
      <c r="C36" s="22">
        <f>+TABELLA!W40</f>
        <v>0</v>
      </c>
      <c r="D36" s="22">
        <f>+TABELLA!X40</f>
        <v>0</v>
      </c>
      <c r="E36" s="22"/>
      <c r="F36" s="26">
        <f>IF(TABELLA!B40="","",TABELLA!B40)</f>
        <v>4</v>
      </c>
      <c r="G36" s="27" t="str">
        <f>IF(TABELLA!C40="","",TABELLA!C40)</f>
        <v>LO BELLO ENRICHETTA</v>
      </c>
      <c r="H36" s="203" t="str">
        <f t="shared" ref="H36:V36" si="41">IF(AND(G$3&gt;=$A36,G$3&lt;$B36),1,IF(AND(G$3&gt;=$C36,G$3&lt;$D36),1,""))</f>
        <v/>
      </c>
      <c r="I36" s="203" t="str">
        <f t="shared" si="41"/>
        <v/>
      </c>
      <c r="J36" s="203" t="str">
        <f t="shared" si="41"/>
        <v/>
      </c>
      <c r="K36" s="204" t="str">
        <f t="shared" si="41"/>
        <v/>
      </c>
      <c r="L36" s="205" t="str">
        <f t="shared" si="41"/>
        <v/>
      </c>
      <c r="M36" s="203" t="str">
        <f t="shared" si="41"/>
        <v/>
      </c>
      <c r="N36" s="203" t="str">
        <f t="shared" si="41"/>
        <v/>
      </c>
      <c r="O36" s="204" t="str">
        <f t="shared" si="41"/>
        <v/>
      </c>
      <c r="P36" s="205" t="str">
        <f t="shared" si="41"/>
        <v/>
      </c>
      <c r="Q36" s="203" t="str">
        <f t="shared" si="41"/>
        <v/>
      </c>
      <c r="R36" s="203" t="str">
        <f t="shared" si="41"/>
        <v/>
      </c>
      <c r="S36" s="204" t="str">
        <f t="shared" si="41"/>
        <v/>
      </c>
      <c r="T36" s="205" t="str">
        <f t="shared" si="41"/>
        <v/>
      </c>
      <c r="U36" s="203" t="str">
        <f t="shared" si="41"/>
        <v/>
      </c>
      <c r="V36" s="203" t="str">
        <f t="shared" si="41"/>
        <v/>
      </c>
      <c r="W36" s="204" t="str">
        <f t="shared" si="25"/>
        <v/>
      </c>
      <c r="X36" s="205" t="str">
        <f t="shared" si="22"/>
        <v/>
      </c>
      <c r="Y36" s="203" t="str">
        <f t="shared" si="22"/>
        <v/>
      </c>
      <c r="Z36" s="203" t="str">
        <f t="shared" si="22"/>
        <v/>
      </c>
      <c r="AA36" s="204" t="str">
        <f t="shared" si="22"/>
        <v/>
      </c>
      <c r="AB36" s="205" t="str">
        <f t="shared" si="22"/>
        <v/>
      </c>
      <c r="AC36" s="203" t="str">
        <f t="shared" si="22"/>
        <v/>
      </c>
      <c r="AD36" s="203" t="str">
        <f t="shared" si="22"/>
        <v/>
      </c>
      <c r="AE36" s="204" t="str">
        <f t="shared" si="22"/>
        <v/>
      </c>
      <c r="AF36" s="205" t="str">
        <f t="shared" si="22"/>
        <v/>
      </c>
      <c r="AG36" s="203" t="str">
        <f t="shared" si="22"/>
        <v/>
      </c>
      <c r="AH36" s="203" t="str">
        <f t="shared" si="22"/>
        <v/>
      </c>
      <c r="AI36" s="204" t="str">
        <f t="shared" si="22"/>
        <v/>
      </c>
      <c r="AJ36" s="205" t="str">
        <f t="shared" si="22"/>
        <v/>
      </c>
      <c r="AK36" s="203" t="str">
        <f t="shared" si="22"/>
        <v/>
      </c>
      <c r="AL36" s="203" t="str">
        <f t="shared" si="22"/>
        <v/>
      </c>
      <c r="AM36" s="204" t="str">
        <f t="shared" si="26"/>
        <v/>
      </c>
      <c r="AN36" s="205" t="str">
        <f t="shared" si="26"/>
        <v/>
      </c>
      <c r="AO36" s="203" t="str">
        <f t="shared" si="26"/>
        <v/>
      </c>
      <c r="AP36" s="203" t="str">
        <f t="shared" si="26"/>
        <v/>
      </c>
      <c r="AQ36" s="204" t="str">
        <f t="shared" si="26"/>
        <v/>
      </c>
      <c r="AR36" s="205" t="str">
        <f t="shared" si="26"/>
        <v/>
      </c>
      <c r="AS36" s="203" t="str">
        <f t="shared" si="26"/>
        <v/>
      </c>
      <c r="AT36" s="203" t="str">
        <f t="shared" si="26"/>
        <v/>
      </c>
      <c r="AU36" s="204" t="str">
        <f t="shared" si="26"/>
        <v/>
      </c>
      <c r="AV36" s="205" t="str">
        <f t="shared" si="26"/>
        <v/>
      </c>
      <c r="AW36" s="203" t="str">
        <f t="shared" si="26"/>
        <v/>
      </c>
      <c r="AX36" s="203" t="str">
        <f t="shared" si="26"/>
        <v/>
      </c>
      <c r="AY36" s="204" t="str">
        <f t="shared" si="26"/>
        <v/>
      </c>
      <c r="AZ36" s="205" t="str">
        <f t="shared" si="26"/>
        <v/>
      </c>
      <c r="BA36" s="203" t="str">
        <f t="shared" si="26"/>
        <v/>
      </c>
      <c r="BB36" s="203" t="str">
        <f t="shared" si="26"/>
        <v/>
      </c>
      <c r="BC36" s="204" t="str">
        <f t="shared" si="23"/>
        <v/>
      </c>
      <c r="BD36" s="205" t="str">
        <f t="shared" si="23"/>
        <v/>
      </c>
      <c r="BE36" s="203" t="str">
        <f t="shared" si="23"/>
        <v/>
      </c>
      <c r="BF36" s="203" t="str">
        <f t="shared" si="23"/>
        <v/>
      </c>
      <c r="BG36" s="204" t="str">
        <f t="shared" si="23"/>
        <v/>
      </c>
      <c r="BH36" s="205" t="str">
        <f t="shared" si="23"/>
        <v/>
      </c>
      <c r="BI36" s="203" t="str">
        <f t="shared" si="23"/>
        <v/>
      </c>
      <c r="BJ36" s="203" t="str">
        <f t="shared" si="23"/>
        <v/>
      </c>
      <c r="BK36" s="204" t="str">
        <f t="shared" si="23"/>
        <v/>
      </c>
      <c r="BL36" s="205" t="str">
        <f t="shared" si="23"/>
        <v/>
      </c>
      <c r="BM36" s="203" t="str">
        <f t="shared" si="23"/>
        <v/>
      </c>
      <c r="BN36" s="203" t="str">
        <f t="shared" si="23"/>
        <v/>
      </c>
      <c r="BO36" s="204" t="str">
        <f t="shared" si="23"/>
        <v/>
      </c>
      <c r="BP36" s="205" t="str">
        <f t="shared" si="27"/>
        <v/>
      </c>
      <c r="BQ36" s="203" t="str">
        <f t="shared" si="27"/>
        <v/>
      </c>
      <c r="BR36" s="203" t="str">
        <f t="shared" si="27"/>
        <v/>
      </c>
      <c r="BS36" s="204" t="str">
        <f t="shared" si="27"/>
        <v/>
      </c>
      <c r="BT36" s="205" t="str">
        <f t="shared" si="27"/>
        <v/>
      </c>
      <c r="BU36" s="203" t="str">
        <f t="shared" si="27"/>
        <v/>
      </c>
      <c r="BV36" s="203" t="str">
        <f t="shared" si="27"/>
        <v/>
      </c>
      <c r="BW36" s="204" t="str">
        <f t="shared" si="27"/>
        <v/>
      </c>
      <c r="BX36" s="205" t="str">
        <f t="shared" si="27"/>
        <v/>
      </c>
      <c r="BY36" s="203" t="str">
        <f t="shared" si="27"/>
        <v/>
      </c>
      <c r="BZ36" s="203" t="str">
        <f t="shared" si="27"/>
        <v/>
      </c>
      <c r="CA36" s="204" t="str">
        <f t="shared" si="27"/>
        <v/>
      </c>
      <c r="CB36" s="205" t="str">
        <f t="shared" si="27"/>
        <v/>
      </c>
      <c r="CC36" s="203" t="str">
        <f t="shared" si="27"/>
        <v/>
      </c>
      <c r="CD36" s="203" t="str">
        <f t="shared" si="27"/>
        <v/>
      </c>
      <c r="CE36" s="204" t="str">
        <f t="shared" si="27"/>
        <v/>
      </c>
    </row>
    <row r="37" spans="1:87" ht="18" customHeight="1">
      <c r="A37" s="22">
        <f>+TABELLA!U41</f>
        <v>0</v>
      </c>
      <c r="B37" s="22">
        <f>+TABELLA!V41</f>
        <v>0</v>
      </c>
      <c r="C37" s="22">
        <f>+TABELLA!W41</f>
        <v>0</v>
      </c>
      <c r="D37" s="22">
        <f>+TABELLA!X41</f>
        <v>0</v>
      </c>
      <c r="E37" s="22"/>
      <c r="F37" s="41">
        <f>IF(TABELLA!B41="","",TABELLA!B41)</f>
        <v>4</v>
      </c>
      <c r="G37" s="42" t="str">
        <f>IF(TABELLA!C41="","",TABELLA!C41)</f>
        <v/>
      </c>
      <c r="H37" s="206" t="str">
        <f t="shared" ref="H37:V37" si="42">IF(AND(G$3&gt;=$A37,G$3&lt;$B37),1,IF(AND(G$3&gt;=$C37,G$3&lt;$D37),1,""))</f>
        <v/>
      </c>
      <c r="I37" s="206" t="str">
        <f t="shared" si="42"/>
        <v/>
      </c>
      <c r="J37" s="206" t="str">
        <f t="shared" si="42"/>
        <v/>
      </c>
      <c r="K37" s="207" t="str">
        <f t="shared" si="42"/>
        <v/>
      </c>
      <c r="L37" s="208" t="str">
        <f t="shared" si="42"/>
        <v/>
      </c>
      <c r="M37" s="206" t="str">
        <f t="shared" si="42"/>
        <v/>
      </c>
      <c r="N37" s="206" t="str">
        <f t="shared" si="42"/>
        <v/>
      </c>
      <c r="O37" s="207" t="str">
        <f t="shared" si="42"/>
        <v/>
      </c>
      <c r="P37" s="208" t="str">
        <f t="shared" si="42"/>
        <v/>
      </c>
      <c r="Q37" s="206" t="str">
        <f t="shared" si="42"/>
        <v/>
      </c>
      <c r="R37" s="206" t="str">
        <f t="shared" si="42"/>
        <v/>
      </c>
      <c r="S37" s="207" t="str">
        <f t="shared" si="42"/>
        <v/>
      </c>
      <c r="T37" s="208" t="str">
        <f t="shared" si="42"/>
        <v/>
      </c>
      <c r="U37" s="206" t="str">
        <f t="shared" si="42"/>
        <v/>
      </c>
      <c r="V37" s="206" t="str">
        <f t="shared" si="42"/>
        <v/>
      </c>
      <c r="W37" s="207" t="str">
        <f t="shared" ref="W37:AL45" si="43">IF(AND(V$3&gt;=$A37,V$3&lt;$B37),1,IF(AND(V$3&gt;=$C37,V$3&lt;$D37),1,""))</f>
        <v/>
      </c>
      <c r="X37" s="208" t="str">
        <f t="shared" si="43"/>
        <v/>
      </c>
      <c r="Y37" s="206" t="str">
        <f t="shared" si="43"/>
        <v/>
      </c>
      <c r="Z37" s="206" t="str">
        <f t="shared" si="43"/>
        <v/>
      </c>
      <c r="AA37" s="207" t="str">
        <f t="shared" si="43"/>
        <v/>
      </c>
      <c r="AB37" s="208" t="str">
        <f t="shared" si="43"/>
        <v/>
      </c>
      <c r="AC37" s="206" t="str">
        <f t="shared" si="43"/>
        <v/>
      </c>
      <c r="AD37" s="206" t="str">
        <f t="shared" si="43"/>
        <v/>
      </c>
      <c r="AE37" s="207" t="str">
        <f t="shared" si="43"/>
        <v/>
      </c>
      <c r="AF37" s="208" t="str">
        <f t="shared" si="43"/>
        <v/>
      </c>
      <c r="AG37" s="206" t="str">
        <f t="shared" si="43"/>
        <v/>
      </c>
      <c r="AH37" s="206" t="str">
        <f t="shared" si="43"/>
        <v/>
      </c>
      <c r="AI37" s="207" t="str">
        <f t="shared" si="43"/>
        <v/>
      </c>
      <c r="AJ37" s="208" t="str">
        <f t="shared" si="43"/>
        <v/>
      </c>
      <c r="AK37" s="206" t="str">
        <f t="shared" si="43"/>
        <v/>
      </c>
      <c r="AL37" s="206" t="str">
        <f t="shared" si="43"/>
        <v/>
      </c>
      <c r="AM37" s="207" t="str">
        <f t="shared" si="26"/>
        <v/>
      </c>
      <c r="AN37" s="208" t="str">
        <f t="shared" si="26"/>
        <v/>
      </c>
      <c r="AO37" s="206" t="str">
        <f t="shared" si="26"/>
        <v/>
      </c>
      <c r="AP37" s="206" t="str">
        <f t="shared" si="26"/>
        <v/>
      </c>
      <c r="AQ37" s="207" t="str">
        <f t="shared" si="26"/>
        <v/>
      </c>
      <c r="AR37" s="208" t="str">
        <f t="shared" si="26"/>
        <v/>
      </c>
      <c r="AS37" s="206" t="str">
        <f t="shared" si="26"/>
        <v/>
      </c>
      <c r="AT37" s="206" t="str">
        <f t="shared" si="26"/>
        <v/>
      </c>
      <c r="AU37" s="207" t="str">
        <f t="shared" si="26"/>
        <v/>
      </c>
      <c r="AV37" s="208" t="str">
        <f t="shared" si="26"/>
        <v/>
      </c>
      <c r="AW37" s="206" t="str">
        <f t="shared" si="26"/>
        <v/>
      </c>
      <c r="AX37" s="206" t="str">
        <f t="shared" si="26"/>
        <v/>
      </c>
      <c r="AY37" s="207" t="str">
        <f t="shared" si="26"/>
        <v/>
      </c>
      <c r="AZ37" s="208" t="str">
        <f t="shared" si="26"/>
        <v/>
      </c>
      <c r="BA37" s="206" t="str">
        <f t="shared" si="26"/>
        <v/>
      </c>
      <c r="BB37" s="206" t="str">
        <f t="shared" ref="BB37:BQ45" si="44">IF(AND(BA$3&gt;=$A37,BA$3&lt;$B37),1,IF(AND(BA$3&gt;=$C37,BA$3&lt;$D37),1,""))</f>
        <v/>
      </c>
      <c r="BC37" s="207" t="str">
        <f t="shared" si="44"/>
        <v/>
      </c>
      <c r="BD37" s="208" t="str">
        <f t="shared" si="44"/>
        <v/>
      </c>
      <c r="BE37" s="206" t="str">
        <f t="shared" si="44"/>
        <v/>
      </c>
      <c r="BF37" s="206" t="str">
        <f t="shared" si="44"/>
        <v/>
      </c>
      <c r="BG37" s="207" t="str">
        <f t="shared" si="44"/>
        <v/>
      </c>
      <c r="BH37" s="208" t="str">
        <f t="shared" si="44"/>
        <v/>
      </c>
      <c r="BI37" s="206" t="str">
        <f t="shared" si="44"/>
        <v/>
      </c>
      <c r="BJ37" s="206" t="str">
        <f t="shared" si="44"/>
        <v/>
      </c>
      <c r="BK37" s="207" t="str">
        <f t="shared" si="44"/>
        <v/>
      </c>
      <c r="BL37" s="208" t="str">
        <f t="shared" si="44"/>
        <v/>
      </c>
      <c r="BM37" s="206" t="str">
        <f t="shared" si="44"/>
        <v/>
      </c>
      <c r="BN37" s="206" t="str">
        <f t="shared" si="44"/>
        <v/>
      </c>
      <c r="BO37" s="207" t="str">
        <f t="shared" si="44"/>
        <v/>
      </c>
      <c r="BP37" s="208" t="str">
        <f t="shared" si="27"/>
        <v/>
      </c>
      <c r="BQ37" s="206" t="str">
        <f t="shared" si="27"/>
        <v/>
      </c>
      <c r="BR37" s="206" t="str">
        <f t="shared" si="27"/>
        <v/>
      </c>
      <c r="BS37" s="207" t="str">
        <f t="shared" si="27"/>
        <v/>
      </c>
      <c r="BT37" s="208" t="str">
        <f t="shared" si="27"/>
        <v/>
      </c>
      <c r="BU37" s="206" t="str">
        <f t="shared" si="27"/>
        <v/>
      </c>
      <c r="BV37" s="206" t="str">
        <f t="shared" si="27"/>
        <v/>
      </c>
      <c r="BW37" s="207" t="str">
        <f t="shared" si="27"/>
        <v/>
      </c>
      <c r="BX37" s="208" t="str">
        <f t="shared" si="27"/>
        <v/>
      </c>
      <c r="BY37" s="206" t="str">
        <f t="shared" si="27"/>
        <v/>
      </c>
      <c r="BZ37" s="206" t="str">
        <f t="shared" si="27"/>
        <v/>
      </c>
      <c r="CA37" s="207" t="str">
        <f t="shared" si="27"/>
        <v/>
      </c>
      <c r="CB37" s="208" t="str">
        <f t="shared" si="27"/>
        <v/>
      </c>
      <c r="CC37" s="206" t="str">
        <f t="shared" si="27"/>
        <v/>
      </c>
      <c r="CD37" s="206" t="str">
        <f t="shared" si="27"/>
        <v/>
      </c>
      <c r="CE37" s="207" t="str">
        <f t="shared" si="27"/>
        <v/>
      </c>
    </row>
    <row r="38" spans="1:87" ht="18" customHeight="1">
      <c r="A38" s="22">
        <f>+TABELLA!U42</f>
        <v>0</v>
      </c>
      <c r="B38" s="22">
        <f>+TABELLA!V42</f>
        <v>0</v>
      </c>
      <c r="C38" s="22">
        <f>+TABELLA!W42</f>
        <v>0</v>
      </c>
      <c r="D38" s="22">
        <f>+TABELLA!X42</f>
        <v>0</v>
      </c>
      <c r="E38" s="22"/>
      <c r="F38" s="26">
        <f>IF(TABELLA!B42="","",TABELLA!B42)</f>
        <v>4</v>
      </c>
      <c r="G38" s="27" t="str">
        <f>IF(TABELLA!C42="","",TABELLA!C42)</f>
        <v>BOLZONELLO MARCO</v>
      </c>
      <c r="H38" s="203" t="str">
        <f t="shared" ref="H38:V38" si="45">IF(AND(G$3&gt;=$A38,G$3&lt;$B38),1,IF(AND(G$3&gt;=$C38,G$3&lt;$D38),1,""))</f>
        <v/>
      </c>
      <c r="I38" s="203" t="str">
        <f t="shared" si="45"/>
        <v/>
      </c>
      <c r="J38" s="203" t="str">
        <f t="shared" si="45"/>
        <v/>
      </c>
      <c r="K38" s="204" t="str">
        <f t="shared" si="45"/>
        <v/>
      </c>
      <c r="L38" s="205" t="str">
        <f t="shared" si="45"/>
        <v/>
      </c>
      <c r="M38" s="203" t="str">
        <f t="shared" si="45"/>
        <v/>
      </c>
      <c r="N38" s="203" t="str">
        <f t="shared" si="45"/>
        <v/>
      </c>
      <c r="O38" s="204" t="str">
        <f t="shared" si="45"/>
        <v/>
      </c>
      <c r="P38" s="205" t="str">
        <f t="shared" si="45"/>
        <v/>
      </c>
      <c r="Q38" s="203" t="str">
        <f t="shared" si="45"/>
        <v/>
      </c>
      <c r="R38" s="203" t="str">
        <f t="shared" si="45"/>
        <v/>
      </c>
      <c r="S38" s="204" t="str">
        <f t="shared" si="45"/>
        <v/>
      </c>
      <c r="T38" s="205" t="str">
        <f t="shared" si="45"/>
        <v/>
      </c>
      <c r="U38" s="203" t="str">
        <f t="shared" si="45"/>
        <v/>
      </c>
      <c r="V38" s="203" t="str">
        <f t="shared" si="45"/>
        <v/>
      </c>
      <c r="W38" s="204" t="str">
        <f t="shared" ref="W38:W45" si="46">IF(AND(V$3&gt;=$A38,V$3&lt;$B38),1,IF(AND(V$3&gt;=$C38,V$3&lt;$D38),1,""))</f>
        <v/>
      </c>
      <c r="X38" s="205" t="str">
        <f t="shared" si="43"/>
        <v/>
      </c>
      <c r="Y38" s="203" t="str">
        <f t="shared" si="43"/>
        <v/>
      </c>
      <c r="Z38" s="203" t="str">
        <f t="shared" si="43"/>
        <v/>
      </c>
      <c r="AA38" s="204" t="str">
        <f t="shared" si="43"/>
        <v/>
      </c>
      <c r="AB38" s="205" t="str">
        <f t="shared" si="43"/>
        <v/>
      </c>
      <c r="AC38" s="203" t="str">
        <f t="shared" si="43"/>
        <v/>
      </c>
      <c r="AD38" s="203" t="str">
        <f t="shared" si="43"/>
        <v/>
      </c>
      <c r="AE38" s="204" t="str">
        <f t="shared" si="43"/>
        <v/>
      </c>
      <c r="AF38" s="205" t="str">
        <f t="shared" si="43"/>
        <v/>
      </c>
      <c r="AG38" s="203" t="str">
        <f t="shared" si="43"/>
        <v/>
      </c>
      <c r="AH38" s="203" t="str">
        <f t="shared" si="43"/>
        <v/>
      </c>
      <c r="AI38" s="204" t="str">
        <f t="shared" si="43"/>
        <v/>
      </c>
      <c r="AJ38" s="205" t="str">
        <f t="shared" si="43"/>
        <v/>
      </c>
      <c r="AK38" s="203" t="str">
        <f t="shared" si="43"/>
        <v/>
      </c>
      <c r="AL38" s="203" t="str">
        <f t="shared" si="43"/>
        <v/>
      </c>
      <c r="AM38" s="204" t="str">
        <f t="shared" ref="AM38:BB45" si="47">IF(AND(AL$3&gt;=$A38,AL$3&lt;$B38),1,IF(AND(AL$3&gt;=$C38,AL$3&lt;$D38),1,""))</f>
        <v/>
      </c>
      <c r="AN38" s="205" t="str">
        <f t="shared" si="47"/>
        <v/>
      </c>
      <c r="AO38" s="203" t="str">
        <f t="shared" si="47"/>
        <v/>
      </c>
      <c r="AP38" s="203" t="str">
        <f t="shared" si="47"/>
        <v/>
      </c>
      <c r="AQ38" s="204" t="str">
        <f t="shared" si="47"/>
        <v/>
      </c>
      <c r="AR38" s="205" t="str">
        <f t="shared" si="47"/>
        <v/>
      </c>
      <c r="AS38" s="203" t="str">
        <f t="shared" si="47"/>
        <v/>
      </c>
      <c r="AT38" s="203" t="str">
        <f t="shared" si="47"/>
        <v/>
      </c>
      <c r="AU38" s="204" t="str">
        <f t="shared" si="47"/>
        <v/>
      </c>
      <c r="AV38" s="205" t="str">
        <f t="shared" si="47"/>
        <v/>
      </c>
      <c r="AW38" s="203" t="str">
        <f t="shared" si="47"/>
        <v/>
      </c>
      <c r="AX38" s="203" t="str">
        <f t="shared" si="47"/>
        <v/>
      </c>
      <c r="AY38" s="204" t="str">
        <f t="shared" si="47"/>
        <v/>
      </c>
      <c r="AZ38" s="205" t="str">
        <f t="shared" si="47"/>
        <v/>
      </c>
      <c r="BA38" s="203" t="str">
        <f t="shared" si="47"/>
        <v/>
      </c>
      <c r="BB38" s="203" t="str">
        <f t="shared" si="47"/>
        <v/>
      </c>
      <c r="BC38" s="204" t="str">
        <f t="shared" si="44"/>
        <v/>
      </c>
      <c r="BD38" s="205" t="str">
        <f t="shared" si="44"/>
        <v/>
      </c>
      <c r="BE38" s="203" t="str">
        <f t="shared" si="44"/>
        <v/>
      </c>
      <c r="BF38" s="203" t="str">
        <f t="shared" si="44"/>
        <v/>
      </c>
      <c r="BG38" s="204" t="str">
        <f t="shared" si="44"/>
        <v/>
      </c>
      <c r="BH38" s="205" t="str">
        <f t="shared" si="44"/>
        <v/>
      </c>
      <c r="BI38" s="203" t="str">
        <f t="shared" si="44"/>
        <v/>
      </c>
      <c r="BJ38" s="203" t="str">
        <f t="shared" si="44"/>
        <v/>
      </c>
      <c r="BK38" s="204" t="str">
        <f t="shared" si="44"/>
        <v/>
      </c>
      <c r="BL38" s="205" t="str">
        <f t="shared" si="44"/>
        <v/>
      </c>
      <c r="BM38" s="203" t="str">
        <f t="shared" si="44"/>
        <v/>
      </c>
      <c r="BN38" s="203" t="str">
        <f t="shared" si="44"/>
        <v/>
      </c>
      <c r="BO38" s="204" t="str">
        <f t="shared" si="44"/>
        <v/>
      </c>
      <c r="BP38" s="205" t="str">
        <f t="shared" si="44"/>
        <v/>
      </c>
      <c r="BQ38" s="203" t="str">
        <f t="shared" si="44"/>
        <v/>
      </c>
      <c r="BR38" s="203" t="str">
        <f t="shared" ref="BP38:CE45" si="48">IF(AND(BQ$3&gt;=$A38,BQ$3&lt;$B38),1,IF(AND(BQ$3&gt;=$C38,BQ$3&lt;$D38),1,""))</f>
        <v/>
      </c>
      <c r="BS38" s="204" t="str">
        <f t="shared" si="48"/>
        <v/>
      </c>
      <c r="BT38" s="205" t="str">
        <f t="shared" si="48"/>
        <v/>
      </c>
      <c r="BU38" s="203" t="str">
        <f t="shared" si="48"/>
        <v/>
      </c>
      <c r="BV38" s="203" t="str">
        <f t="shared" si="48"/>
        <v/>
      </c>
      <c r="BW38" s="204" t="str">
        <f t="shared" si="48"/>
        <v/>
      </c>
      <c r="BX38" s="205" t="str">
        <f t="shared" si="48"/>
        <v/>
      </c>
      <c r="BY38" s="203" t="str">
        <f t="shared" si="48"/>
        <v/>
      </c>
      <c r="BZ38" s="203" t="str">
        <f t="shared" si="48"/>
        <v/>
      </c>
      <c r="CA38" s="204" t="str">
        <f t="shared" si="48"/>
        <v/>
      </c>
      <c r="CB38" s="205" t="str">
        <f t="shared" si="48"/>
        <v/>
      </c>
      <c r="CC38" s="203" t="str">
        <f t="shared" si="48"/>
        <v/>
      </c>
      <c r="CD38" s="203" t="str">
        <f t="shared" si="48"/>
        <v/>
      </c>
      <c r="CE38" s="204" t="str">
        <f t="shared" si="48"/>
        <v/>
      </c>
    </row>
    <row r="39" spans="1:87" ht="18" customHeight="1">
      <c r="A39" s="22">
        <f>+TABELLA!U43</f>
        <v>0</v>
      </c>
      <c r="B39" s="22">
        <f>+TABELLA!V43</f>
        <v>0</v>
      </c>
      <c r="C39" s="22">
        <f>+TABELLA!W43</f>
        <v>0</v>
      </c>
      <c r="D39" s="22">
        <f>+TABELLA!X43</f>
        <v>0</v>
      </c>
      <c r="E39" s="22"/>
      <c r="F39" s="41">
        <f>IF(TABELLA!B43="","",TABELLA!B43)</f>
        <v>4</v>
      </c>
      <c r="G39" s="42" t="str">
        <f>IF(TABELLA!C43="","",TABELLA!C43)</f>
        <v>MOCELLIN MAURIZIO</v>
      </c>
      <c r="H39" s="206" t="str">
        <f t="shared" ref="H39:V39" si="49">IF(AND(G$3&gt;=$A39,G$3&lt;$B39),1,IF(AND(G$3&gt;=$C39,G$3&lt;$D39),1,""))</f>
        <v/>
      </c>
      <c r="I39" s="206" t="str">
        <f t="shared" si="49"/>
        <v/>
      </c>
      <c r="J39" s="206" t="str">
        <f t="shared" si="49"/>
        <v/>
      </c>
      <c r="K39" s="207" t="str">
        <f t="shared" si="49"/>
        <v/>
      </c>
      <c r="L39" s="208" t="str">
        <f t="shared" si="49"/>
        <v/>
      </c>
      <c r="M39" s="206" t="str">
        <f t="shared" si="49"/>
        <v/>
      </c>
      <c r="N39" s="206" t="str">
        <f t="shared" si="49"/>
        <v/>
      </c>
      <c r="O39" s="207" t="str">
        <f t="shared" si="49"/>
        <v/>
      </c>
      <c r="P39" s="208" t="str">
        <f t="shared" si="49"/>
        <v/>
      </c>
      <c r="Q39" s="206" t="str">
        <f t="shared" si="49"/>
        <v/>
      </c>
      <c r="R39" s="206" t="str">
        <f t="shared" si="49"/>
        <v/>
      </c>
      <c r="S39" s="207" t="str">
        <f t="shared" si="49"/>
        <v/>
      </c>
      <c r="T39" s="208" t="str">
        <f t="shared" si="49"/>
        <v/>
      </c>
      <c r="U39" s="206" t="str">
        <f t="shared" si="49"/>
        <v/>
      </c>
      <c r="V39" s="206" t="str">
        <f t="shared" si="49"/>
        <v/>
      </c>
      <c r="W39" s="207" t="str">
        <f t="shared" si="46"/>
        <v/>
      </c>
      <c r="X39" s="208" t="str">
        <f t="shared" si="43"/>
        <v/>
      </c>
      <c r="Y39" s="206" t="str">
        <f t="shared" si="43"/>
        <v/>
      </c>
      <c r="Z39" s="206" t="str">
        <f t="shared" si="43"/>
        <v/>
      </c>
      <c r="AA39" s="207" t="str">
        <f t="shared" si="43"/>
        <v/>
      </c>
      <c r="AB39" s="208" t="str">
        <f t="shared" si="43"/>
        <v/>
      </c>
      <c r="AC39" s="206" t="str">
        <f t="shared" si="43"/>
        <v/>
      </c>
      <c r="AD39" s="206" t="str">
        <f t="shared" si="43"/>
        <v/>
      </c>
      <c r="AE39" s="207" t="str">
        <f t="shared" si="43"/>
        <v/>
      </c>
      <c r="AF39" s="208" t="str">
        <f t="shared" si="43"/>
        <v/>
      </c>
      <c r="AG39" s="206" t="str">
        <f t="shared" si="43"/>
        <v/>
      </c>
      <c r="AH39" s="206" t="str">
        <f t="shared" si="43"/>
        <v/>
      </c>
      <c r="AI39" s="207" t="str">
        <f t="shared" si="43"/>
        <v/>
      </c>
      <c r="AJ39" s="208" t="str">
        <f t="shared" si="43"/>
        <v/>
      </c>
      <c r="AK39" s="206" t="str">
        <f t="shared" si="43"/>
        <v/>
      </c>
      <c r="AL39" s="206" t="str">
        <f t="shared" si="43"/>
        <v/>
      </c>
      <c r="AM39" s="207" t="str">
        <f t="shared" si="47"/>
        <v/>
      </c>
      <c r="AN39" s="208" t="str">
        <f t="shared" si="47"/>
        <v/>
      </c>
      <c r="AO39" s="206" t="str">
        <f t="shared" si="47"/>
        <v/>
      </c>
      <c r="AP39" s="206" t="str">
        <f t="shared" si="47"/>
        <v/>
      </c>
      <c r="AQ39" s="207" t="str">
        <f t="shared" si="47"/>
        <v/>
      </c>
      <c r="AR39" s="208" t="str">
        <f t="shared" si="47"/>
        <v/>
      </c>
      <c r="AS39" s="206" t="str">
        <f t="shared" si="47"/>
        <v/>
      </c>
      <c r="AT39" s="206" t="str">
        <f t="shared" si="47"/>
        <v/>
      </c>
      <c r="AU39" s="207" t="str">
        <f t="shared" si="47"/>
        <v/>
      </c>
      <c r="AV39" s="208" t="str">
        <f t="shared" si="47"/>
        <v/>
      </c>
      <c r="AW39" s="206" t="str">
        <f t="shared" si="47"/>
        <v/>
      </c>
      <c r="AX39" s="206" t="str">
        <f t="shared" si="47"/>
        <v/>
      </c>
      <c r="AY39" s="207" t="str">
        <f t="shared" si="47"/>
        <v/>
      </c>
      <c r="AZ39" s="208" t="str">
        <f t="shared" si="47"/>
        <v/>
      </c>
      <c r="BA39" s="206" t="str">
        <f t="shared" si="47"/>
        <v/>
      </c>
      <c r="BB39" s="206" t="str">
        <f t="shared" si="47"/>
        <v/>
      </c>
      <c r="BC39" s="207" t="str">
        <f t="shared" si="44"/>
        <v/>
      </c>
      <c r="BD39" s="208" t="str">
        <f t="shared" si="44"/>
        <v/>
      </c>
      <c r="BE39" s="206" t="str">
        <f t="shared" si="44"/>
        <v/>
      </c>
      <c r="BF39" s="206" t="str">
        <f t="shared" si="44"/>
        <v/>
      </c>
      <c r="BG39" s="207" t="str">
        <f t="shared" si="44"/>
        <v/>
      </c>
      <c r="BH39" s="208" t="str">
        <f t="shared" si="44"/>
        <v/>
      </c>
      <c r="BI39" s="206" t="str">
        <f t="shared" si="44"/>
        <v/>
      </c>
      <c r="BJ39" s="206" t="str">
        <f t="shared" si="44"/>
        <v/>
      </c>
      <c r="BK39" s="207" t="str">
        <f t="shared" si="44"/>
        <v/>
      </c>
      <c r="BL39" s="208" t="str">
        <f t="shared" si="44"/>
        <v/>
      </c>
      <c r="BM39" s="206" t="str">
        <f t="shared" si="44"/>
        <v/>
      </c>
      <c r="BN39" s="206" t="str">
        <f t="shared" si="44"/>
        <v/>
      </c>
      <c r="BO39" s="207" t="str">
        <f t="shared" si="44"/>
        <v/>
      </c>
      <c r="BP39" s="208" t="str">
        <f t="shared" si="48"/>
        <v/>
      </c>
      <c r="BQ39" s="206" t="str">
        <f t="shared" si="48"/>
        <v/>
      </c>
      <c r="BR39" s="206" t="str">
        <f t="shared" si="48"/>
        <v/>
      </c>
      <c r="BS39" s="207" t="str">
        <f t="shared" si="48"/>
        <v/>
      </c>
      <c r="BT39" s="208" t="str">
        <f t="shared" si="48"/>
        <v/>
      </c>
      <c r="BU39" s="206" t="str">
        <f t="shared" si="48"/>
        <v/>
      </c>
      <c r="BV39" s="206" t="str">
        <f t="shared" si="48"/>
        <v/>
      </c>
      <c r="BW39" s="207" t="str">
        <f t="shared" si="48"/>
        <v/>
      </c>
      <c r="BX39" s="208" t="str">
        <f t="shared" si="48"/>
        <v/>
      </c>
      <c r="BY39" s="206" t="str">
        <f t="shared" si="48"/>
        <v/>
      </c>
      <c r="BZ39" s="206" t="str">
        <f t="shared" si="48"/>
        <v/>
      </c>
      <c r="CA39" s="207" t="str">
        <f t="shared" si="48"/>
        <v/>
      </c>
      <c r="CB39" s="208" t="str">
        <f t="shared" si="48"/>
        <v/>
      </c>
      <c r="CC39" s="206" t="str">
        <f t="shared" si="48"/>
        <v/>
      </c>
      <c r="CD39" s="206" t="str">
        <f t="shared" si="48"/>
        <v/>
      </c>
      <c r="CE39" s="207" t="str">
        <f t="shared" si="48"/>
        <v/>
      </c>
    </row>
    <row r="40" spans="1:87" ht="18" customHeight="1">
      <c r="A40" s="22">
        <f>+TABELLA!U44</f>
        <v>0</v>
      </c>
      <c r="B40" s="22">
        <f>+TABELLA!V44</f>
        <v>0</v>
      </c>
      <c r="C40" s="22">
        <f>+TABELLA!W44</f>
        <v>0</v>
      </c>
      <c r="D40" s="22">
        <f>+TABELLA!X44</f>
        <v>0</v>
      </c>
      <c r="E40" s="22"/>
      <c r="F40" s="26" t="str">
        <f>IF(TABELLA!B44="","",TABELLA!B44)</f>
        <v/>
      </c>
      <c r="G40" s="27" t="str">
        <f>IF(TABELLA!C44="","",TABELLA!C44)</f>
        <v/>
      </c>
      <c r="H40" s="203" t="str">
        <f t="shared" ref="H40:V40" si="50">IF(AND(G$3&gt;=$A40,G$3&lt;$B40),1,IF(AND(G$3&gt;=$C40,G$3&lt;$D40),1,""))</f>
        <v/>
      </c>
      <c r="I40" s="203" t="str">
        <f t="shared" si="50"/>
        <v/>
      </c>
      <c r="J40" s="203" t="str">
        <f t="shared" si="50"/>
        <v/>
      </c>
      <c r="K40" s="204" t="str">
        <f t="shared" si="50"/>
        <v/>
      </c>
      <c r="L40" s="205" t="str">
        <f t="shared" si="50"/>
        <v/>
      </c>
      <c r="M40" s="203" t="str">
        <f t="shared" si="50"/>
        <v/>
      </c>
      <c r="N40" s="203" t="str">
        <f t="shared" si="50"/>
        <v/>
      </c>
      <c r="O40" s="204" t="str">
        <f t="shared" si="50"/>
        <v/>
      </c>
      <c r="P40" s="205" t="str">
        <f t="shared" si="50"/>
        <v/>
      </c>
      <c r="Q40" s="203" t="str">
        <f t="shared" si="50"/>
        <v/>
      </c>
      <c r="R40" s="203" t="str">
        <f t="shared" si="50"/>
        <v/>
      </c>
      <c r="S40" s="204" t="str">
        <f t="shared" si="50"/>
        <v/>
      </c>
      <c r="T40" s="205" t="str">
        <f t="shared" si="50"/>
        <v/>
      </c>
      <c r="U40" s="203" t="str">
        <f t="shared" si="50"/>
        <v/>
      </c>
      <c r="V40" s="203" t="str">
        <f t="shared" si="50"/>
        <v/>
      </c>
      <c r="W40" s="204" t="str">
        <f t="shared" si="46"/>
        <v/>
      </c>
      <c r="X40" s="205" t="str">
        <f t="shared" si="43"/>
        <v/>
      </c>
      <c r="Y40" s="203" t="str">
        <f t="shared" si="43"/>
        <v/>
      </c>
      <c r="Z40" s="203" t="str">
        <f t="shared" si="43"/>
        <v/>
      </c>
      <c r="AA40" s="204" t="str">
        <f t="shared" si="43"/>
        <v/>
      </c>
      <c r="AB40" s="205" t="str">
        <f t="shared" si="43"/>
        <v/>
      </c>
      <c r="AC40" s="203" t="str">
        <f t="shared" si="43"/>
        <v/>
      </c>
      <c r="AD40" s="203" t="str">
        <f t="shared" si="43"/>
        <v/>
      </c>
      <c r="AE40" s="204" t="str">
        <f t="shared" si="43"/>
        <v/>
      </c>
      <c r="AF40" s="205" t="str">
        <f t="shared" si="43"/>
        <v/>
      </c>
      <c r="AG40" s="203" t="str">
        <f t="shared" si="43"/>
        <v/>
      </c>
      <c r="AH40" s="203" t="str">
        <f t="shared" si="43"/>
        <v/>
      </c>
      <c r="AI40" s="204" t="str">
        <f t="shared" si="43"/>
        <v/>
      </c>
      <c r="AJ40" s="205" t="str">
        <f t="shared" si="43"/>
        <v/>
      </c>
      <c r="AK40" s="203" t="str">
        <f t="shared" si="43"/>
        <v/>
      </c>
      <c r="AL40" s="203" t="str">
        <f t="shared" si="43"/>
        <v/>
      </c>
      <c r="AM40" s="204" t="str">
        <f t="shared" si="47"/>
        <v/>
      </c>
      <c r="AN40" s="205" t="str">
        <f t="shared" si="47"/>
        <v/>
      </c>
      <c r="AO40" s="203" t="str">
        <f t="shared" si="47"/>
        <v/>
      </c>
      <c r="AP40" s="203" t="str">
        <f t="shared" si="47"/>
        <v/>
      </c>
      <c r="AQ40" s="204" t="str">
        <f t="shared" si="47"/>
        <v/>
      </c>
      <c r="AR40" s="205" t="str">
        <f t="shared" si="47"/>
        <v/>
      </c>
      <c r="AS40" s="203" t="str">
        <f t="shared" si="47"/>
        <v/>
      </c>
      <c r="AT40" s="203" t="str">
        <f t="shared" si="47"/>
        <v/>
      </c>
      <c r="AU40" s="204" t="str">
        <f t="shared" si="47"/>
        <v/>
      </c>
      <c r="AV40" s="205" t="str">
        <f t="shared" si="47"/>
        <v/>
      </c>
      <c r="AW40" s="203" t="str">
        <f t="shared" si="47"/>
        <v/>
      </c>
      <c r="AX40" s="203" t="str">
        <f t="shared" si="47"/>
        <v/>
      </c>
      <c r="AY40" s="204" t="str">
        <f t="shared" si="47"/>
        <v/>
      </c>
      <c r="AZ40" s="205" t="str">
        <f t="shared" si="47"/>
        <v/>
      </c>
      <c r="BA40" s="203" t="str">
        <f t="shared" si="47"/>
        <v/>
      </c>
      <c r="BB40" s="203" t="str">
        <f t="shared" si="47"/>
        <v/>
      </c>
      <c r="BC40" s="204" t="str">
        <f t="shared" si="44"/>
        <v/>
      </c>
      <c r="BD40" s="205" t="str">
        <f t="shared" si="44"/>
        <v/>
      </c>
      <c r="BE40" s="203" t="str">
        <f t="shared" si="44"/>
        <v/>
      </c>
      <c r="BF40" s="203" t="str">
        <f t="shared" si="44"/>
        <v/>
      </c>
      <c r="BG40" s="204" t="str">
        <f t="shared" si="44"/>
        <v/>
      </c>
      <c r="BH40" s="205" t="str">
        <f t="shared" si="44"/>
        <v/>
      </c>
      <c r="BI40" s="203" t="str">
        <f t="shared" si="44"/>
        <v/>
      </c>
      <c r="BJ40" s="203" t="str">
        <f t="shared" si="44"/>
        <v/>
      </c>
      <c r="BK40" s="204" t="str">
        <f t="shared" si="44"/>
        <v/>
      </c>
      <c r="BL40" s="205" t="str">
        <f t="shared" si="44"/>
        <v/>
      </c>
      <c r="BM40" s="203" t="str">
        <f t="shared" si="44"/>
        <v/>
      </c>
      <c r="BN40" s="203" t="str">
        <f t="shared" si="44"/>
        <v/>
      </c>
      <c r="BO40" s="204" t="str">
        <f t="shared" si="44"/>
        <v/>
      </c>
      <c r="BP40" s="205" t="str">
        <f t="shared" si="48"/>
        <v/>
      </c>
      <c r="BQ40" s="203" t="str">
        <f t="shared" si="48"/>
        <v/>
      </c>
      <c r="BR40" s="203" t="str">
        <f t="shared" si="48"/>
        <v/>
      </c>
      <c r="BS40" s="204" t="str">
        <f t="shared" si="48"/>
        <v/>
      </c>
      <c r="BT40" s="205" t="str">
        <f t="shared" si="48"/>
        <v/>
      </c>
      <c r="BU40" s="203" t="str">
        <f t="shared" si="48"/>
        <v/>
      </c>
      <c r="BV40" s="203" t="str">
        <f t="shared" si="48"/>
        <v/>
      </c>
      <c r="BW40" s="204" t="str">
        <f t="shared" si="48"/>
        <v/>
      </c>
      <c r="BX40" s="205" t="str">
        <f t="shared" si="48"/>
        <v/>
      </c>
      <c r="BY40" s="203" t="str">
        <f t="shared" si="48"/>
        <v/>
      </c>
      <c r="BZ40" s="203" t="str">
        <f t="shared" si="48"/>
        <v/>
      </c>
      <c r="CA40" s="204" t="str">
        <f t="shared" si="48"/>
        <v/>
      </c>
      <c r="CB40" s="205" t="str">
        <f t="shared" si="48"/>
        <v/>
      </c>
      <c r="CC40" s="203" t="str">
        <f t="shared" si="48"/>
        <v/>
      </c>
      <c r="CD40" s="203" t="str">
        <f t="shared" si="48"/>
        <v/>
      </c>
      <c r="CE40" s="204" t="str">
        <f t="shared" si="48"/>
        <v/>
      </c>
    </row>
    <row r="41" spans="1:87" ht="18" customHeight="1">
      <c r="A41" s="22">
        <f>+TABELLA!U45</f>
        <v>0</v>
      </c>
      <c r="B41" s="22">
        <f>+TABELLA!V45</f>
        <v>0</v>
      </c>
      <c r="C41" s="22">
        <f>+TABELLA!W45</f>
        <v>0</v>
      </c>
      <c r="D41" s="22">
        <f>+TABELLA!X45</f>
        <v>0</v>
      </c>
      <c r="E41" s="22"/>
      <c r="F41" s="41">
        <f>IF(TABELLA!B45="","",TABELLA!B45)</f>
        <v>9</v>
      </c>
      <c r="G41" s="42" t="str">
        <f>IF(TABELLA!C45="","",TABELLA!C45)</f>
        <v>CANELLA PAOLO</v>
      </c>
      <c r="H41" s="206" t="str">
        <f t="shared" ref="H41:V41" si="51">IF(AND(G$3&gt;=$A41,G$3&lt;$B41),1,IF(AND(G$3&gt;=$C41,G$3&lt;$D41),1,""))</f>
        <v/>
      </c>
      <c r="I41" s="206" t="str">
        <f t="shared" si="51"/>
        <v/>
      </c>
      <c r="J41" s="206" t="str">
        <f t="shared" si="51"/>
        <v/>
      </c>
      <c r="K41" s="207" t="str">
        <f t="shared" si="51"/>
        <v/>
      </c>
      <c r="L41" s="208" t="str">
        <f t="shared" si="51"/>
        <v/>
      </c>
      <c r="M41" s="206" t="str">
        <f t="shared" si="51"/>
        <v/>
      </c>
      <c r="N41" s="206" t="str">
        <f t="shared" si="51"/>
        <v/>
      </c>
      <c r="O41" s="207" t="str">
        <f t="shared" si="51"/>
        <v/>
      </c>
      <c r="P41" s="208" t="str">
        <f t="shared" si="51"/>
        <v/>
      </c>
      <c r="Q41" s="206" t="str">
        <f t="shared" si="51"/>
        <v/>
      </c>
      <c r="R41" s="206" t="str">
        <f t="shared" si="51"/>
        <v/>
      </c>
      <c r="S41" s="207" t="str">
        <f t="shared" si="51"/>
        <v/>
      </c>
      <c r="T41" s="208" t="str">
        <f t="shared" si="51"/>
        <v/>
      </c>
      <c r="U41" s="206" t="str">
        <f t="shared" si="51"/>
        <v/>
      </c>
      <c r="V41" s="206" t="str">
        <f t="shared" si="51"/>
        <v/>
      </c>
      <c r="W41" s="207" t="str">
        <f t="shared" si="46"/>
        <v/>
      </c>
      <c r="X41" s="208" t="str">
        <f t="shared" si="43"/>
        <v/>
      </c>
      <c r="Y41" s="206" t="str">
        <f t="shared" si="43"/>
        <v/>
      </c>
      <c r="Z41" s="206" t="str">
        <f t="shared" si="43"/>
        <v/>
      </c>
      <c r="AA41" s="207" t="str">
        <f t="shared" si="43"/>
        <v/>
      </c>
      <c r="AB41" s="208" t="str">
        <f t="shared" si="43"/>
        <v/>
      </c>
      <c r="AC41" s="206" t="str">
        <f t="shared" si="43"/>
        <v/>
      </c>
      <c r="AD41" s="206" t="str">
        <f t="shared" si="43"/>
        <v/>
      </c>
      <c r="AE41" s="207" t="str">
        <f t="shared" si="43"/>
        <v/>
      </c>
      <c r="AF41" s="208" t="str">
        <f t="shared" si="43"/>
        <v/>
      </c>
      <c r="AG41" s="206" t="str">
        <f t="shared" si="43"/>
        <v/>
      </c>
      <c r="AH41" s="206" t="str">
        <f t="shared" si="43"/>
        <v/>
      </c>
      <c r="AI41" s="207" t="str">
        <f t="shared" si="43"/>
        <v/>
      </c>
      <c r="AJ41" s="208" t="str">
        <f t="shared" si="43"/>
        <v/>
      </c>
      <c r="AK41" s="206" t="str">
        <f t="shared" si="43"/>
        <v/>
      </c>
      <c r="AL41" s="206" t="str">
        <f t="shared" si="43"/>
        <v/>
      </c>
      <c r="AM41" s="207" t="str">
        <f t="shared" si="47"/>
        <v/>
      </c>
      <c r="AN41" s="208" t="str">
        <f t="shared" si="47"/>
        <v/>
      </c>
      <c r="AO41" s="206" t="str">
        <f t="shared" si="47"/>
        <v/>
      </c>
      <c r="AP41" s="206" t="str">
        <f t="shared" si="47"/>
        <v/>
      </c>
      <c r="AQ41" s="207" t="str">
        <f t="shared" si="47"/>
        <v/>
      </c>
      <c r="AR41" s="208" t="str">
        <f t="shared" si="47"/>
        <v/>
      </c>
      <c r="AS41" s="206" t="str">
        <f t="shared" si="47"/>
        <v/>
      </c>
      <c r="AT41" s="206" t="str">
        <f t="shared" si="47"/>
        <v/>
      </c>
      <c r="AU41" s="207" t="str">
        <f t="shared" si="47"/>
        <v/>
      </c>
      <c r="AV41" s="208" t="str">
        <f t="shared" si="47"/>
        <v/>
      </c>
      <c r="AW41" s="206" t="str">
        <f t="shared" si="47"/>
        <v/>
      </c>
      <c r="AX41" s="206" t="str">
        <f t="shared" si="47"/>
        <v/>
      </c>
      <c r="AY41" s="207" t="str">
        <f t="shared" si="47"/>
        <v/>
      </c>
      <c r="AZ41" s="208" t="str">
        <f t="shared" si="47"/>
        <v/>
      </c>
      <c r="BA41" s="206" t="str">
        <f t="shared" si="47"/>
        <v/>
      </c>
      <c r="BB41" s="206" t="str">
        <f t="shared" si="47"/>
        <v/>
      </c>
      <c r="BC41" s="207" t="str">
        <f t="shared" si="44"/>
        <v/>
      </c>
      <c r="BD41" s="208" t="str">
        <f t="shared" si="44"/>
        <v/>
      </c>
      <c r="BE41" s="206" t="str">
        <f t="shared" si="44"/>
        <v/>
      </c>
      <c r="BF41" s="206" t="str">
        <f t="shared" si="44"/>
        <v/>
      </c>
      <c r="BG41" s="207" t="str">
        <f t="shared" si="44"/>
        <v/>
      </c>
      <c r="BH41" s="208" t="str">
        <f t="shared" si="44"/>
        <v/>
      </c>
      <c r="BI41" s="206" t="str">
        <f t="shared" si="44"/>
        <v/>
      </c>
      <c r="BJ41" s="206" t="str">
        <f t="shared" si="44"/>
        <v/>
      </c>
      <c r="BK41" s="207" t="str">
        <f t="shared" si="44"/>
        <v/>
      </c>
      <c r="BL41" s="208" t="str">
        <f t="shared" si="44"/>
        <v/>
      </c>
      <c r="BM41" s="206" t="str">
        <f t="shared" si="44"/>
        <v/>
      </c>
      <c r="BN41" s="206" t="str">
        <f t="shared" si="44"/>
        <v/>
      </c>
      <c r="BO41" s="207" t="str">
        <f t="shared" si="44"/>
        <v/>
      </c>
      <c r="BP41" s="208" t="str">
        <f t="shared" si="48"/>
        <v/>
      </c>
      <c r="BQ41" s="206" t="str">
        <f t="shared" si="48"/>
        <v/>
      </c>
      <c r="BR41" s="206" t="str">
        <f t="shared" si="48"/>
        <v/>
      </c>
      <c r="BS41" s="207" t="str">
        <f t="shared" si="48"/>
        <v/>
      </c>
      <c r="BT41" s="208" t="str">
        <f t="shared" si="48"/>
        <v/>
      </c>
      <c r="BU41" s="206" t="str">
        <f t="shared" si="48"/>
        <v/>
      </c>
      <c r="BV41" s="206" t="str">
        <f t="shared" si="48"/>
        <v/>
      </c>
      <c r="BW41" s="207" t="str">
        <f t="shared" si="48"/>
        <v/>
      </c>
      <c r="BX41" s="208" t="str">
        <f t="shared" si="48"/>
        <v/>
      </c>
      <c r="BY41" s="206" t="str">
        <f t="shared" si="48"/>
        <v/>
      </c>
      <c r="BZ41" s="206" t="str">
        <f t="shared" si="48"/>
        <v/>
      </c>
      <c r="CA41" s="207" t="str">
        <f t="shared" si="48"/>
        <v/>
      </c>
      <c r="CB41" s="208" t="str">
        <f t="shared" si="48"/>
        <v/>
      </c>
      <c r="CC41" s="206" t="str">
        <f t="shared" si="48"/>
        <v/>
      </c>
      <c r="CD41" s="206" t="str">
        <f t="shared" si="48"/>
        <v/>
      </c>
      <c r="CE41" s="207" t="str">
        <f t="shared" si="48"/>
        <v/>
      </c>
    </row>
    <row r="42" spans="1:87" ht="18" customHeight="1">
      <c r="A42" s="22">
        <f>+TABELLA!U46</f>
        <v>0</v>
      </c>
      <c r="B42" s="22">
        <f>+TABELLA!V46</f>
        <v>0</v>
      </c>
      <c r="C42" s="22">
        <f>+TABELLA!W46</f>
        <v>0</v>
      </c>
      <c r="D42" s="22">
        <f>+TABELLA!X46</f>
        <v>0</v>
      </c>
      <c r="E42" s="22"/>
      <c r="F42" s="26" t="str">
        <f>IF(TABELLA!B46="","",TABELLA!B46)</f>
        <v/>
      </c>
      <c r="G42" s="27" t="str">
        <f>IF(TABELLA!C46="","",TABELLA!C46)</f>
        <v/>
      </c>
      <c r="H42" s="203" t="str">
        <f t="shared" ref="H42:V42" si="52">IF(AND(G$3&gt;=$A42,G$3&lt;$B42),1,IF(AND(G$3&gt;=$C42,G$3&lt;$D42),1,""))</f>
        <v/>
      </c>
      <c r="I42" s="203" t="str">
        <f t="shared" si="52"/>
        <v/>
      </c>
      <c r="J42" s="203" t="str">
        <f t="shared" si="52"/>
        <v/>
      </c>
      <c r="K42" s="204" t="str">
        <f t="shared" si="52"/>
        <v/>
      </c>
      <c r="L42" s="205" t="str">
        <f t="shared" si="52"/>
        <v/>
      </c>
      <c r="M42" s="203" t="str">
        <f t="shared" si="52"/>
        <v/>
      </c>
      <c r="N42" s="203" t="str">
        <f t="shared" si="52"/>
        <v/>
      </c>
      <c r="O42" s="204" t="str">
        <f t="shared" si="52"/>
        <v/>
      </c>
      <c r="P42" s="205" t="str">
        <f t="shared" si="52"/>
        <v/>
      </c>
      <c r="Q42" s="203" t="str">
        <f t="shared" si="52"/>
        <v/>
      </c>
      <c r="R42" s="203" t="str">
        <f t="shared" si="52"/>
        <v/>
      </c>
      <c r="S42" s="204" t="str">
        <f t="shared" si="52"/>
        <v/>
      </c>
      <c r="T42" s="205" t="str">
        <f t="shared" si="52"/>
        <v/>
      </c>
      <c r="U42" s="203" t="str">
        <f t="shared" si="52"/>
        <v/>
      </c>
      <c r="V42" s="203" t="str">
        <f t="shared" si="52"/>
        <v/>
      </c>
      <c r="W42" s="204" t="str">
        <f t="shared" si="46"/>
        <v/>
      </c>
      <c r="X42" s="205" t="str">
        <f t="shared" si="43"/>
        <v/>
      </c>
      <c r="Y42" s="203" t="str">
        <f t="shared" si="43"/>
        <v/>
      </c>
      <c r="Z42" s="203" t="str">
        <f t="shared" si="43"/>
        <v/>
      </c>
      <c r="AA42" s="204" t="str">
        <f t="shared" si="43"/>
        <v/>
      </c>
      <c r="AB42" s="205" t="str">
        <f t="shared" si="43"/>
        <v/>
      </c>
      <c r="AC42" s="203" t="str">
        <f t="shared" si="43"/>
        <v/>
      </c>
      <c r="AD42" s="203" t="str">
        <f t="shared" si="43"/>
        <v/>
      </c>
      <c r="AE42" s="204" t="str">
        <f t="shared" si="43"/>
        <v/>
      </c>
      <c r="AF42" s="205" t="str">
        <f t="shared" si="43"/>
        <v/>
      </c>
      <c r="AG42" s="203" t="str">
        <f t="shared" si="43"/>
        <v/>
      </c>
      <c r="AH42" s="203" t="str">
        <f t="shared" si="43"/>
        <v/>
      </c>
      <c r="AI42" s="204" t="str">
        <f t="shared" si="43"/>
        <v/>
      </c>
      <c r="AJ42" s="205" t="str">
        <f t="shared" si="43"/>
        <v/>
      </c>
      <c r="AK42" s="203" t="str">
        <f t="shared" si="43"/>
        <v/>
      </c>
      <c r="AL42" s="203" t="str">
        <f t="shared" si="43"/>
        <v/>
      </c>
      <c r="AM42" s="204" t="str">
        <f t="shared" si="47"/>
        <v/>
      </c>
      <c r="AN42" s="205" t="str">
        <f t="shared" si="47"/>
        <v/>
      </c>
      <c r="AO42" s="203" t="str">
        <f t="shared" si="47"/>
        <v/>
      </c>
      <c r="AP42" s="203" t="str">
        <f t="shared" si="47"/>
        <v/>
      </c>
      <c r="AQ42" s="204" t="str">
        <f t="shared" si="47"/>
        <v/>
      </c>
      <c r="AR42" s="205" t="str">
        <f t="shared" si="47"/>
        <v/>
      </c>
      <c r="AS42" s="203" t="str">
        <f t="shared" si="47"/>
        <v/>
      </c>
      <c r="AT42" s="203" t="str">
        <f t="shared" si="47"/>
        <v/>
      </c>
      <c r="AU42" s="204" t="str">
        <f t="shared" si="47"/>
        <v/>
      </c>
      <c r="AV42" s="205" t="str">
        <f t="shared" si="47"/>
        <v/>
      </c>
      <c r="AW42" s="203" t="str">
        <f t="shared" si="47"/>
        <v/>
      </c>
      <c r="AX42" s="203" t="str">
        <f t="shared" si="47"/>
        <v/>
      </c>
      <c r="AY42" s="204" t="str">
        <f t="shared" si="47"/>
        <v/>
      </c>
      <c r="AZ42" s="205" t="str">
        <f t="shared" si="47"/>
        <v/>
      </c>
      <c r="BA42" s="203" t="str">
        <f t="shared" si="47"/>
        <v/>
      </c>
      <c r="BB42" s="203" t="str">
        <f t="shared" si="47"/>
        <v/>
      </c>
      <c r="BC42" s="204" t="str">
        <f t="shared" si="44"/>
        <v/>
      </c>
      <c r="BD42" s="205" t="str">
        <f t="shared" si="44"/>
        <v/>
      </c>
      <c r="BE42" s="203" t="str">
        <f t="shared" si="44"/>
        <v/>
      </c>
      <c r="BF42" s="203" t="str">
        <f t="shared" si="44"/>
        <v/>
      </c>
      <c r="BG42" s="204" t="str">
        <f t="shared" si="44"/>
        <v/>
      </c>
      <c r="BH42" s="205" t="str">
        <f t="shared" si="44"/>
        <v/>
      </c>
      <c r="BI42" s="203" t="str">
        <f t="shared" si="44"/>
        <v/>
      </c>
      <c r="BJ42" s="203" t="str">
        <f t="shared" si="44"/>
        <v/>
      </c>
      <c r="BK42" s="204" t="str">
        <f t="shared" si="44"/>
        <v/>
      </c>
      <c r="BL42" s="205" t="str">
        <f t="shared" si="44"/>
        <v/>
      </c>
      <c r="BM42" s="203" t="str">
        <f t="shared" si="44"/>
        <v/>
      </c>
      <c r="BN42" s="203" t="str">
        <f t="shared" si="44"/>
        <v/>
      </c>
      <c r="BO42" s="204" t="str">
        <f t="shared" si="44"/>
        <v/>
      </c>
      <c r="BP42" s="205" t="str">
        <f t="shared" si="48"/>
        <v/>
      </c>
      <c r="BQ42" s="203" t="str">
        <f t="shared" si="48"/>
        <v/>
      </c>
      <c r="BR42" s="203" t="str">
        <f t="shared" si="48"/>
        <v/>
      </c>
      <c r="BS42" s="204" t="str">
        <f t="shared" si="48"/>
        <v/>
      </c>
      <c r="BT42" s="205" t="str">
        <f t="shared" si="48"/>
        <v/>
      </c>
      <c r="BU42" s="203" t="str">
        <f t="shared" si="48"/>
        <v/>
      </c>
      <c r="BV42" s="203" t="str">
        <f t="shared" si="48"/>
        <v/>
      </c>
      <c r="BW42" s="204" t="str">
        <f t="shared" si="48"/>
        <v/>
      </c>
      <c r="BX42" s="205" t="str">
        <f t="shared" si="48"/>
        <v/>
      </c>
      <c r="BY42" s="203" t="str">
        <f t="shared" si="48"/>
        <v/>
      </c>
      <c r="BZ42" s="203" t="str">
        <f t="shared" si="48"/>
        <v/>
      </c>
      <c r="CA42" s="204" t="str">
        <f t="shared" si="48"/>
        <v/>
      </c>
      <c r="CB42" s="205" t="str">
        <f t="shared" si="48"/>
        <v/>
      </c>
      <c r="CC42" s="203" t="str">
        <f t="shared" si="48"/>
        <v/>
      </c>
      <c r="CD42" s="203" t="str">
        <f t="shared" si="48"/>
        <v/>
      </c>
      <c r="CE42" s="204" t="str">
        <f t="shared" si="48"/>
        <v/>
      </c>
    </row>
    <row r="43" spans="1:87" ht="18" customHeight="1">
      <c r="A43" s="22">
        <f>+TABELLA!U47</f>
        <v>0</v>
      </c>
      <c r="B43" s="22">
        <f>+TABELLA!V47</f>
        <v>0</v>
      </c>
      <c r="C43" s="22">
        <f>+TABELLA!W47</f>
        <v>0</v>
      </c>
      <c r="D43" s="22">
        <f>+TABELLA!X47</f>
        <v>0</v>
      </c>
      <c r="E43" s="22"/>
      <c r="F43" s="41" t="str">
        <f>IF(TABELLA!B47="","",TABELLA!B47)</f>
        <v/>
      </c>
      <c r="G43" s="42" t="str">
        <f>IF(TABELLA!C47="","",TABELLA!C47)</f>
        <v/>
      </c>
      <c r="H43" s="206" t="str">
        <f t="shared" ref="H43:V43" si="53">IF(AND(G$3&gt;=$A43,G$3&lt;$B43),1,IF(AND(G$3&gt;=$C43,G$3&lt;$D43),1,""))</f>
        <v/>
      </c>
      <c r="I43" s="206" t="str">
        <f t="shared" si="53"/>
        <v/>
      </c>
      <c r="J43" s="206" t="str">
        <f t="shared" si="53"/>
        <v/>
      </c>
      <c r="K43" s="207" t="str">
        <f t="shared" si="53"/>
        <v/>
      </c>
      <c r="L43" s="208" t="str">
        <f t="shared" si="53"/>
        <v/>
      </c>
      <c r="M43" s="206" t="str">
        <f t="shared" si="53"/>
        <v/>
      </c>
      <c r="N43" s="206" t="str">
        <f t="shared" si="53"/>
        <v/>
      </c>
      <c r="O43" s="207" t="str">
        <f t="shared" si="53"/>
        <v/>
      </c>
      <c r="P43" s="208" t="str">
        <f t="shared" si="53"/>
        <v/>
      </c>
      <c r="Q43" s="206" t="str">
        <f t="shared" si="53"/>
        <v/>
      </c>
      <c r="R43" s="206" t="str">
        <f t="shared" si="53"/>
        <v/>
      </c>
      <c r="S43" s="207" t="str">
        <f t="shared" si="53"/>
        <v/>
      </c>
      <c r="T43" s="208" t="str">
        <f t="shared" si="53"/>
        <v/>
      </c>
      <c r="U43" s="206" t="str">
        <f t="shared" si="53"/>
        <v/>
      </c>
      <c r="V43" s="206" t="str">
        <f t="shared" si="53"/>
        <v/>
      </c>
      <c r="W43" s="207" t="str">
        <f t="shared" si="46"/>
        <v/>
      </c>
      <c r="X43" s="208" t="str">
        <f t="shared" si="43"/>
        <v/>
      </c>
      <c r="Y43" s="206" t="str">
        <f t="shared" si="43"/>
        <v/>
      </c>
      <c r="Z43" s="206" t="str">
        <f t="shared" si="43"/>
        <v/>
      </c>
      <c r="AA43" s="207" t="str">
        <f t="shared" si="43"/>
        <v/>
      </c>
      <c r="AB43" s="208" t="str">
        <f t="shared" si="43"/>
        <v/>
      </c>
      <c r="AC43" s="206" t="str">
        <f t="shared" si="43"/>
        <v/>
      </c>
      <c r="AD43" s="206" t="str">
        <f t="shared" si="43"/>
        <v/>
      </c>
      <c r="AE43" s="207" t="str">
        <f t="shared" si="43"/>
        <v/>
      </c>
      <c r="AF43" s="208" t="str">
        <f t="shared" si="43"/>
        <v/>
      </c>
      <c r="AG43" s="206" t="str">
        <f t="shared" si="43"/>
        <v/>
      </c>
      <c r="AH43" s="206" t="str">
        <f t="shared" si="43"/>
        <v/>
      </c>
      <c r="AI43" s="207" t="str">
        <f t="shared" si="43"/>
        <v/>
      </c>
      <c r="AJ43" s="208" t="str">
        <f t="shared" si="43"/>
        <v/>
      </c>
      <c r="AK43" s="206" t="str">
        <f t="shared" si="43"/>
        <v/>
      </c>
      <c r="AL43" s="206" t="str">
        <f t="shared" si="43"/>
        <v/>
      </c>
      <c r="AM43" s="207" t="str">
        <f t="shared" si="47"/>
        <v/>
      </c>
      <c r="AN43" s="208" t="str">
        <f t="shared" si="47"/>
        <v/>
      </c>
      <c r="AO43" s="206" t="str">
        <f t="shared" si="47"/>
        <v/>
      </c>
      <c r="AP43" s="206" t="str">
        <f t="shared" si="47"/>
        <v/>
      </c>
      <c r="AQ43" s="207" t="str">
        <f t="shared" si="47"/>
        <v/>
      </c>
      <c r="AR43" s="208" t="str">
        <f t="shared" si="47"/>
        <v/>
      </c>
      <c r="AS43" s="206" t="str">
        <f t="shared" si="47"/>
        <v/>
      </c>
      <c r="AT43" s="206" t="str">
        <f t="shared" si="47"/>
        <v/>
      </c>
      <c r="AU43" s="207" t="str">
        <f t="shared" si="47"/>
        <v/>
      </c>
      <c r="AV43" s="208" t="str">
        <f t="shared" si="47"/>
        <v/>
      </c>
      <c r="AW43" s="206" t="str">
        <f t="shared" si="47"/>
        <v/>
      </c>
      <c r="AX43" s="206" t="str">
        <f t="shared" si="47"/>
        <v/>
      </c>
      <c r="AY43" s="207" t="str">
        <f t="shared" si="47"/>
        <v/>
      </c>
      <c r="AZ43" s="208" t="str">
        <f t="shared" si="47"/>
        <v/>
      </c>
      <c r="BA43" s="206" t="str">
        <f t="shared" si="47"/>
        <v/>
      </c>
      <c r="BB43" s="206" t="str">
        <f t="shared" si="47"/>
        <v/>
      </c>
      <c r="BC43" s="207" t="str">
        <f t="shared" si="44"/>
        <v/>
      </c>
      <c r="BD43" s="208" t="str">
        <f t="shared" si="44"/>
        <v/>
      </c>
      <c r="BE43" s="206" t="str">
        <f t="shared" si="44"/>
        <v/>
      </c>
      <c r="BF43" s="206" t="str">
        <f t="shared" si="44"/>
        <v/>
      </c>
      <c r="BG43" s="207" t="str">
        <f t="shared" si="44"/>
        <v/>
      </c>
      <c r="BH43" s="208" t="str">
        <f t="shared" si="44"/>
        <v/>
      </c>
      <c r="BI43" s="206" t="str">
        <f t="shared" si="44"/>
        <v/>
      </c>
      <c r="BJ43" s="206" t="str">
        <f t="shared" si="44"/>
        <v/>
      </c>
      <c r="BK43" s="207" t="str">
        <f t="shared" si="44"/>
        <v/>
      </c>
      <c r="BL43" s="208" t="str">
        <f t="shared" si="44"/>
        <v/>
      </c>
      <c r="BM43" s="206" t="str">
        <f t="shared" si="44"/>
        <v/>
      </c>
      <c r="BN43" s="206" t="str">
        <f t="shared" si="44"/>
        <v/>
      </c>
      <c r="BO43" s="207" t="str">
        <f t="shared" si="44"/>
        <v/>
      </c>
      <c r="BP43" s="208" t="str">
        <f t="shared" si="48"/>
        <v/>
      </c>
      <c r="BQ43" s="206" t="str">
        <f t="shared" si="48"/>
        <v/>
      </c>
      <c r="BR43" s="206" t="str">
        <f t="shared" si="48"/>
        <v/>
      </c>
      <c r="BS43" s="207" t="str">
        <f t="shared" si="48"/>
        <v/>
      </c>
      <c r="BT43" s="208" t="str">
        <f t="shared" si="48"/>
        <v/>
      </c>
      <c r="BU43" s="206" t="str">
        <f t="shared" si="48"/>
        <v/>
      </c>
      <c r="BV43" s="206" t="str">
        <f t="shared" si="48"/>
        <v/>
      </c>
      <c r="BW43" s="207" t="str">
        <f t="shared" si="48"/>
        <v/>
      </c>
      <c r="BX43" s="208" t="str">
        <f t="shared" si="48"/>
        <v/>
      </c>
      <c r="BY43" s="206" t="str">
        <f t="shared" si="48"/>
        <v/>
      </c>
      <c r="BZ43" s="206" t="str">
        <f t="shared" si="48"/>
        <v/>
      </c>
      <c r="CA43" s="207" t="str">
        <f t="shared" si="48"/>
        <v/>
      </c>
      <c r="CB43" s="208" t="str">
        <f t="shared" si="48"/>
        <v/>
      </c>
      <c r="CC43" s="206" t="str">
        <f t="shared" si="48"/>
        <v/>
      </c>
      <c r="CD43" s="206" t="str">
        <f t="shared" si="48"/>
        <v/>
      </c>
      <c r="CE43" s="207" t="str">
        <f t="shared" si="48"/>
        <v/>
      </c>
    </row>
    <row r="44" spans="1:87" ht="18" customHeight="1">
      <c r="A44" s="22">
        <f>+TABELLA!U48</f>
        <v>0</v>
      </c>
      <c r="B44" s="22">
        <f>+TABELLA!V48</f>
        <v>0</v>
      </c>
      <c r="C44" s="22">
        <f>+TABELLA!W48</f>
        <v>0</v>
      </c>
      <c r="D44" s="22">
        <f>+TABELLA!X48</f>
        <v>0</v>
      </c>
      <c r="E44" s="22"/>
      <c r="F44" s="26" t="str">
        <f>IF(TABELLA!B48="","",TABELLA!B48)</f>
        <v/>
      </c>
      <c r="G44" s="27" t="str">
        <f>IF(TABELLA!C48="","",TABELLA!C48)</f>
        <v/>
      </c>
      <c r="H44" s="203" t="str">
        <f t="shared" ref="H44:V44" si="54">IF(AND(G$3&gt;=$A44,G$3&lt;$B44),1,IF(AND(G$3&gt;=$C44,G$3&lt;$D44),1,""))</f>
        <v/>
      </c>
      <c r="I44" s="203" t="str">
        <f t="shared" si="54"/>
        <v/>
      </c>
      <c r="J44" s="203" t="str">
        <f t="shared" si="54"/>
        <v/>
      </c>
      <c r="K44" s="204" t="str">
        <f t="shared" si="54"/>
        <v/>
      </c>
      <c r="L44" s="205" t="str">
        <f t="shared" si="54"/>
        <v/>
      </c>
      <c r="M44" s="203" t="str">
        <f t="shared" si="54"/>
        <v/>
      </c>
      <c r="N44" s="203" t="str">
        <f t="shared" si="54"/>
        <v/>
      </c>
      <c r="O44" s="204" t="str">
        <f t="shared" si="54"/>
        <v/>
      </c>
      <c r="P44" s="205" t="str">
        <f t="shared" si="54"/>
        <v/>
      </c>
      <c r="Q44" s="203" t="str">
        <f t="shared" si="54"/>
        <v/>
      </c>
      <c r="R44" s="203" t="str">
        <f t="shared" si="54"/>
        <v/>
      </c>
      <c r="S44" s="204" t="str">
        <f t="shared" si="54"/>
        <v/>
      </c>
      <c r="T44" s="205" t="str">
        <f t="shared" si="54"/>
        <v/>
      </c>
      <c r="U44" s="203" t="str">
        <f t="shared" si="54"/>
        <v/>
      </c>
      <c r="V44" s="203" t="str">
        <f t="shared" si="54"/>
        <v/>
      </c>
      <c r="W44" s="204" t="str">
        <f t="shared" si="46"/>
        <v/>
      </c>
      <c r="X44" s="205" t="str">
        <f t="shared" si="43"/>
        <v/>
      </c>
      <c r="Y44" s="203" t="str">
        <f t="shared" si="43"/>
        <v/>
      </c>
      <c r="Z44" s="203" t="str">
        <f t="shared" si="43"/>
        <v/>
      </c>
      <c r="AA44" s="204" t="str">
        <f t="shared" si="43"/>
        <v/>
      </c>
      <c r="AB44" s="205" t="str">
        <f t="shared" si="43"/>
        <v/>
      </c>
      <c r="AC44" s="203" t="str">
        <f t="shared" si="43"/>
        <v/>
      </c>
      <c r="AD44" s="203" t="str">
        <f t="shared" si="43"/>
        <v/>
      </c>
      <c r="AE44" s="204" t="str">
        <f t="shared" si="43"/>
        <v/>
      </c>
      <c r="AF44" s="205" t="str">
        <f t="shared" si="43"/>
        <v/>
      </c>
      <c r="AG44" s="203" t="str">
        <f t="shared" si="43"/>
        <v/>
      </c>
      <c r="AH44" s="203" t="str">
        <f t="shared" si="43"/>
        <v/>
      </c>
      <c r="AI44" s="204" t="str">
        <f t="shared" si="43"/>
        <v/>
      </c>
      <c r="AJ44" s="205" t="str">
        <f t="shared" si="43"/>
        <v/>
      </c>
      <c r="AK44" s="203" t="str">
        <f t="shared" si="43"/>
        <v/>
      </c>
      <c r="AL44" s="203" t="str">
        <f t="shared" si="43"/>
        <v/>
      </c>
      <c r="AM44" s="204" t="str">
        <f t="shared" si="47"/>
        <v/>
      </c>
      <c r="AN44" s="205" t="str">
        <f t="shared" si="47"/>
        <v/>
      </c>
      <c r="AO44" s="203" t="str">
        <f t="shared" si="47"/>
        <v/>
      </c>
      <c r="AP44" s="203" t="str">
        <f t="shared" si="47"/>
        <v/>
      </c>
      <c r="AQ44" s="204" t="str">
        <f t="shared" si="47"/>
        <v/>
      </c>
      <c r="AR44" s="205" t="str">
        <f t="shared" si="47"/>
        <v/>
      </c>
      <c r="AS44" s="203" t="str">
        <f t="shared" si="47"/>
        <v/>
      </c>
      <c r="AT44" s="203" t="str">
        <f t="shared" si="47"/>
        <v/>
      </c>
      <c r="AU44" s="204" t="str">
        <f t="shared" si="47"/>
        <v/>
      </c>
      <c r="AV44" s="205" t="str">
        <f t="shared" si="47"/>
        <v/>
      </c>
      <c r="AW44" s="203" t="str">
        <f t="shared" si="47"/>
        <v/>
      </c>
      <c r="AX44" s="203" t="str">
        <f t="shared" si="47"/>
        <v/>
      </c>
      <c r="AY44" s="204" t="str">
        <f t="shared" si="47"/>
        <v/>
      </c>
      <c r="AZ44" s="205" t="str">
        <f t="shared" si="47"/>
        <v/>
      </c>
      <c r="BA44" s="203" t="str">
        <f t="shared" si="47"/>
        <v/>
      </c>
      <c r="BB44" s="203" t="str">
        <f t="shared" si="47"/>
        <v/>
      </c>
      <c r="BC44" s="204" t="str">
        <f t="shared" si="44"/>
        <v/>
      </c>
      <c r="BD44" s="205" t="str">
        <f t="shared" si="44"/>
        <v/>
      </c>
      <c r="BE44" s="203" t="str">
        <f t="shared" si="44"/>
        <v/>
      </c>
      <c r="BF44" s="203" t="str">
        <f t="shared" si="44"/>
        <v/>
      </c>
      <c r="BG44" s="204" t="str">
        <f t="shared" si="44"/>
        <v/>
      </c>
      <c r="BH44" s="205" t="str">
        <f t="shared" si="44"/>
        <v/>
      </c>
      <c r="BI44" s="203" t="str">
        <f t="shared" si="44"/>
        <v/>
      </c>
      <c r="BJ44" s="203" t="str">
        <f t="shared" si="44"/>
        <v/>
      </c>
      <c r="BK44" s="204" t="str">
        <f t="shared" si="44"/>
        <v/>
      </c>
      <c r="BL44" s="205" t="str">
        <f t="shared" si="44"/>
        <v/>
      </c>
      <c r="BM44" s="203" t="str">
        <f t="shared" si="44"/>
        <v/>
      </c>
      <c r="BN44" s="203" t="str">
        <f t="shared" si="44"/>
        <v/>
      </c>
      <c r="BO44" s="204" t="str">
        <f t="shared" si="44"/>
        <v/>
      </c>
      <c r="BP44" s="205" t="str">
        <f t="shared" si="48"/>
        <v/>
      </c>
      <c r="BQ44" s="203" t="str">
        <f t="shared" si="48"/>
        <v/>
      </c>
      <c r="BR44" s="203" t="str">
        <f t="shared" si="48"/>
        <v/>
      </c>
      <c r="BS44" s="204" t="str">
        <f t="shared" si="48"/>
        <v/>
      </c>
      <c r="BT44" s="205" t="str">
        <f t="shared" si="48"/>
        <v/>
      </c>
      <c r="BU44" s="203" t="str">
        <f t="shared" si="48"/>
        <v/>
      </c>
      <c r="BV44" s="203" t="str">
        <f t="shared" si="48"/>
        <v/>
      </c>
      <c r="BW44" s="204" t="str">
        <f t="shared" si="48"/>
        <v/>
      </c>
      <c r="BX44" s="205" t="str">
        <f t="shared" si="48"/>
        <v/>
      </c>
      <c r="BY44" s="203" t="str">
        <f t="shared" si="48"/>
        <v/>
      </c>
      <c r="BZ44" s="203" t="str">
        <f t="shared" si="48"/>
        <v/>
      </c>
      <c r="CA44" s="204" t="str">
        <f t="shared" si="48"/>
        <v/>
      </c>
      <c r="CB44" s="205" t="str">
        <f t="shared" si="48"/>
        <v/>
      </c>
      <c r="CC44" s="203" t="str">
        <f t="shared" si="48"/>
        <v/>
      </c>
      <c r="CD44" s="203" t="str">
        <f t="shared" si="48"/>
        <v/>
      </c>
      <c r="CE44" s="204" t="str">
        <f t="shared" si="48"/>
        <v/>
      </c>
    </row>
    <row r="45" spans="1:87" ht="18" customHeight="1">
      <c r="A45" s="22">
        <f>+TABELLA!U49</f>
        <v>0</v>
      </c>
      <c r="B45" s="22">
        <f>+TABELLA!V49</f>
        <v>0</v>
      </c>
      <c r="C45" s="22">
        <f>+TABELLA!W49</f>
        <v>0</v>
      </c>
      <c r="D45" s="22">
        <f>+TABELLA!X49</f>
        <v>0</v>
      </c>
      <c r="E45" s="22"/>
      <c r="F45" s="41" t="str">
        <f>IF(TABELLA!B49="","",TABELLA!B49)</f>
        <v/>
      </c>
      <c r="G45" s="42" t="str">
        <f>IF(TABELLA!C49="","",TABELLA!C49)</f>
        <v/>
      </c>
      <c r="H45" s="206" t="str">
        <f t="shared" ref="H45:V45" si="55">IF(AND(G$3&gt;=$A45,G$3&lt;$B45),1,IF(AND(G$3&gt;=$C45,G$3&lt;$D45),1,""))</f>
        <v/>
      </c>
      <c r="I45" s="206" t="str">
        <f t="shared" si="55"/>
        <v/>
      </c>
      <c r="J45" s="206" t="str">
        <f t="shared" si="55"/>
        <v/>
      </c>
      <c r="K45" s="207" t="str">
        <f t="shared" si="55"/>
        <v/>
      </c>
      <c r="L45" s="208" t="str">
        <f t="shared" si="55"/>
        <v/>
      </c>
      <c r="M45" s="206" t="str">
        <f t="shared" si="55"/>
        <v/>
      </c>
      <c r="N45" s="206" t="str">
        <f t="shared" si="55"/>
        <v/>
      </c>
      <c r="O45" s="207" t="str">
        <f t="shared" si="55"/>
        <v/>
      </c>
      <c r="P45" s="208" t="str">
        <f t="shared" si="55"/>
        <v/>
      </c>
      <c r="Q45" s="206" t="str">
        <f t="shared" si="55"/>
        <v/>
      </c>
      <c r="R45" s="206" t="str">
        <f t="shared" si="55"/>
        <v/>
      </c>
      <c r="S45" s="207" t="str">
        <f t="shared" si="55"/>
        <v/>
      </c>
      <c r="T45" s="208" t="str">
        <f t="shared" si="55"/>
        <v/>
      </c>
      <c r="U45" s="206" t="str">
        <f t="shared" si="55"/>
        <v/>
      </c>
      <c r="V45" s="206" t="str">
        <f t="shared" si="55"/>
        <v/>
      </c>
      <c r="W45" s="207" t="str">
        <f t="shared" si="46"/>
        <v/>
      </c>
      <c r="X45" s="208" t="str">
        <f t="shared" si="43"/>
        <v/>
      </c>
      <c r="Y45" s="206" t="str">
        <f t="shared" si="43"/>
        <v/>
      </c>
      <c r="Z45" s="206" t="str">
        <f t="shared" si="43"/>
        <v/>
      </c>
      <c r="AA45" s="207" t="str">
        <f t="shared" si="43"/>
        <v/>
      </c>
      <c r="AB45" s="208" t="str">
        <f t="shared" si="43"/>
        <v/>
      </c>
      <c r="AC45" s="206" t="str">
        <f t="shared" si="43"/>
        <v/>
      </c>
      <c r="AD45" s="206" t="str">
        <f t="shared" si="43"/>
        <v/>
      </c>
      <c r="AE45" s="207" t="str">
        <f t="shared" si="43"/>
        <v/>
      </c>
      <c r="AF45" s="208" t="str">
        <f t="shared" si="43"/>
        <v/>
      </c>
      <c r="AG45" s="206" t="str">
        <f t="shared" si="43"/>
        <v/>
      </c>
      <c r="AH45" s="206" t="str">
        <f t="shared" si="43"/>
        <v/>
      </c>
      <c r="AI45" s="207" t="str">
        <f t="shared" si="43"/>
        <v/>
      </c>
      <c r="AJ45" s="208" t="str">
        <f t="shared" si="43"/>
        <v/>
      </c>
      <c r="AK45" s="206" t="str">
        <f t="shared" si="43"/>
        <v/>
      </c>
      <c r="AL45" s="206" t="str">
        <f t="shared" si="43"/>
        <v/>
      </c>
      <c r="AM45" s="207" t="str">
        <f t="shared" si="47"/>
        <v/>
      </c>
      <c r="AN45" s="208" t="str">
        <f t="shared" si="47"/>
        <v/>
      </c>
      <c r="AO45" s="206" t="str">
        <f t="shared" si="47"/>
        <v/>
      </c>
      <c r="AP45" s="206" t="str">
        <f t="shared" si="47"/>
        <v/>
      </c>
      <c r="AQ45" s="207" t="str">
        <f t="shared" si="47"/>
        <v/>
      </c>
      <c r="AR45" s="208" t="str">
        <f t="shared" si="47"/>
        <v/>
      </c>
      <c r="AS45" s="206" t="str">
        <f t="shared" si="47"/>
        <v/>
      </c>
      <c r="AT45" s="206" t="str">
        <f t="shared" si="47"/>
        <v/>
      </c>
      <c r="AU45" s="207" t="str">
        <f t="shared" si="47"/>
        <v/>
      </c>
      <c r="AV45" s="208" t="str">
        <f t="shared" si="47"/>
        <v/>
      </c>
      <c r="AW45" s="206" t="str">
        <f t="shared" si="47"/>
        <v/>
      </c>
      <c r="AX45" s="206" t="str">
        <f t="shared" si="47"/>
        <v/>
      </c>
      <c r="AY45" s="207" t="str">
        <f t="shared" si="47"/>
        <v/>
      </c>
      <c r="AZ45" s="208" t="str">
        <f t="shared" si="47"/>
        <v/>
      </c>
      <c r="BA45" s="206" t="str">
        <f t="shared" si="47"/>
        <v/>
      </c>
      <c r="BB45" s="206" t="str">
        <f t="shared" si="47"/>
        <v/>
      </c>
      <c r="BC45" s="207" t="str">
        <f t="shared" si="44"/>
        <v/>
      </c>
      <c r="BD45" s="208" t="str">
        <f t="shared" si="44"/>
        <v/>
      </c>
      <c r="BE45" s="206" t="str">
        <f t="shared" si="44"/>
        <v/>
      </c>
      <c r="BF45" s="206" t="str">
        <f t="shared" si="44"/>
        <v/>
      </c>
      <c r="BG45" s="207" t="str">
        <f t="shared" si="44"/>
        <v/>
      </c>
      <c r="BH45" s="208" t="str">
        <f t="shared" si="44"/>
        <v/>
      </c>
      <c r="BI45" s="206" t="str">
        <f t="shared" si="44"/>
        <v/>
      </c>
      <c r="BJ45" s="206" t="str">
        <f t="shared" si="44"/>
        <v/>
      </c>
      <c r="BK45" s="207" t="str">
        <f t="shared" si="44"/>
        <v/>
      </c>
      <c r="BL45" s="208" t="str">
        <f t="shared" si="44"/>
        <v/>
      </c>
      <c r="BM45" s="206" t="str">
        <f t="shared" si="44"/>
        <v/>
      </c>
      <c r="BN45" s="206" t="str">
        <f t="shared" si="44"/>
        <v/>
      </c>
      <c r="BO45" s="207" t="str">
        <f t="shared" si="44"/>
        <v/>
      </c>
      <c r="BP45" s="208" t="str">
        <f t="shared" si="48"/>
        <v/>
      </c>
      <c r="BQ45" s="206" t="str">
        <f t="shared" si="48"/>
        <v/>
      </c>
      <c r="BR45" s="206" t="str">
        <f t="shared" si="48"/>
        <v/>
      </c>
      <c r="BS45" s="207" t="str">
        <f t="shared" si="48"/>
        <v/>
      </c>
      <c r="BT45" s="208" t="str">
        <f t="shared" si="48"/>
        <v/>
      </c>
      <c r="BU45" s="206" t="str">
        <f t="shared" si="48"/>
        <v/>
      </c>
      <c r="BV45" s="206" t="str">
        <f t="shared" si="48"/>
        <v/>
      </c>
      <c r="BW45" s="207" t="str">
        <f t="shared" si="48"/>
        <v/>
      </c>
      <c r="BX45" s="208" t="str">
        <f t="shared" si="48"/>
        <v/>
      </c>
      <c r="BY45" s="206" t="str">
        <f t="shared" si="48"/>
        <v/>
      </c>
      <c r="BZ45" s="206" t="str">
        <f t="shared" si="48"/>
        <v/>
      </c>
      <c r="CA45" s="207" t="str">
        <f t="shared" si="48"/>
        <v/>
      </c>
      <c r="CB45" s="208" t="str">
        <f t="shared" si="48"/>
        <v/>
      </c>
      <c r="CC45" s="206" t="str">
        <f t="shared" si="48"/>
        <v/>
      </c>
      <c r="CD45" s="206" t="str">
        <f t="shared" si="48"/>
        <v/>
      </c>
      <c r="CE45" s="207" t="str">
        <f t="shared" si="48"/>
        <v/>
      </c>
    </row>
    <row r="46" spans="1:87" ht="20.100000000000001" customHeight="1">
      <c r="F46" s="9">
        <v>1</v>
      </c>
      <c r="G46" s="10" t="s">
        <v>80</v>
      </c>
      <c r="H46" s="177">
        <f t="shared" ref="H46:W54" si="56">SUMIF($F$6:$F$45,$F46,H$6:H$45)</f>
        <v>0</v>
      </c>
      <c r="I46" s="178">
        <f t="shared" si="56"/>
        <v>0</v>
      </c>
      <c r="J46" s="178">
        <f t="shared" si="56"/>
        <v>0</v>
      </c>
      <c r="K46" s="179">
        <f t="shared" si="56"/>
        <v>0</v>
      </c>
      <c r="L46" s="177">
        <f t="shared" si="56"/>
        <v>0</v>
      </c>
      <c r="M46" s="178">
        <f t="shared" si="56"/>
        <v>0</v>
      </c>
      <c r="N46" s="178">
        <f t="shared" si="56"/>
        <v>0</v>
      </c>
      <c r="O46" s="179">
        <f t="shared" si="56"/>
        <v>0</v>
      </c>
      <c r="P46" s="177">
        <f t="shared" si="56"/>
        <v>0</v>
      </c>
      <c r="Q46" s="178">
        <f t="shared" si="56"/>
        <v>0</v>
      </c>
      <c r="R46" s="178">
        <f t="shared" si="56"/>
        <v>0</v>
      </c>
      <c r="S46" s="179">
        <f t="shared" si="56"/>
        <v>0</v>
      </c>
      <c r="T46" s="177">
        <f t="shared" si="56"/>
        <v>0</v>
      </c>
      <c r="U46" s="178">
        <f t="shared" si="56"/>
        <v>0</v>
      </c>
      <c r="V46" s="178">
        <f t="shared" si="56"/>
        <v>0</v>
      </c>
      <c r="W46" s="179">
        <f t="shared" si="56"/>
        <v>0</v>
      </c>
      <c r="X46" s="177">
        <f t="shared" ref="X46:AM54" si="57">SUMIF($F$6:$F$45,$F46,X$6:X$45)</f>
        <v>0</v>
      </c>
      <c r="Y46" s="178">
        <f t="shared" si="57"/>
        <v>0</v>
      </c>
      <c r="Z46" s="178">
        <f t="shared" si="57"/>
        <v>0</v>
      </c>
      <c r="AA46" s="179">
        <f t="shared" si="57"/>
        <v>0</v>
      </c>
      <c r="AB46" s="177">
        <f t="shared" si="57"/>
        <v>0</v>
      </c>
      <c r="AC46" s="178">
        <f t="shared" si="57"/>
        <v>0</v>
      </c>
      <c r="AD46" s="178">
        <f t="shared" si="57"/>
        <v>0</v>
      </c>
      <c r="AE46" s="179">
        <f t="shared" si="57"/>
        <v>0</v>
      </c>
      <c r="AF46" s="177">
        <f t="shared" si="57"/>
        <v>0</v>
      </c>
      <c r="AG46" s="178">
        <f t="shared" si="57"/>
        <v>0</v>
      </c>
      <c r="AH46" s="178">
        <f t="shared" si="57"/>
        <v>0</v>
      </c>
      <c r="AI46" s="179">
        <f t="shared" si="57"/>
        <v>0</v>
      </c>
      <c r="AJ46" s="177">
        <f t="shared" si="57"/>
        <v>0</v>
      </c>
      <c r="AK46" s="178">
        <f t="shared" si="57"/>
        <v>0</v>
      </c>
      <c r="AL46" s="178">
        <f t="shared" si="57"/>
        <v>0</v>
      </c>
      <c r="AM46" s="179">
        <f t="shared" si="57"/>
        <v>0</v>
      </c>
      <c r="AN46" s="177">
        <f t="shared" ref="AN46:BC54" si="58">SUMIF($F$6:$F$45,$F46,AN$6:AN$45)</f>
        <v>0</v>
      </c>
      <c r="AO46" s="178">
        <f t="shared" si="58"/>
        <v>0</v>
      </c>
      <c r="AP46" s="178">
        <f t="shared" si="58"/>
        <v>0</v>
      </c>
      <c r="AQ46" s="179">
        <f t="shared" si="58"/>
        <v>0</v>
      </c>
      <c r="AR46" s="177">
        <f t="shared" si="58"/>
        <v>0</v>
      </c>
      <c r="AS46" s="178">
        <f t="shared" si="58"/>
        <v>0</v>
      </c>
      <c r="AT46" s="178">
        <f t="shared" si="58"/>
        <v>0</v>
      </c>
      <c r="AU46" s="179">
        <f t="shared" si="58"/>
        <v>0</v>
      </c>
      <c r="AV46" s="177">
        <f t="shared" si="58"/>
        <v>0</v>
      </c>
      <c r="AW46" s="178">
        <f t="shared" si="58"/>
        <v>0</v>
      </c>
      <c r="AX46" s="178">
        <f t="shared" si="58"/>
        <v>0</v>
      </c>
      <c r="AY46" s="179">
        <f t="shared" si="58"/>
        <v>0</v>
      </c>
      <c r="AZ46" s="177">
        <f t="shared" si="58"/>
        <v>0</v>
      </c>
      <c r="BA46" s="178">
        <f t="shared" si="58"/>
        <v>0</v>
      </c>
      <c r="BB46" s="178">
        <f t="shared" si="58"/>
        <v>0</v>
      </c>
      <c r="BC46" s="179">
        <f t="shared" si="58"/>
        <v>0</v>
      </c>
      <c r="BD46" s="177">
        <f t="shared" ref="BD46:BS54" si="59">SUMIF($F$6:$F$45,$F46,BD$6:BD$45)</f>
        <v>0</v>
      </c>
      <c r="BE46" s="178">
        <f t="shared" si="59"/>
        <v>0</v>
      </c>
      <c r="BF46" s="178">
        <f t="shared" si="59"/>
        <v>0</v>
      </c>
      <c r="BG46" s="179">
        <f t="shared" si="59"/>
        <v>0</v>
      </c>
      <c r="BH46" s="177">
        <f t="shared" si="59"/>
        <v>0</v>
      </c>
      <c r="BI46" s="178">
        <f t="shared" si="59"/>
        <v>0</v>
      </c>
      <c r="BJ46" s="178">
        <f t="shared" si="59"/>
        <v>0</v>
      </c>
      <c r="BK46" s="179">
        <f t="shared" si="59"/>
        <v>0</v>
      </c>
      <c r="BL46" s="177">
        <f t="shared" si="59"/>
        <v>0</v>
      </c>
      <c r="BM46" s="178">
        <f t="shared" si="59"/>
        <v>0</v>
      </c>
      <c r="BN46" s="178">
        <f t="shared" si="59"/>
        <v>0</v>
      </c>
      <c r="BO46" s="179">
        <f t="shared" si="59"/>
        <v>0</v>
      </c>
      <c r="BP46" s="177">
        <f t="shared" si="59"/>
        <v>0</v>
      </c>
      <c r="BQ46" s="178">
        <f t="shared" si="59"/>
        <v>0</v>
      </c>
      <c r="BR46" s="178">
        <f t="shared" si="59"/>
        <v>0</v>
      </c>
      <c r="BS46" s="179">
        <f t="shared" si="59"/>
        <v>0</v>
      </c>
      <c r="BT46" s="177">
        <f t="shared" ref="BT46:CE54" si="60">SUMIF($F$6:$F$45,$F46,BT$6:BT$45)</f>
        <v>0</v>
      </c>
      <c r="BU46" s="178">
        <f t="shared" si="60"/>
        <v>0</v>
      </c>
      <c r="BV46" s="178">
        <f t="shared" si="60"/>
        <v>0</v>
      </c>
      <c r="BW46" s="179">
        <f t="shared" si="60"/>
        <v>0</v>
      </c>
      <c r="BX46" s="177">
        <f t="shared" si="60"/>
        <v>0</v>
      </c>
      <c r="BY46" s="178">
        <f t="shared" si="60"/>
        <v>0</v>
      </c>
      <c r="BZ46" s="178">
        <f t="shared" si="60"/>
        <v>0</v>
      </c>
      <c r="CA46" s="179">
        <f t="shared" si="60"/>
        <v>0</v>
      </c>
      <c r="CB46" s="177">
        <f t="shared" si="60"/>
        <v>0</v>
      </c>
      <c r="CC46" s="178">
        <f t="shared" si="60"/>
        <v>0</v>
      </c>
      <c r="CD46" s="178">
        <f t="shared" si="60"/>
        <v>0</v>
      </c>
      <c r="CE46" s="179">
        <f t="shared" si="60"/>
        <v>0</v>
      </c>
      <c r="CF46" s="13"/>
      <c r="CG46" s="13"/>
      <c r="CH46" s="13"/>
      <c r="CI46" s="13"/>
    </row>
    <row r="47" spans="1:87" ht="20.100000000000001" customHeight="1">
      <c r="F47" s="3">
        <v>2</v>
      </c>
      <c r="G47" s="4" t="s">
        <v>11</v>
      </c>
      <c r="H47" s="180">
        <f t="shared" si="56"/>
        <v>0</v>
      </c>
      <c r="I47" s="181">
        <f t="shared" si="56"/>
        <v>0</v>
      </c>
      <c r="J47" s="181">
        <f t="shared" si="56"/>
        <v>0</v>
      </c>
      <c r="K47" s="182">
        <f t="shared" si="56"/>
        <v>0</v>
      </c>
      <c r="L47" s="180">
        <f t="shared" si="56"/>
        <v>0</v>
      </c>
      <c r="M47" s="181">
        <f t="shared" si="56"/>
        <v>0</v>
      </c>
      <c r="N47" s="181">
        <f t="shared" si="56"/>
        <v>0</v>
      </c>
      <c r="O47" s="182">
        <f t="shared" si="56"/>
        <v>0</v>
      </c>
      <c r="P47" s="180">
        <f t="shared" si="56"/>
        <v>0</v>
      </c>
      <c r="Q47" s="181">
        <f t="shared" si="56"/>
        <v>0</v>
      </c>
      <c r="R47" s="181">
        <f t="shared" si="56"/>
        <v>0</v>
      </c>
      <c r="S47" s="182">
        <f t="shared" si="56"/>
        <v>0</v>
      </c>
      <c r="T47" s="180">
        <f t="shared" si="56"/>
        <v>0</v>
      </c>
      <c r="U47" s="181">
        <f t="shared" si="56"/>
        <v>0</v>
      </c>
      <c r="V47" s="181">
        <f t="shared" si="56"/>
        <v>0</v>
      </c>
      <c r="W47" s="182">
        <f t="shared" si="56"/>
        <v>0</v>
      </c>
      <c r="X47" s="180">
        <f t="shared" si="57"/>
        <v>0</v>
      </c>
      <c r="Y47" s="181">
        <f t="shared" si="57"/>
        <v>0</v>
      </c>
      <c r="Z47" s="181">
        <f t="shared" si="57"/>
        <v>0</v>
      </c>
      <c r="AA47" s="182">
        <f t="shared" si="57"/>
        <v>0</v>
      </c>
      <c r="AB47" s="180">
        <f t="shared" si="57"/>
        <v>0</v>
      </c>
      <c r="AC47" s="181">
        <f t="shared" si="57"/>
        <v>0</v>
      </c>
      <c r="AD47" s="181">
        <f t="shared" si="57"/>
        <v>0</v>
      </c>
      <c r="AE47" s="182">
        <f t="shared" si="57"/>
        <v>0</v>
      </c>
      <c r="AF47" s="180">
        <f t="shared" si="57"/>
        <v>0</v>
      </c>
      <c r="AG47" s="181">
        <f t="shared" si="57"/>
        <v>0</v>
      </c>
      <c r="AH47" s="181">
        <f t="shared" si="57"/>
        <v>0</v>
      </c>
      <c r="AI47" s="182">
        <f t="shared" si="57"/>
        <v>0</v>
      </c>
      <c r="AJ47" s="180">
        <f t="shared" si="57"/>
        <v>0</v>
      </c>
      <c r="AK47" s="181">
        <f t="shared" si="57"/>
        <v>0</v>
      </c>
      <c r="AL47" s="181">
        <f t="shared" si="57"/>
        <v>0</v>
      </c>
      <c r="AM47" s="182">
        <f t="shared" si="57"/>
        <v>0</v>
      </c>
      <c r="AN47" s="180">
        <f t="shared" si="58"/>
        <v>0</v>
      </c>
      <c r="AO47" s="181">
        <f t="shared" si="58"/>
        <v>0</v>
      </c>
      <c r="AP47" s="181">
        <f t="shared" si="58"/>
        <v>0</v>
      </c>
      <c r="AQ47" s="182">
        <f t="shared" si="58"/>
        <v>0</v>
      </c>
      <c r="AR47" s="180">
        <f t="shared" si="58"/>
        <v>0</v>
      </c>
      <c r="AS47" s="181">
        <f t="shared" si="58"/>
        <v>0</v>
      </c>
      <c r="AT47" s="181">
        <f t="shared" si="58"/>
        <v>0</v>
      </c>
      <c r="AU47" s="182">
        <f t="shared" si="58"/>
        <v>0</v>
      </c>
      <c r="AV47" s="180">
        <f t="shared" si="58"/>
        <v>0</v>
      </c>
      <c r="AW47" s="181">
        <f t="shared" si="58"/>
        <v>0</v>
      </c>
      <c r="AX47" s="181">
        <f t="shared" si="58"/>
        <v>0</v>
      </c>
      <c r="AY47" s="182">
        <f t="shared" si="58"/>
        <v>0</v>
      </c>
      <c r="AZ47" s="180">
        <f t="shared" si="58"/>
        <v>0</v>
      </c>
      <c r="BA47" s="181">
        <f t="shared" si="58"/>
        <v>0</v>
      </c>
      <c r="BB47" s="181">
        <f t="shared" si="58"/>
        <v>0</v>
      </c>
      <c r="BC47" s="182">
        <f t="shared" si="58"/>
        <v>0</v>
      </c>
      <c r="BD47" s="180">
        <f t="shared" si="59"/>
        <v>0</v>
      </c>
      <c r="BE47" s="181">
        <f t="shared" si="59"/>
        <v>0</v>
      </c>
      <c r="BF47" s="181">
        <f t="shared" si="59"/>
        <v>0</v>
      </c>
      <c r="BG47" s="182">
        <f t="shared" si="59"/>
        <v>0</v>
      </c>
      <c r="BH47" s="180">
        <f t="shared" si="59"/>
        <v>0</v>
      </c>
      <c r="BI47" s="181">
        <f t="shared" si="59"/>
        <v>0</v>
      </c>
      <c r="BJ47" s="181">
        <f t="shared" si="59"/>
        <v>0</v>
      </c>
      <c r="BK47" s="182">
        <f t="shared" si="59"/>
        <v>0</v>
      </c>
      <c r="BL47" s="180">
        <f t="shared" si="59"/>
        <v>0</v>
      </c>
      <c r="BM47" s="181">
        <f t="shared" si="59"/>
        <v>0</v>
      </c>
      <c r="BN47" s="181">
        <f t="shared" si="59"/>
        <v>0</v>
      </c>
      <c r="BO47" s="182">
        <f t="shared" si="59"/>
        <v>0</v>
      </c>
      <c r="BP47" s="180">
        <f t="shared" si="59"/>
        <v>0</v>
      </c>
      <c r="BQ47" s="181">
        <f t="shared" si="59"/>
        <v>0</v>
      </c>
      <c r="BR47" s="181">
        <f t="shared" si="59"/>
        <v>0</v>
      </c>
      <c r="BS47" s="182">
        <f t="shared" si="59"/>
        <v>0</v>
      </c>
      <c r="BT47" s="180">
        <f t="shared" si="60"/>
        <v>0</v>
      </c>
      <c r="BU47" s="181">
        <f t="shared" si="60"/>
        <v>0</v>
      </c>
      <c r="BV47" s="181">
        <f t="shared" si="60"/>
        <v>0</v>
      </c>
      <c r="BW47" s="182">
        <f t="shared" si="60"/>
        <v>0</v>
      </c>
      <c r="BX47" s="180">
        <f t="shared" si="60"/>
        <v>0</v>
      </c>
      <c r="BY47" s="181">
        <f t="shared" si="60"/>
        <v>0</v>
      </c>
      <c r="BZ47" s="181">
        <f t="shared" si="60"/>
        <v>0</v>
      </c>
      <c r="CA47" s="182">
        <f t="shared" si="60"/>
        <v>0</v>
      </c>
      <c r="CB47" s="180">
        <f t="shared" si="60"/>
        <v>0</v>
      </c>
      <c r="CC47" s="181">
        <f t="shared" si="60"/>
        <v>0</v>
      </c>
      <c r="CD47" s="181">
        <f t="shared" si="60"/>
        <v>0</v>
      </c>
      <c r="CE47" s="182">
        <f t="shared" si="60"/>
        <v>0</v>
      </c>
      <c r="CF47" s="13"/>
      <c r="CG47" s="13"/>
      <c r="CH47" s="13"/>
      <c r="CI47" s="13"/>
    </row>
    <row r="48" spans="1:87" ht="20.100000000000001" customHeight="1">
      <c r="F48" s="198">
        <v>3</v>
      </c>
      <c r="G48" s="199" t="s">
        <v>12</v>
      </c>
      <c r="H48" s="219">
        <f t="shared" si="56"/>
        <v>0</v>
      </c>
      <c r="I48" s="220">
        <f t="shared" si="56"/>
        <v>0</v>
      </c>
      <c r="J48" s="220">
        <f t="shared" si="56"/>
        <v>0</v>
      </c>
      <c r="K48" s="221">
        <f t="shared" si="56"/>
        <v>0</v>
      </c>
      <c r="L48" s="219">
        <f t="shared" si="56"/>
        <v>0</v>
      </c>
      <c r="M48" s="220">
        <f t="shared" si="56"/>
        <v>0</v>
      </c>
      <c r="N48" s="220">
        <f t="shared" si="56"/>
        <v>0</v>
      </c>
      <c r="O48" s="221">
        <f t="shared" si="56"/>
        <v>0</v>
      </c>
      <c r="P48" s="219">
        <f t="shared" si="56"/>
        <v>0</v>
      </c>
      <c r="Q48" s="220">
        <f t="shared" si="56"/>
        <v>0</v>
      </c>
      <c r="R48" s="220">
        <f t="shared" si="56"/>
        <v>0</v>
      </c>
      <c r="S48" s="221">
        <f t="shared" si="56"/>
        <v>0</v>
      </c>
      <c r="T48" s="219">
        <f t="shared" si="56"/>
        <v>0</v>
      </c>
      <c r="U48" s="220">
        <f t="shared" si="56"/>
        <v>0</v>
      </c>
      <c r="V48" s="220">
        <f t="shared" si="56"/>
        <v>0</v>
      </c>
      <c r="W48" s="221">
        <f t="shared" si="56"/>
        <v>0</v>
      </c>
      <c r="X48" s="219">
        <f t="shared" si="57"/>
        <v>0</v>
      </c>
      <c r="Y48" s="220">
        <f t="shared" si="57"/>
        <v>0</v>
      </c>
      <c r="Z48" s="220">
        <f t="shared" si="57"/>
        <v>0</v>
      </c>
      <c r="AA48" s="221">
        <f t="shared" si="57"/>
        <v>0</v>
      </c>
      <c r="AB48" s="219">
        <f t="shared" si="57"/>
        <v>0</v>
      </c>
      <c r="AC48" s="220">
        <f t="shared" si="57"/>
        <v>0</v>
      </c>
      <c r="AD48" s="220">
        <f t="shared" si="57"/>
        <v>0</v>
      </c>
      <c r="AE48" s="221">
        <f t="shared" si="57"/>
        <v>0</v>
      </c>
      <c r="AF48" s="219">
        <f t="shared" si="57"/>
        <v>0</v>
      </c>
      <c r="AG48" s="220">
        <f t="shared" si="57"/>
        <v>0</v>
      </c>
      <c r="AH48" s="220">
        <f t="shared" si="57"/>
        <v>0</v>
      </c>
      <c r="AI48" s="221">
        <f t="shared" si="57"/>
        <v>0</v>
      </c>
      <c r="AJ48" s="219">
        <f t="shared" si="57"/>
        <v>0</v>
      </c>
      <c r="AK48" s="220">
        <f t="shared" si="57"/>
        <v>0</v>
      </c>
      <c r="AL48" s="220">
        <f t="shared" si="57"/>
        <v>0</v>
      </c>
      <c r="AM48" s="221">
        <f t="shared" si="57"/>
        <v>0</v>
      </c>
      <c r="AN48" s="219">
        <f t="shared" si="58"/>
        <v>0</v>
      </c>
      <c r="AO48" s="220">
        <f t="shared" si="58"/>
        <v>0</v>
      </c>
      <c r="AP48" s="220">
        <f t="shared" si="58"/>
        <v>0</v>
      </c>
      <c r="AQ48" s="221">
        <f t="shared" si="58"/>
        <v>0</v>
      </c>
      <c r="AR48" s="219">
        <f t="shared" si="58"/>
        <v>0</v>
      </c>
      <c r="AS48" s="220">
        <f t="shared" si="58"/>
        <v>0</v>
      </c>
      <c r="AT48" s="220">
        <f t="shared" si="58"/>
        <v>0</v>
      </c>
      <c r="AU48" s="221">
        <f t="shared" si="58"/>
        <v>0</v>
      </c>
      <c r="AV48" s="219">
        <f t="shared" si="58"/>
        <v>0</v>
      </c>
      <c r="AW48" s="220">
        <f t="shared" si="58"/>
        <v>0</v>
      </c>
      <c r="AX48" s="220">
        <f t="shared" si="58"/>
        <v>0</v>
      </c>
      <c r="AY48" s="221">
        <f t="shared" si="58"/>
        <v>0</v>
      </c>
      <c r="AZ48" s="219">
        <f t="shared" si="58"/>
        <v>0</v>
      </c>
      <c r="BA48" s="220">
        <f t="shared" si="58"/>
        <v>0</v>
      </c>
      <c r="BB48" s="220">
        <f t="shared" si="58"/>
        <v>0</v>
      </c>
      <c r="BC48" s="221">
        <f t="shared" si="58"/>
        <v>0</v>
      </c>
      <c r="BD48" s="219">
        <f t="shared" si="59"/>
        <v>0</v>
      </c>
      <c r="BE48" s="220">
        <f t="shared" si="59"/>
        <v>0</v>
      </c>
      <c r="BF48" s="220">
        <f t="shared" si="59"/>
        <v>0</v>
      </c>
      <c r="BG48" s="221">
        <f t="shared" si="59"/>
        <v>0</v>
      </c>
      <c r="BH48" s="219">
        <f t="shared" si="59"/>
        <v>0</v>
      </c>
      <c r="BI48" s="220">
        <f t="shared" si="59"/>
        <v>0</v>
      </c>
      <c r="BJ48" s="220">
        <f t="shared" si="59"/>
        <v>0</v>
      </c>
      <c r="BK48" s="221">
        <f t="shared" si="59"/>
        <v>0</v>
      </c>
      <c r="BL48" s="219">
        <f t="shared" si="59"/>
        <v>0</v>
      </c>
      <c r="BM48" s="220">
        <f t="shared" si="59"/>
        <v>0</v>
      </c>
      <c r="BN48" s="220">
        <f t="shared" si="59"/>
        <v>0</v>
      </c>
      <c r="BO48" s="221">
        <f t="shared" si="59"/>
        <v>0</v>
      </c>
      <c r="BP48" s="219">
        <f t="shared" si="59"/>
        <v>0</v>
      </c>
      <c r="BQ48" s="220">
        <f t="shared" si="59"/>
        <v>0</v>
      </c>
      <c r="BR48" s="220">
        <f t="shared" si="59"/>
        <v>0</v>
      </c>
      <c r="BS48" s="221">
        <f t="shared" si="59"/>
        <v>0</v>
      </c>
      <c r="BT48" s="219">
        <f t="shared" si="60"/>
        <v>0</v>
      </c>
      <c r="BU48" s="220">
        <f t="shared" si="60"/>
        <v>0</v>
      </c>
      <c r="BV48" s="220">
        <f t="shared" si="60"/>
        <v>0</v>
      </c>
      <c r="BW48" s="221">
        <f t="shared" si="60"/>
        <v>0</v>
      </c>
      <c r="BX48" s="219">
        <f t="shared" si="60"/>
        <v>0</v>
      </c>
      <c r="BY48" s="220">
        <f t="shared" si="60"/>
        <v>0</v>
      </c>
      <c r="BZ48" s="220">
        <f t="shared" si="60"/>
        <v>0</v>
      </c>
      <c r="CA48" s="221">
        <f t="shared" si="60"/>
        <v>0</v>
      </c>
      <c r="CB48" s="219">
        <f t="shared" si="60"/>
        <v>0</v>
      </c>
      <c r="CC48" s="220">
        <f t="shared" si="60"/>
        <v>0</v>
      </c>
      <c r="CD48" s="220">
        <f t="shared" si="60"/>
        <v>0</v>
      </c>
      <c r="CE48" s="221">
        <f t="shared" si="60"/>
        <v>0</v>
      </c>
      <c r="CF48" s="13"/>
      <c r="CG48" s="13"/>
      <c r="CH48" s="13"/>
      <c r="CI48" s="13"/>
    </row>
    <row r="49" spans="1:87" ht="20.100000000000001" customHeight="1">
      <c r="B49" s="28"/>
      <c r="F49" s="1">
        <v>4</v>
      </c>
      <c r="G49" s="2" t="s">
        <v>81</v>
      </c>
      <c r="H49" s="214">
        <f t="shared" si="56"/>
        <v>0</v>
      </c>
      <c r="I49" s="215">
        <f t="shared" si="56"/>
        <v>0</v>
      </c>
      <c r="J49" s="215">
        <f t="shared" si="56"/>
        <v>0</v>
      </c>
      <c r="K49" s="216">
        <f t="shared" si="56"/>
        <v>0</v>
      </c>
      <c r="L49" s="214">
        <f t="shared" si="56"/>
        <v>0</v>
      </c>
      <c r="M49" s="215">
        <f t="shared" si="56"/>
        <v>0</v>
      </c>
      <c r="N49" s="215">
        <f t="shared" si="56"/>
        <v>0</v>
      </c>
      <c r="O49" s="216">
        <f t="shared" si="56"/>
        <v>0</v>
      </c>
      <c r="P49" s="214">
        <f t="shared" si="56"/>
        <v>0</v>
      </c>
      <c r="Q49" s="215">
        <f t="shared" si="56"/>
        <v>0</v>
      </c>
      <c r="R49" s="215">
        <f t="shared" si="56"/>
        <v>0</v>
      </c>
      <c r="S49" s="216">
        <f t="shared" si="56"/>
        <v>0</v>
      </c>
      <c r="T49" s="214">
        <f t="shared" si="56"/>
        <v>0</v>
      </c>
      <c r="U49" s="215">
        <f t="shared" si="56"/>
        <v>0</v>
      </c>
      <c r="V49" s="215">
        <f t="shared" si="56"/>
        <v>0</v>
      </c>
      <c r="W49" s="216">
        <f t="shared" si="56"/>
        <v>0</v>
      </c>
      <c r="X49" s="214">
        <f t="shared" si="57"/>
        <v>0</v>
      </c>
      <c r="Y49" s="215">
        <f t="shared" si="57"/>
        <v>0</v>
      </c>
      <c r="Z49" s="215">
        <f t="shared" si="57"/>
        <v>0</v>
      </c>
      <c r="AA49" s="216">
        <f t="shared" si="57"/>
        <v>0</v>
      </c>
      <c r="AB49" s="214">
        <f t="shared" si="57"/>
        <v>0</v>
      </c>
      <c r="AC49" s="215">
        <f t="shared" si="57"/>
        <v>0</v>
      </c>
      <c r="AD49" s="215">
        <f t="shared" si="57"/>
        <v>0</v>
      </c>
      <c r="AE49" s="216">
        <f t="shared" si="57"/>
        <v>0</v>
      </c>
      <c r="AF49" s="214">
        <f t="shared" si="57"/>
        <v>0</v>
      </c>
      <c r="AG49" s="215">
        <f t="shared" si="57"/>
        <v>0</v>
      </c>
      <c r="AH49" s="215">
        <f t="shared" si="57"/>
        <v>0</v>
      </c>
      <c r="AI49" s="216">
        <f t="shared" si="57"/>
        <v>0</v>
      </c>
      <c r="AJ49" s="214">
        <f t="shared" si="57"/>
        <v>0</v>
      </c>
      <c r="AK49" s="215">
        <f t="shared" si="57"/>
        <v>0</v>
      </c>
      <c r="AL49" s="215">
        <f t="shared" si="57"/>
        <v>0</v>
      </c>
      <c r="AM49" s="216">
        <f t="shared" si="57"/>
        <v>0</v>
      </c>
      <c r="AN49" s="214">
        <f t="shared" si="58"/>
        <v>0</v>
      </c>
      <c r="AO49" s="215">
        <f t="shared" si="58"/>
        <v>0</v>
      </c>
      <c r="AP49" s="215">
        <f t="shared" si="58"/>
        <v>0</v>
      </c>
      <c r="AQ49" s="216">
        <f t="shared" si="58"/>
        <v>0</v>
      </c>
      <c r="AR49" s="214">
        <f t="shared" si="58"/>
        <v>0</v>
      </c>
      <c r="AS49" s="215">
        <f t="shared" si="58"/>
        <v>0</v>
      </c>
      <c r="AT49" s="215">
        <f t="shared" si="58"/>
        <v>0</v>
      </c>
      <c r="AU49" s="216">
        <f t="shared" si="58"/>
        <v>0</v>
      </c>
      <c r="AV49" s="214">
        <f t="shared" si="58"/>
        <v>0</v>
      </c>
      <c r="AW49" s="215">
        <f t="shared" si="58"/>
        <v>0</v>
      </c>
      <c r="AX49" s="215">
        <f t="shared" si="58"/>
        <v>0</v>
      </c>
      <c r="AY49" s="216">
        <f t="shared" si="58"/>
        <v>0</v>
      </c>
      <c r="AZ49" s="214">
        <f t="shared" si="58"/>
        <v>0</v>
      </c>
      <c r="BA49" s="215">
        <f t="shared" si="58"/>
        <v>0</v>
      </c>
      <c r="BB49" s="215">
        <f t="shared" si="58"/>
        <v>0</v>
      </c>
      <c r="BC49" s="216">
        <f t="shared" si="58"/>
        <v>0</v>
      </c>
      <c r="BD49" s="214">
        <f t="shared" si="59"/>
        <v>0</v>
      </c>
      <c r="BE49" s="215">
        <f t="shared" si="59"/>
        <v>0</v>
      </c>
      <c r="BF49" s="215">
        <f t="shared" si="59"/>
        <v>0</v>
      </c>
      <c r="BG49" s="216">
        <f t="shared" si="59"/>
        <v>0</v>
      </c>
      <c r="BH49" s="214">
        <f t="shared" si="59"/>
        <v>0</v>
      </c>
      <c r="BI49" s="215">
        <f t="shared" si="59"/>
        <v>0</v>
      </c>
      <c r="BJ49" s="215">
        <f t="shared" si="59"/>
        <v>0</v>
      </c>
      <c r="BK49" s="216">
        <f t="shared" si="59"/>
        <v>0</v>
      </c>
      <c r="BL49" s="214">
        <f t="shared" si="59"/>
        <v>0</v>
      </c>
      <c r="BM49" s="215">
        <f t="shared" si="59"/>
        <v>0</v>
      </c>
      <c r="BN49" s="215">
        <f t="shared" si="59"/>
        <v>0</v>
      </c>
      <c r="BO49" s="216">
        <f t="shared" si="59"/>
        <v>0</v>
      </c>
      <c r="BP49" s="214">
        <f t="shared" si="59"/>
        <v>0</v>
      </c>
      <c r="BQ49" s="215">
        <f t="shared" si="59"/>
        <v>0</v>
      </c>
      <c r="BR49" s="215">
        <f t="shared" si="59"/>
        <v>0</v>
      </c>
      <c r="BS49" s="216">
        <f t="shared" si="59"/>
        <v>0</v>
      </c>
      <c r="BT49" s="214">
        <f t="shared" si="60"/>
        <v>0</v>
      </c>
      <c r="BU49" s="215">
        <f t="shared" si="60"/>
        <v>0</v>
      </c>
      <c r="BV49" s="215">
        <f t="shared" si="60"/>
        <v>0</v>
      </c>
      <c r="BW49" s="216">
        <f t="shared" si="60"/>
        <v>0</v>
      </c>
      <c r="BX49" s="214">
        <f t="shared" si="60"/>
        <v>0</v>
      </c>
      <c r="BY49" s="215">
        <f t="shared" si="60"/>
        <v>0</v>
      </c>
      <c r="BZ49" s="215">
        <f t="shared" si="60"/>
        <v>0</v>
      </c>
      <c r="CA49" s="216">
        <f t="shared" si="60"/>
        <v>0</v>
      </c>
      <c r="CB49" s="214">
        <f t="shared" si="60"/>
        <v>0</v>
      </c>
      <c r="CC49" s="215">
        <f t="shared" si="60"/>
        <v>0</v>
      </c>
      <c r="CD49" s="215">
        <f t="shared" si="60"/>
        <v>0</v>
      </c>
      <c r="CE49" s="216">
        <f t="shared" si="60"/>
        <v>0</v>
      </c>
      <c r="CF49" s="13"/>
      <c r="CG49" s="13"/>
      <c r="CH49" s="13"/>
      <c r="CI49" s="13"/>
    </row>
    <row r="50" spans="1:87" ht="20.100000000000001" customHeight="1">
      <c r="F50" s="217">
        <v>8</v>
      </c>
      <c r="G50" s="218" t="s">
        <v>14</v>
      </c>
      <c r="H50" s="183">
        <f t="shared" si="56"/>
        <v>0</v>
      </c>
      <c r="I50" s="184">
        <f t="shared" si="56"/>
        <v>0</v>
      </c>
      <c r="J50" s="184">
        <f t="shared" si="56"/>
        <v>0</v>
      </c>
      <c r="K50" s="185">
        <f t="shared" si="56"/>
        <v>0</v>
      </c>
      <c r="L50" s="183">
        <f t="shared" si="56"/>
        <v>0</v>
      </c>
      <c r="M50" s="184">
        <f t="shared" si="56"/>
        <v>0</v>
      </c>
      <c r="N50" s="184">
        <f t="shared" si="56"/>
        <v>0</v>
      </c>
      <c r="O50" s="185">
        <f t="shared" si="56"/>
        <v>0</v>
      </c>
      <c r="P50" s="183">
        <f t="shared" si="56"/>
        <v>0</v>
      </c>
      <c r="Q50" s="184">
        <f t="shared" si="56"/>
        <v>0</v>
      </c>
      <c r="R50" s="184">
        <f t="shared" si="56"/>
        <v>0</v>
      </c>
      <c r="S50" s="185">
        <f t="shared" si="56"/>
        <v>0</v>
      </c>
      <c r="T50" s="183">
        <f t="shared" si="56"/>
        <v>0</v>
      </c>
      <c r="U50" s="184">
        <f t="shared" si="56"/>
        <v>0</v>
      </c>
      <c r="V50" s="184">
        <f t="shared" si="56"/>
        <v>0</v>
      </c>
      <c r="W50" s="185">
        <f t="shared" si="56"/>
        <v>0</v>
      </c>
      <c r="X50" s="183">
        <f t="shared" si="57"/>
        <v>0</v>
      </c>
      <c r="Y50" s="184">
        <f t="shared" si="57"/>
        <v>0</v>
      </c>
      <c r="Z50" s="184">
        <f t="shared" si="57"/>
        <v>0</v>
      </c>
      <c r="AA50" s="185">
        <f t="shared" si="57"/>
        <v>0</v>
      </c>
      <c r="AB50" s="183">
        <f t="shared" si="57"/>
        <v>0</v>
      </c>
      <c r="AC50" s="184">
        <f t="shared" si="57"/>
        <v>0</v>
      </c>
      <c r="AD50" s="184">
        <f t="shared" si="57"/>
        <v>0</v>
      </c>
      <c r="AE50" s="185">
        <f t="shared" si="57"/>
        <v>0</v>
      </c>
      <c r="AF50" s="183">
        <f t="shared" si="57"/>
        <v>0</v>
      </c>
      <c r="AG50" s="184">
        <f t="shared" si="57"/>
        <v>0</v>
      </c>
      <c r="AH50" s="184">
        <f t="shared" si="57"/>
        <v>0</v>
      </c>
      <c r="AI50" s="185">
        <f t="shared" si="57"/>
        <v>0</v>
      </c>
      <c r="AJ50" s="183">
        <f t="shared" si="57"/>
        <v>0</v>
      </c>
      <c r="AK50" s="184">
        <f t="shared" si="57"/>
        <v>0</v>
      </c>
      <c r="AL50" s="184">
        <f t="shared" si="57"/>
        <v>0</v>
      </c>
      <c r="AM50" s="185">
        <f t="shared" si="57"/>
        <v>0</v>
      </c>
      <c r="AN50" s="183">
        <f t="shared" si="58"/>
        <v>0</v>
      </c>
      <c r="AO50" s="184">
        <f t="shared" si="58"/>
        <v>0</v>
      </c>
      <c r="AP50" s="184">
        <f t="shared" si="58"/>
        <v>0</v>
      </c>
      <c r="AQ50" s="185">
        <f t="shared" si="58"/>
        <v>0</v>
      </c>
      <c r="AR50" s="183">
        <f t="shared" si="58"/>
        <v>0</v>
      </c>
      <c r="AS50" s="184">
        <f t="shared" si="58"/>
        <v>0</v>
      </c>
      <c r="AT50" s="184">
        <f t="shared" si="58"/>
        <v>0</v>
      </c>
      <c r="AU50" s="185">
        <f t="shared" si="58"/>
        <v>0</v>
      </c>
      <c r="AV50" s="183">
        <f t="shared" si="58"/>
        <v>0</v>
      </c>
      <c r="AW50" s="184">
        <f t="shared" si="58"/>
        <v>0</v>
      </c>
      <c r="AX50" s="184">
        <f t="shared" si="58"/>
        <v>0</v>
      </c>
      <c r="AY50" s="185">
        <f t="shared" si="58"/>
        <v>0</v>
      </c>
      <c r="AZ50" s="183">
        <f t="shared" si="58"/>
        <v>0</v>
      </c>
      <c r="BA50" s="184">
        <f t="shared" si="58"/>
        <v>0</v>
      </c>
      <c r="BB50" s="184">
        <f t="shared" si="58"/>
        <v>0</v>
      </c>
      <c r="BC50" s="185">
        <f t="shared" si="58"/>
        <v>0</v>
      </c>
      <c r="BD50" s="183">
        <f t="shared" si="59"/>
        <v>0</v>
      </c>
      <c r="BE50" s="184">
        <f t="shared" si="59"/>
        <v>0</v>
      </c>
      <c r="BF50" s="184">
        <f t="shared" si="59"/>
        <v>0</v>
      </c>
      <c r="BG50" s="185">
        <f t="shared" si="59"/>
        <v>0</v>
      </c>
      <c r="BH50" s="183">
        <f t="shared" si="59"/>
        <v>0</v>
      </c>
      <c r="BI50" s="184">
        <f t="shared" si="59"/>
        <v>0</v>
      </c>
      <c r="BJ50" s="184">
        <f t="shared" si="59"/>
        <v>0</v>
      </c>
      <c r="BK50" s="185">
        <f t="shared" si="59"/>
        <v>0</v>
      </c>
      <c r="BL50" s="183">
        <f t="shared" si="59"/>
        <v>0</v>
      </c>
      <c r="BM50" s="184">
        <f t="shared" si="59"/>
        <v>0</v>
      </c>
      <c r="BN50" s="184">
        <f t="shared" si="59"/>
        <v>0</v>
      </c>
      <c r="BO50" s="185">
        <f t="shared" si="59"/>
        <v>0</v>
      </c>
      <c r="BP50" s="183">
        <f t="shared" si="59"/>
        <v>0</v>
      </c>
      <c r="BQ50" s="184">
        <f t="shared" si="59"/>
        <v>0</v>
      </c>
      <c r="BR50" s="184">
        <f t="shared" si="59"/>
        <v>0</v>
      </c>
      <c r="BS50" s="185">
        <f t="shared" si="59"/>
        <v>0</v>
      </c>
      <c r="BT50" s="183">
        <f t="shared" si="60"/>
        <v>0</v>
      </c>
      <c r="BU50" s="184">
        <f t="shared" si="60"/>
        <v>0</v>
      </c>
      <c r="BV50" s="184">
        <f t="shared" si="60"/>
        <v>0</v>
      </c>
      <c r="BW50" s="185">
        <f t="shared" si="60"/>
        <v>0</v>
      </c>
      <c r="BX50" s="183">
        <f t="shared" si="60"/>
        <v>0</v>
      </c>
      <c r="BY50" s="184">
        <f t="shared" si="60"/>
        <v>0</v>
      </c>
      <c r="BZ50" s="184">
        <f t="shared" si="60"/>
        <v>0</v>
      </c>
      <c r="CA50" s="185">
        <f t="shared" si="60"/>
        <v>0</v>
      </c>
      <c r="CB50" s="183">
        <f t="shared" si="60"/>
        <v>0</v>
      </c>
      <c r="CC50" s="184">
        <f t="shared" si="60"/>
        <v>0</v>
      </c>
      <c r="CD50" s="184">
        <f t="shared" si="60"/>
        <v>0</v>
      </c>
      <c r="CE50" s="185">
        <f t="shared" si="60"/>
        <v>0</v>
      </c>
      <c r="CF50" s="13"/>
      <c r="CG50" s="13"/>
      <c r="CH50" s="13"/>
      <c r="CI50" s="13"/>
    </row>
    <row r="51" spans="1:87" ht="20.100000000000001" customHeight="1">
      <c r="F51" s="5">
        <v>9</v>
      </c>
      <c r="G51" s="6" t="s">
        <v>82</v>
      </c>
      <c r="H51" s="186">
        <f t="shared" si="56"/>
        <v>0</v>
      </c>
      <c r="I51" s="187">
        <f t="shared" si="56"/>
        <v>0</v>
      </c>
      <c r="J51" s="187">
        <f t="shared" si="56"/>
        <v>0</v>
      </c>
      <c r="K51" s="188">
        <f t="shared" si="56"/>
        <v>0</v>
      </c>
      <c r="L51" s="186">
        <f t="shared" si="56"/>
        <v>0</v>
      </c>
      <c r="M51" s="187">
        <f t="shared" si="56"/>
        <v>0</v>
      </c>
      <c r="N51" s="187">
        <f t="shared" si="56"/>
        <v>0</v>
      </c>
      <c r="O51" s="188">
        <f t="shared" si="56"/>
        <v>0</v>
      </c>
      <c r="P51" s="186">
        <f t="shared" si="56"/>
        <v>0</v>
      </c>
      <c r="Q51" s="187">
        <f t="shared" si="56"/>
        <v>0</v>
      </c>
      <c r="R51" s="187">
        <f t="shared" si="56"/>
        <v>0</v>
      </c>
      <c r="S51" s="188">
        <f t="shared" si="56"/>
        <v>0</v>
      </c>
      <c r="T51" s="186">
        <f t="shared" si="56"/>
        <v>0</v>
      </c>
      <c r="U51" s="187">
        <f t="shared" si="56"/>
        <v>0</v>
      </c>
      <c r="V51" s="187">
        <f t="shared" si="56"/>
        <v>0</v>
      </c>
      <c r="W51" s="188">
        <f t="shared" si="56"/>
        <v>0</v>
      </c>
      <c r="X51" s="186">
        <f t="shared" si="57"/>
        <v>0</v>
      </c>
      <c r="Y51" s="187">
        <f t="shared" si="57"/>
        <v>0</v>
      </c>
      <c r="Z51" s="187">
        <f t="shared" si="57"/>
        <v>0</v>
      </c>
      <c r="AA51" s="188">
        <f t="shared" si="57"/>
        <v>0</v>
      </c>
      <c r="AB51" s="186">
        <f t="shared" si="57"/>
        <v>0</v>
      </c>
      <c r="AC51" s="187">
        <f t="shared" si="57"/>
        <v>0</v>
      </c>
      <c r="AD51" s="187">
        <f t="shared" si="57"/>
        <v>0</v>
      </c>
      <c r="AE51" s="188">
        <f t="shared" si="57"/>
        <v>0</v>
      </c>
      <c r="AF51" s="186">
        <f t="shared" si="57"/>
        <v>0</v>
      </c>
      <c r="AG51" s="187">
        <f t="shared" si="57"/>
        <v>0</v>
      </c>
      <c r="AH51" s="187">
        <f t="shared" si="57"/>
        <v>0</v>
      </c>
      <c r="AI51" s="188">
        <f t="shared" si="57"/>
        <v>0</v>
      </c>
      <c r="AJ51" s="186">
        <f t="shared" si="57"/>
        <v>0</v>
      </c>
      <c r="AK51" s="187">
        <f t="shared" si="57"/>
        <v>0</v>
      </c>
      <c r="AL51" s="187">
        <f t="shared" si="57"/>
        <v>0</v>
      </c>
      <c r="AM51" s="188">
        <f t="shared" si="57"/>
        <v>0</v>
      </c>
      <c r="AN51" s="186">
        <f t="shared" si="58"/>
        <v>0</v>
      </c>
      <c r="AO51" s="187">
        <f t="shared" si="58"/>
        <v>0</v>
      </c>
      <c r="AP51" s="187">
        <f t="shared" si="58"/>
        <v>0</v>
      </c>
      <c r="AQ51" s="188">
        <f t="shared" si="58"/>
        <v>0</v>
      </c>
      <c r="AR51" s="186">
        <f t="shared" si="58"/>
        <v>0</v>
      </c>
      <c r="AS51" s="187">
        <f t="shared" si="58"/>
        <v>0</v>
      </c>
      <c r="AT51" s="187">
        <f t="shared" si="58"/>
        <v>0</v>
      </c>
      <c r="AU51" s="188">
        <f t="shared" si="58"/>
        <v>0</v>
      </c>
      <c r="AV51" s="186">
        <f t="shared" si="58"/>
        <v>0</v>
      </c>
      <c r="AW51" s="187">
        <f t="shared" si="58"/>
        <v>0</v>
      </c>
      <c r="AX51" s="187">
        <f t="shared" si="58"/>
        <v>0</v>
      </c>
      <c r="AY51" s="188">
        <f t="shared" si="58"/>
        <v>0</v>
      </c>
      <c r="AZ51" s="186">
        <f t="shared" si="58"/>
        <v>0</v>
      </c>
      <c r="BA51" s="187">
        <f t="shared" si="58"/>
        <v>0</v>
      </c>
      <c r="BB51" s="187">
        <f t="shared" si="58"/>
        <v>0</v>
      </c>
      <c r="BC51" s="188">
        <f t="shared" si="58"/>
        <v>0</v>
      </c>
      <c r="BD51" s="186">
        <f t="shared" si="59"/>
        <v>0</v>
      </c>
      <c r="BE51" s="187">
        <f t="shared" si="59"/>
        <v>0</v>
      </c>
      <c r="BF51" s="187">
        <f t="shared" si="59"/>
        <v>0</v>
      </c>
      <c r="BG51" s="188">
        <f t="shared" si="59"/>
        <v>0</v>
      </c>
      <c r="BH51" s="186">
        <f t="shared" si="59"/>
        <v>0</v>
      </c>
      <c r="BI51" s="187">
        <f t="shared" si="59"/>
        <v>0</v>
      </c>
      <c r="BJ51" s="187">
        <f t="shared" si="59"/>
        <v>0</v>
      </c>
      <c r="BK51" s="188">
        <f t="shared" si="59"/>
        <v>0</v>
      </c>
      <c r="BL51" s="186">
        <f t="shared" si="59"/>
        <v>0</v>
      </c>
      <c r="BM51" s="187">
        <f t="shared" si="59"/>
        <v>0</v>
      </c>
      <c r="BN51" s="187">
        <f t="shared" si="59"/>
        <v>0</v>
      </c>
      <c r="BO51" s="188">
        <f t="shared" si="59"/>
        <v>0</v>
      </c>
      <c r="BP51" s="186">
        <f t="shared" si="59"/>
        <v>0</v>
      </c>
      <c r="BQ51" s="187">
        <f t="shared" si="59"/>
        <v>0</v>
      </c>
      <c r="BR51" s="187">
        <f t="shared" si="59"/>
        <v>0</v>
      </c>
      <c r="BS51" s="188">
        <f t="shared" si="59"/>
        <v>0</v>
      </c>
      <c r="BT51" s="186">
        <f t="shared" si="60"/>
        <v>0</v>
      </c>
      <c r="BU51" s="187">
        <f t="shared" si="60"/>
        <v>0</v>
      </c>
      <c r="BV51" s="187">
        <f t="shared" si="60"/>
        <v>0</v>
      </c>
      <c r="BW51" s="188">
        <f t="shared" si="60"/>
        <v>0</v>
      </c>
      <c r="BX51" s="186">
        <f t="shared" si="60"/>
        <v>0</v>
      </c>
      <c r="BY51" s="187">
        <f t="shared" si="60"/>
        <v>0</v>
      </c>
      <c r="BZ51" s="187">
        <f t="shared" si="60"/>
        <v>0</v>
      </c>
      <c r="CA51" s="188">
        <f t="shared" si="60"/>
        <v>0</v>
      </c>
      <c r="CB51" s="186">
        <f t="shared" si="60"/>
        <v>0</v>
      </c>
      <c r="CC51" s="187">
        <f t="shared" si="60"/>
        <v>0</v>
      </c>
      <c r="CD51" s="187">
        <f t="shared" si="60"/>
        <v>0</v>
      </c>
      <c r="CE51" s="188">
        <f t="shared" si="60"/>
        <v>0</v>
      </c>
      <c r="CF51" s="13"/>
      <c r="CG51" s="13"/>
      <c r="CH51" s="13"/>
      <c r="CI51" s="13"/>
    </row>
    <row r="52" spans="1:87" ht="20.100000000000001" customHeight="1">
      <c r="F52" s="212">
        <v>10</v>
      </c>
      <c r="G52" s="213" t="s">
        <v>16</v>
      </c>
      <c r="H52" s="209">
        <f t="shared" si="56"/>
        <v>0</v>
      </c>
      <c r="I52" s="210">
        <f t="shared" si="56"/>
        <v>0</v>
      </c>
      <c r="J52" s="210">
        <f t="shared" si="56"/>
        <v>0</v>
      </c>
      <c r="K52" s="211">
        <f t="shared" si="56"/>
        <v>0</v>
      </c>
      <c r="L52" s="209">
        <f t="shared" si="56"/>
        <v>0</v>
      </c>
      <c r="M52" s="210">
        <f t="shared" si="56"/>
        <v>0</v>
      </c>
      <c r="N52" s="210">
        <f t="shared" si="56"/>
        <v>0</v>
      </c>
      <c r="O52" s="211">
        <f t="shared" si="56"/>
        <v>0</v>
      </c>
      <c r="P52" s="209">
        <f t="shared" si="56"/>
        <v>0</v>
      </c>
      <c r="Q52" s="210">
        <f t="shared" si="56"/>
        <v>0</v>
      </c>
      <c r="R52" s="210">
        <f t="shared" si="56"/>
        <v>0</v>
      </c>
      <c r="S52" s="211">
        <f t="shared" si="56"/>
        <v>0</v>
      </c>
      <c r="T52" s="209">
        <f t="shared" si="56"/>
        <v>1</v>
      </c>
      <c r="U52" s="210">
        <f t="shared" si="56"/>
        <v>1</v>
      </c>
      <c r="V52" s="210">
        <f t="shared" si="56"/>
        <v>1</v>
      </c>
      <c r="W52" s="211">
        <f t="shared" si="56"/>
        <v>1</v>
      </c>
      <c r="X52" s="209">
        <f t="shared" si="57"/>
        <v>2</v>
      </c>
      <c r="Y52" s="210">
        <f t="shared" si="57"/>
        <v>2</v>
      </c>
      <c r="Z52" s="210">
        <f t="shared" si="57"/>
        <v>3</v>
      </c>
      <c r="AA52" s="211">
        <f t="shared" si="57"/>
        <v>3</v>
      </c>
      <c r="AB52" s="209">
        <f t="shared" si="57"/>
        <v>4</v>
      </c>
      <c r="AC52" s="210">
        <f t="shared" si="57"/>
        <v>4</v>
      </c>
      <c r="AD52" s="210">
        <f t="shared" si="57"/>
        <v>4</v>
      </c>
      <c r="AE52" s="211">
        <f t="shared" si="57"/>
        <v>4</v>
      </c>
      <c r="AF52" s="209">
        <f t="shared" si="57"/>
        <v>3</v>
      </c>
      <c r="AG52" s="210">
        <f t="shared" si="57"/>
        <v>3</v>
      </c>
      <c r="AH52" s="210">
        <f t="shared" si="57"/>
        <v>3</v>
      </c>
      <c r="AI52" s="211">
        <f t="shared" si="57"/>
        <v>3</v>
      </c>
      <c r="AJ52" s="209">
        <f t="shared" si="57"/>
        <v>3</v>
      </c>
      <c r="AK52" s="210">
        <f t="shared" si="57"/>
        <v>3</v>
      </c>
      <c r="AL52" s="210">
        <f t="shared" si="57"/>
        <v>3</v>
      </c>
      <c r="AM52" s="211">
        <f t="shared" si="57"/>
        <v>3</v>
      </c>
      <c r="AN52" s="209">
        <f t="shared" si="58"/>
        <v>3</v>
      </c>
      <c r="AO52" s="210">
        <f t="shared" si="58"/>
        <v>3</v>
      </c>
      <c r="AP52" s="210">
        <f t="shared" si="58"/>
        <v>2</v>
      </c>
      <c r="AQ52" s="211">
        <f t="shared" si="58"/>
        <v>2</v>
      </c>
      <c r="AR52" s="209">
        <f t="shared" si="58"/>
        <v>1</v>
      </c>
      <c r="AS52" s="210">
        <f t="shared" si="58"/>
        <v>1</v>
      </c>
      <c r="AT52" s="210">
        <f t="shared" si="58"/>
        <v>2</v>
      </c>
      <c r="AU52" s="211">
        <f t="shared" si="58"/>
        <v>2</v>
      </c>
      <c r="AV52" s="209">
        <f t="shared" si="58"/>
        <v>2</v>
      </c>
      <c r="AW52" s="210">
        <f t="shared" si="58"/>
        <v>2</v>
      </c>
      <c r="AX52" s="210">
        <f t="shared" si="58"/>
        <v>2</v>
      </c>
      <c r="AY52" s="211">
        <f t="shared" si="58"/>
        <v>2</v>
      </c>
      <c r="AZ52" s="209">
        <f t="shared" si="58"/>
        <v>2</v>
      </c>
      <c r="BA52" s="210">
        <f t="shared" si="58"/>
        <v>3</v>
      </c>
      <c r="BB52" s="210">
        <f t="shared" si="58"/>
        <v>3</v>
      </c>
      <c r="BC52" s="211">
        <f t="shared" si="58"/>
        <v>2</v>
      </c>
      <c r="BD52" s="209">
        <f t="shared" si="59"/>
        <v>2</v>
      </c>
      <c r="BE52" s="210">
        <f t="shared" si="59"/>
        <v>3</v>
      </c>
      <c r="BF52" s="210">
        <f t="shared" si="59"/>
        <v>3</v>
      </c>
      <c r="BG52" s="211">
        <f t="shared" si="59"/>
        <v>3</v>
      </c>
      <c r="BH52" s="209">
        <f t="shared" si="59"/>
        <v>3</v>
      </c>
      <c r="BI52" s="210">
        <f t="shared" si="59"/>
        <v>3</v>
      </c>
      <c r="BJ52" s="210">
        <f t="shared" si="59"/>
        <v>3</v>
      </c>
      <c r="BK52" s="211">
        <f t="shared" si="59"/>
        <v>2</v>
      </c>
      <c r="BL52" s="209">
        <f t="shared" si="59"/>
        <v>2</v>
      </c>
      <c r="BM52" s="210">
        <f t="shared" si="59"/>
        <v>3</v>
      </c>
      <c r="BN52" s="210">
        <f t="shared" si="59"/>
        <v>2</v>
      </c>
      <c r="BO52" s="211">
        <f t="shared" si="59"/>
        <v>2</v>
      </c>
      <c r="BP52" s="209">
        <f t="shared" si="59"/>
        <v>2</v>
      </c>
      <c r="BQ52" s="210">
        <f t="shared" si="59"/>
        <v>2</v>
      </c>
      <c r="BR52" s="210">
        <f t="shared" si="59"/>
        <v>2</v>
      </c>
      <c r="BS52" s="211">
        <f t="shared" si="59"/>
        <v>2</v>
      </c>
      <c r="BT52" s="209">
        <f t="shared" si="60"/>
        <v>2</v>
      </c>
      <c r="BU52" s="210">
        <f t="shared" si="60"/>
        <v>2</v>
      </c>
      <c r="BV52" s="210">
        <f t="shared" si="60"/>
        <v>2</v>
      </c>
      <c r="BW52" s="211">
        <f t="shared" si="60"/>
        <v>2</v>
      </c>
      <c r="BX52" s="209">
        <f t="shared" si="60"/>
        <v>1</v>
      </c>
      <c r="BY52" s="210">
        <f t="shared" si="60"/>
        <v>1</v>
      </c>
      <c r="BZ52" s="210">
        <f t="shared" si="60"/>
        <v>1</v>
      </c>
      <c r="CA52" s="211">
        <f t="shared" si="60"/>
        <v>1</v>
      </c>
      <c r="CB52" s="209">
        <f t="shared" si="60"/>
        <v>0</v>
      </c>
      <c r="CC52" s="210">
        <f t="shared" si="60"/>
        <v>0</v>
      </c>
      <c r="CD52" s="210">
        <f t="shared" si="60"/>
        <v>0</v>
      </c>
      <c r="CE52" s="211">
        <f t="shared" si="60"/>
        <v>0</v>
      </c>
      <c r="CF52" s="13"/>
      <c r="CG52" s="13"/>
      <c r="CH52" s="13"/>
      <c r="CI52" s="13"/>
    </row>
    <row r="53" spans="1:87" ht="20.100000000000001" customHeight="1">
      <c r="F53" s="7">
        <v>12</v>
      </c>
      <c r="G53" s="8" t="s">
        <v>17</v>
      </c>
      <c r="H53" s="189">
        <f t="shared" si="56"/>
        <v>0</v>
      </c>
      <c r="I53" s="190">
        <f t="shared" si="56"/>
        <v>0</v>
      </c>
      <c r="J53" s="190">
        <f t="shared" si="56"/>
        <v>0</v>
      </c>
      <c r="K53" s="191">
        <f t="shared" si="56"/>
        <v>0</v>
      </c>
      <c r="L53" s="189">
        <f t="shared" si="56"/>
        <v>0</v>
      </c>
      <c r="M53" s="190">
        <f t="shared" si="56"/>
        <v>0</v>
      </c>
      <c r="N53" s="190">
        <f t="shared" si="56"/>
        <v>0</v>
      </c>
      <c r="O53" s="191">
        <f t="shared" si="56"/>
        <v>0</v>
      </c>
      <c r="P53" s="189">
        <f t="shared" si="56"/>
        <v>0</v>
      </c>
      <c r="Q53" s="190">
        <f t="shared" si="56"/>
        <v>0</v>
      </c>
      <c r="R53" s="190">
        <f t="shared" si="56"/>
        <v>0</v>
      </c>
      <c r="S53" s="191">
        <f t="shared" si="56"/>
        <v>0</v>
      </c>
      <c r="T53" s="189">
        <f t="shared" si="56"/>
        <v>0</v>
      </c>
      <c r="U53" s="190">
        <f t="shared" si="56"/>
        <v>0</v>
      </c>
      <c r="V53" s="190">
        <f t="shared" si="56"/>
        <v>0</v>
      </c>
      <c r="W53" s="191">
        <f t="shared" si="56"/>
        <v>0</v>
      </c>
      <c r="X53" s="189">
        <f t="shared" si="57"/>
        <v>0</v>
      </c>
      <c r="Y53" s="190">
        <f t="shared" si="57"/>
        <v>0</v>
      </c>
      <c r="Z53" s="190">
        <f t="shared" si="57"/>
        <v>0</v>
      </c>
      <c r="AA53" s="191">
        <f t="shared" si="57"/>
        <v>0</v>
      </c>
      <c r="AB53" s="189">
        <f t="shared" si="57"/>
        <v>0</v>
      </c>
      <c r="AC53" s="190">
        <f t="shared" si="57"/>
        <v>0</v>
      </c>
      <c r="AD53" s="190">
        <f t="shared" si="57"/>
        <v>0</v>
      </c>
      <c r="AE53" s="191">
        <f t="shared" si="57"/>
        <v>0</v>
      </c>
      <c r="AF53" s="189">
        <f t="shared" si="57"/>
        <v>0</v>
      </c>
      <c r="AG53" s="190">
        <f t="shared" si="57"/>
        <v>0</v>
      </c>
      <c r="AH53" s="190">
        <f t="shared" si="57"/>
        <v>0</v>
      </c>
      <c r="AI53" s="191">
        <f t="shared" si="57"/>
        <v>0</v>
      </c>
      <c r="AJ53" s="189">
        <f t="shared" si="57"/>
        <v>0</v>
      </c>
      <c r="AK53" s="190">
        <f t="shared" si="57"/>
        <v>0</v>
      </c>
      <c r="AL53" s="190">
        <f t="shared" si="57"/>
        <v>0</v>
      </c>
      <c r="AM53" s="191">
        <f t="shared" si="57"/>
        <v>0</v>
      </c>
      <c r="AN53" s="189">
        <f t="shared" si="58"/>
        <v>0</v>
      </c>
      <c r="AO53" s="190">
        <f t="shared" si="58"/>
        <v>0</v>
      </c>
      <c r="AP53" s="190">
        <f t="shared" si="58"/>
        <v>0</v>
      </c>
      <c r="AQ53" s="191">
        <f t="shared" si="58"/>
        <v>0</v>
      </c>
      <c r="AR53" s="189">
        <f t="shared" si="58"/>
        <v>0</v>
      </c>
      <c r="AS53" s="190">
        <f t="shared" si="58"/>
        <v>0</v>
      </c>
      <c r="AT53" s="190">
        <f t="shared" si="58"/>
        <v>0</v>
      </c>
      <c r="AU53" s="191">
        <f t="shared" si="58"/>
        <v>0</v>
      </c>
      <c r="AV53" s="189">
        <f t="shared" si="58"/>
        <v>0</v>
      </c>
      <c r="AW53" s="190">
        <f t="shared" si="58"/>
        <v>0</v>
      </c>
      <c r="AX53" s="190">
        <f t="shared" si="58"/>
        <v>0</v>
      </c>
      <c r="AY53" s="191">
        <f t="shared" si="58"/>
        <v>0</v>
      </c>
      <c r="AZ53" s="189">
        <f t="shared" si="58"/>
        <v>0</v>
      </c>
      <c r="BA53" s="190">
        <f t="shared" si="58"/>
        <v>0</v>
      </c>
      <c r="BB53" s="190">
        <f t="shared" si="58"/>
        <v>0</v>
      </c>
      <c r="BC53" s="191">
        <f t="shared" si="58"/>
        <v>0</v>
      </c>
      <c r="BD53" s="189">
        <f t="shared" si="59"/>
        <v>0</v>
      </c>
      <c r="BE53" s="190">
        <f t="shared" si="59"/>
        <v>0</v>
      </c>
      <c r="BF53" s="190">
        <f t="shared" si="59"/>
        <v>0</v>
      </c>
      <c r="BG53" s="191">
        <f t="shared" si="59"/>
        <v>0</v>
      </c>
      <c r="BH53" s="189">
        <f t="shared" si="59"/>
        <v>0</v>
      </c>
      <c r="BI53" s="190">
        <f t="shared" si="59"/>
        <v>0</v>
      </c>
      <c r="BJ53" s="190">
        <f t="shared" si="59"/>
        <v>0</v>
      </c>
      <c r="BK53" s="191">
        <f t="shared" si="59"/>
        <v>0</v>
      </c>
      <c r="BL53" s="189">
        <f t="shared" si="59"/>
        <v>0</v>
      </c>
      <c r="BM53" s="190">
        <f t="shared" si="59"/>
        <v>0</v>
      </c>
      <c r="BN53" s="190">
        <f t="shared" si="59"/>
        <v>0</v>
      </c>
      <c r="BO53" s="191">
        <f t="shared" si="59"/>
        <v>0</v>
      </c>
      <c r="BP53" s="189">
        <f t="shared" si="59"/>
        <v>0</v>
      </c>
      <c r="BQ53" s="190">
        <f t="shared" si="59"/>
        <v>0</v>
      </c>
      <c r="BR53" s="190">
        <f t="shared" si="59"/>
        <v>0</v>
      </c>
      <c r="BS53" s="191">
        <f t="shared" si="59"/>
        <v>0</v>
      </c>
      <c r="BT53" s="189">
        <f t="shared" si="60"/>
        <v>0</v>
      </c>
      <c r="BU53" s="190">
        <f t="shared" si="60"/>
        <v>0</v>
      </c>
      <c r="BV53" s="190">
        <f t="shared" si="60"/>
        <v>0</v>
      </c>
      <c r="BW53" s="191">
        <f t="shared" si="60"/>
        <v>0</v>
      </c>
      <c r="BX53" s="189">
        <f t="shared" si="60"/>
        <v>0</v>
      </c>
      <c r="BY53" s="190">
        <f t="shared" si="60"/>
        <v>0</v>
      </c>
      <c r="BZ53" s="190">
        <f t="shared" si="60"/>
        <v>0</v>
      </c>
      <c r="CA53" s="191">
        <f t="shared" si="60"/>
        <v>0</v>
      </c>
      <c r="CB53" s="189">
        <f t="shared" si="60"/>
        <v>0</v>
      </c>
      <c r="CC53" s="190">
        <f t="shared" si="60"/>
        <v>0</v>
      </c>
      <c r="CD53" s="190">
        <f t="shared" si="60"/>
        <v>0</v>
      </c>
      <c r="CE53" s="191">
        <f t="shared" si="60"/>
        <v>0</v>
      </c>
      <c r="CF53" s="13"/>
      <c r="CG53" s="13"/>
      <c r="CH53" s="13"/>
      <c r="CI53" s="13"/>
    </row>
    <row r="54" spans="1:87" ht="20.100000000000001" customHeight="1">
      <c r="F54" s="155">
        <v>13</v>
      </c>
      <c r="G54" s="156" t="s">
        <v>83</v>
      </c>
      <c r="H54" s="192">
        <f t="shared" si="56"/>
        <v>0</v>
      </c>
      <c r="I54" s="193">
        <f t="shared" si="56"/>
        <v>0</v>
      </c>
      <c r="J54" s="193">
        <f t="shared" si="56"/>
        <v>0</v>
      </c>
      <c r="K54" s="194">
        <f t="shared" si="56"/>
        <v>0</v>
      </c>
      <c r="L54" s="192">
        <f t="shared" si="56"/>
        <v>0</v>
      </c>
      <c r="M54" s="193">
        <f t="shared" si="56"/>
        <v>0</v>
      </c>
      <c r="N54" s="193">
        <f t="shared" si="56"/>
        <v>0</v>
      </c>
      <c r="O54" s="194">
        <f t="shared" si="56"/>
        <v>0</v>
      </c>
      <c r="P54" s="192">
        <f t="shared" si="56"/>
        <v>0</v>
      </c>
      <c r="Q54" s="193">
        <f t="shared" si="56"/>
        <v>0</v>
      </c>
      <c r="R54" s="193">
        <f t="shared" si="56"/>
        <v>0</v>
      </c>
      <c r="S54" s="194">
        <f t="shared" si="56"/>
        <v>0</v>
      </c>
      <c r="T54" s="192">
        <f t="shared" si="56"/>
        <v>0</v>
      </c>
      <c r="U54" s="193">
        <f t="shared" si="56"/>
        <v>0</v>
      </c>
      <c r="V54" s="193">
        <f t="shared" si="56"/>
        <v>0</v>
      </c>
      <c r="W54" s="194">
        <f t="shared" si="56"/>
        <v>0</v>
      </c>
      <c r="X54" s="192">
        <f t="shared" si="57"/>
        <v>0</v>
      </c>
      <c r="Y54" s="193">
        <f t="shared" si="57"/>
        <v>0</v>
      </c>
      <c r="Z54" s="193">
        <f t="shared" si="57"/>
        <v>0</v>
      </c>
      <c r="AA54" s="194">
        <f t="shared" si="57"/>
        <v>0</v>
      </c>
      <c r="AB54" s="192">
        <f t="shared" si="57"/>
        <v>0</v>
      </c>
      <c r="AC54" s="193">
        <f t="shared" si="57"/>
        <v>0</v>
      </c>
      <c r="AD54" s="193">
        <f t="shared" si="57"/>
        <v>0</v>
      </c>
      <c r="AE54" s="194">
        <f t="shared" si="57"/>
        <v>0</v>
      </c>
      <c r="AF54" s="192">
        <f t="shared" si="57"/>
        <v>0</v>
      </c>
      <c r="AG54" s="193">
        <f t="shared" si="57"/>
        <v>0</v>
      </c>
      <c r="AH54" s="193">
        <f t="shared" si="57"/>
        <v>0</v>
      </c>
      <c r="AI54" s="194">
        <f t="shared" si="57"/>
        <v>0</v>
      </c>
      <c r="AJ54" s="192">
        <f t="shared" si="57"/>
        <v>0</v>
      </c>
      <c r="AK54" s="193">
        <f t="shared" si="57"/>
        <v>0</v>
      </c>
      <c r="AL54" s="193">
        <f t="shared" si="57"/>
        <v>0</v>
      </c>
      <c r="AM54" s="194">
        <f t="shared" si="57"/>
        <v>0</v>
      </c>
      <c r="AN54" s="192">
        <f t="shared" si="58"/>
        <v>0</v>
      </c>
      <c r="AO54" s="193">
        <f t="shared" si="58"/>
        <v>0</v>
      </c>
      <c r="AP54" s="193">
        <f t="shared" si="58"/>
        <v>0</v>
      </c>
      <c r="AQ54" s="194">
        <f t="shared" si="58"/>
        <v>0</v>
      </c>
      <c r="AR54" s="192">
        <f t="shared" si="58"/>
        <v>0</v>
      </c>
      <c r="AS54" s="193">
        <f t="shared" si="58"/>
        <v>0</v>
      </c>
      <c r="AT54" s="193">
        <f t="shared" si="58"/>
        <v>0</v>
      </c>
      <c r="AU54" s="194">
        <f t="shared" si="58"/>
        <v>0</v>
      </c>
      <c r="AV54" s="192">
        <f t="shared" si="58"/>
        <v>0</v>
      </c>
      <c r="AW54" s="193">
        <f t="shared" si="58"/>
        <v>0</v>
      </c>
      <c r="AX54" s="193">
        <f t="shared" si="58"/>
        <v>0</v>
      </c>
      <c r="AY54" s="194">
        <f t="shared" si="58"/>
        <v>0</v>
      </c>
      <c r="AZ54" s="192">
        <f t="shared" si="58"/>
        <v>0</v>
      </c>
      <c r="BA54" s="193">
        <f t="shared" si="58"/>
        <v>0</v>
      </c>
      <c r="BB54" s="193">
        <f t="shared" si="58"/>
        <v>0</v>
      </c>
      <c r="BC54" s="194">
        <f t="shared" si="58"/>
        <v>0</v>
      </c>
      <c r="BD54" s="192">
        <f t="shared" si="59"/>
        <v>0</v>
      </c>
      <c r="BE54" s="193">
        <f t="shared" si="59"/>
        <v>0</v>
      </c>
      <c r="BF54" s="193">
        <f t="shared" si="59"/>
        <v>0</v>
      </c>
      <c r="BG54" s="194">
        <f t="shared" si="59"/>
        <v>0</v>
      </c>
      <c r="BH54" s="192">
        <f t="shared" si="59"/>
        <v>0</v>
      </c>
      <c r="BI54" s="193">
        <f t="shared" si="59"/>
        <v>0</v>
      </c>
      <c r="BJ54" s="193">
        <f t="shared" si="59"/>
        <v>0</v>
      </c>
      <c r="BK54" s="194">
        <f t="shared" si="59"/>
        <v>0</v>
      </c>
      <c r="BL54" s="192">
        <f t="shared" si="59"/>
        <v>0</v>
      </c>
      <c r="BM54" s="193">
        <f t="shared" si="59"/>
        <v>0</v>
      </c>
      <c r="BN54" s="193">
        <f t="shared" si="59"/>
        <v>0</v>
      </c>
      <c r="BO54" s="194">
        <f t="shared" si="59"/>
        <v>0</v>
      </c>
      <c r="BP54" s="192">
        <f t="shared" si="59"/>
        <v>0</v>
      </c>
      <c r="BQ54" s="193">
        <f t="shared" si="59"/>
        <v>0</v>
      </c>
      <c r="BR54" s="193">
        <f t="shared" si="59"/>
        <v>0</v>
      </c>
      <c r="BS54" s="194">
        <f t="shared" si="59"/>
        <v>0</v>
      </c>
      <c r="BT54" s="192">
        <f t="shared" si="60"/>
        <v>0</v>
      </c>
      <c r="BU54" s="193">
        <f t="shared" si="60"/>
        <v>0</v>
      </c>
      <c r="BV54" s="193">
        <f t="shared" si="60"/>
        <v>0</v>
      </c>
      <c r="BW54" s="194">
        <f t="shared" si="60"/>
        <v>0</v>
      </c>
      <c r="BX54" s="192">
        <f t="shared" si="60"/>
        <v>0</v>
      </c>
      <c r="BY54" s="193">
        <f t="shared" si="60"/>
        <v>0</v>
      </c>
      <c r="BZ54" s="193">
        <f t="shared" si="60"/>
        <v>0</v>
      </c>
      <c r="CA54" s="194">
        <f t="shared" si="60"/>
        <v>0</v>
      </c>
      <c r="CB54" s="192">
        <f t="shared" si="60"/>
        <v>0</v>
      </c>
      <c r="CC54" s="193">
        <f t="shared" si="60"/>
        <v>0</v>
      </c>
      <c r="CD54" s="193">
        <f t="shared" si="60"/>
        <v>0</v>
      </c>
      <c r="CE54" s="194">
        <f t="shared" si="60"/>
        <v>0</v>
      </c>
      <c r="CF54" s="13"/>
      <c r="CG54" s="13"/>
      <c r="CH54" s="13"/>
      <c r="CI54" s="13"/>
    </row>
    <row r="55" spans="1:87" ht="41.25" customHeight="1">
      <c r="A55" s="22"/>
      <c r="B55" s="22"/>
      <c r="C55" s="22"/>
      <c r="D55" s="22"/>
      <c r="E55" s="22"/>
      <c r="F55" s="152"/>
      <c r="G55" s="151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</row>
    <row r="56" spans="1:87" ht="20.100000000000001" customHeight="1">
      <c r="A56" s="22"/>
      <c r="B56" s="22"/>
      <c r="C56" s="22"/>
      <c r="D56" s="22"/>
      <c r="E56" s="22"/>
      <c r="F56" s="152"/>
      <c r="G56" s="151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</row>
    <row r="57" spans="1:87" ht="20.100000000000001" customHeight="1">
      <c r="A57" s="22"/>
      <c r="B57" s="22"/>
      <c r="C57" s="22"/>
      <c r="D57" s="22"/>
      <c r="E57" s="22"/>
      <c r="F57" s="152"/>
      <c r="G57" s="151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</row>
    <row r="58" spans="1:87" ht="20.100000000000001" customHeight="1">
      <c r="A58" s="22"/>
      <c r="B58" s="22"/>
      <c r="C58" s="22"/>
      <c r="D58" s="22"/>
      <c r="E58" s="22"/>
      <c r="F58" s="152"/>
      <c r="G58" s="151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</row>
    <row r="59" spans="1:87" ht="20.100000000000001" customHeight="1">
      <c r="F59" s="152"/>
      <c r="G59" s="151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</row>
    <row r="60" spans="1:87" ht="20.100000000000001" customHeight="1">
      <c r="F60" s="152"/>
      <c r="G60" s="151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</row>
    <row r="61" spans="1:87" ht="20.100000000000001" customHeight="1">
      <c r="F61" s="152"/>
      <c r="G61" s="151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</row>
    <row r="62" spans="1:87" ht="20.100000000000001" customHeight="1">
      <c r="F62" s="152"/>
      <c r="G62" s="151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</row>
    <row r="63" spans="1:87" ht="20.100000000000001" customHeight="1">
      <c r="F63" s="152"/>
      <c r="G63" s="151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</row>
    <row r="64" spans="1:87" ht="20.100000000000001" customHeight="1">
      <c r="F64" s="152"/>
      <c r="G64" s="151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</row>
    <row r="65" spans="1:84" ht="20.100000000000001" customHeight="1">
      <c r="F65" s="152"/>
      <c r="G65" s="151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</row>
    <row r="66" spans="1:84" ht="20.100000000000001" customHeight="1">
      <c r="F66" s="152"/>
      <c r="G66" s="151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</row>
    <row r="67" spans="1:84" s="154" customFormat="1" ht="30" hidden="1" customHeight="1">
      <c r="A67" s="153"/>
      <c r="B67" s="153"/>
      <c r="C67" s="153"/>
      <c r="D67" s="153"/>
      <c r="E67" s="153"/>
      <c r="F67" s="355" t="s">
        <v>25</v>
      </c>
      <c r="G67" s="290" t="s">
        <v>35</v>
      </c>
      <c r="H67" s="302">
        <f t="shared" ref="H67:BS67" si="61">H5/$CF$5*100</f>
        <v>0</v>
      </c>
      <c r="I67" s="302">
        <f t="shared" si="61"/>
        <v>0</v>
      </c>
      <c r="J67" s="302">
        <f t="shared" si="61"/>
        <v>0</v>
      </c>
      <c r="K67" s="303">
        <f t="shared" si="61"/>
        <v>0</v>
      </c>
      <c r="L67" s="304">
        <f t="shared" si="61"/>
        <v>0</v>
      </c>
      <c r="M67" s="302">
        <f t="shared" si="61"/>
        <v>0</v>
      </c>
      <c r="N67" s="302">
        <f t="shared" si="61"/>
        <v>0</v>
      </c>
      <c r="O67" s="303">
        <f t="shared" si="61"/>
        <v>0</v>
      </c>
      <c r="P67" s="304">
        <f t="shared" si="61"/>
        <v>0</v>
      </c>
      <c r="Q67" s="302">
        <f t="shared" si="61"/>
        <v>0</v>
      </c>
      <c r="R67" s="302">
        <f t="shared" si="61"/>
        <v>0</v>
      </c>
      <c r="S67" s="303">
        <f t="shared" si="61"/>
        <v>0</v>
      </c>
      <c r="T67" s="304">
        <f t="shared" si="61"/>
        <v>0.71942446043165476</v>
      </c>
      <c r="U67" s="302">
        <f t="shared" si="61"/>
        <v>0.71942446043165476</v>
      </c>
      <c r="V67" s="302">
        <f t="shared" si="61"/>
        <v>0.71942446043165476</v>
      </c>
      <c r="W67" s="303">
        <f t="shared" si="61"/>
        <v>0.71942446043165476</v>
      </c>
      <c r="X67" s="304">
        <f t="shared" si="61"/>
        <v>1.4388489208633095</v>
      </c>
      <c r="Y67" s="302">
        <f t="shared" si="61"/>
        <v>1.4388489208633095</v>
      </c>
      <c r="Z67" s="302">
        <f t="shared" si="61"/>
        <v>2.1582733812949639</v>
      </c>
      <c r="AA67" s="303">
        <f t="shared" si="61"/>
        <v>2.1582733812949639</v>
      </c>
      <c r="AB67" s="304">
        <f t="shared" si="61"/>
        <v>2.877697841726619</v>
      </c>
      <c r="AC67" s="302">
        <f t="shared" si="61"/>
        <v>2.877697841726619</v>
      </c>
      <c r="AD67" s="302">
        <f t="shared" si="61"/>
        <v>2.877697841726619</v>
      </c>
      <c r="AE67" s="303">
        <f t="shared" si="61"/>
        <v>2.877697841726619</v>
      </c>
      <c r="AF67" s="304">
        <f t="shared" si="61"/>
        <v>2.1582733812949639</v>
      </c>
      <c r="AG67" s="302">
        <f t="shared" si="61"/>
        <v>2.1582733812949639</v>
      </c>
      <c r="AH67" s="302">
        <f t="shared" si="61"/>
        <v>2.1582733812949639</v>
      </c>
      <c r="AI67" s="303">
        <f t="shared" si="61"/>
        <v>2.1582733812949639</v>
      </c>
      <c r="AJ67" s="304">
        <f t="shared" si="61"/>
        <v>2.1582733812949639</v>
      </c>
      <c r="AK67" s="302">
        <f t="shared" si="61"/>
        <v>2.1582733812949639</v>
      </c>
      <c r="AL67" s="302">
        <f t="shared" si="61"/>
        <v>2.1582733812949639</v>
      </c>
      <c r="AM67" s="303">
        <f t="shared" si="61"/>
        <v>2.1582733812949639</v>
      </c>
      <c r="AN67" s="304">
        <f t="shared" si="61"/>
        <v>2.1582733812949639</v>
      </c>
      <c r="AO67" s="302">
        <f t="shared" si="61"/>
        <v>2.1582733812949639</v>
      </c>
      <c r="AP67" s="302">
        <f t="shared" si="61"/>
        <v>1.4388489208633095</v>
      </c>
      <c r="AQ67" s="303">
        <f t="shared" si="61"/>
        <v>1.4388489208633095</v>
      </c>
      <c r="AR67" s="304">
        <f t="shared" si="61"/>
        <v>0.71942446043165476</v>
      </c>
      <c r="AS67" s="302">
        <f t="shared" si="61"/>
        <v>0.71942446043165476</v>
      </c>
      <c r="AT67" s="302">
        <f t="shared" si="61"/>
        <v>1.4388489208633095</v>
      </c>
      <c r="AU67" s="303">
        <f t="shared" si="61"/>
        <v>1.4388489208633095</v>
      </c>
      <c r="AV67" s="304">
        <f t="shared" si="61"/>
        <v>1.4388489208633095</v>
      </c>
      <c r="AW67" s="302">
        <f t="shared" si="61"/>
        <v>1.4388489208633095</v>
      </c>
      <c r="AX67" s="302">
        <f t="shared" si="61"/>
        <v>1.4388489208633095</v>
      </c>
      <c r="AY67" s="303">
        <f t="shared" si="61"/>
        <v>1.4388489208633095</v>
      </c>
      <c r="AZ67" s="304">
        <f t="shared" si="61"/>
        <v>1.4388489208633095</v>
      </c>
      <c r="BA67" s="302">
        <f t="shared" si="61"/>
        <v>2.1582733812949639</v>
      </c>
      <c r="BB67" s="302">
        <f t="shared" si="61"/>
        <v>2.1582733812949639</v>
      </c>
      <c r="BC67" s="303">
        <f t="shared" si="61"/>
        <v>1.4388489208633095</v>
      </c>
      <c r="BD67" s="304">
        <f t="shared" si="61"/>
        <v>1.4388489208633095</v>
      </c>
      <c r="BE67" s="302">
        <f t="shared" si="61"/>
        <v>2.1582733812949639</v>
      </c>
      <c r="BF67" s="302">
        <f t="shared" si="61"/>
        <v>2.1582733812949639</v>
      </c>
      <c r="BG67" s="303">
        <f t="shared" si="61"/>
        <v>2.1582733812949639</v>
      </c>
      <c r="BH67" s="304">
        <f t="shared" si="61"/>
        <v>2.1582733812949639</v>
      </c>
      <c r="BI67" s="302">
        <f t="shared" si="61"/>
        <v>2.1582733812949639</v>
      </c>
      <c r="BJ67" s="302">
        <f t="shared" si="61"/>
        <v>2.1582733812949639</v>
      </c>
      <c r="BK67" s="303">
        <f t="shared" si="61"/>
        <v>1.4388489208633095</v>
      </c>
      <c r="BL67" s="304">
        <f t="shared" si="61"/>
        <v>1.4388489208633095</v>
      </c>
      <c r="BM67" s="302">
        <f t="shared" si="61"/>
        <v>2.1582733812949639</v>
      </c>
      <c r="BN67" s="302">
        <f t="shared" si="61"/>
        <v>1.4388489208633095</v>
      </c>
      <c r="BO67" s="303">
        <f t="shared" si="61"/>
        <v>1.4388489208633095</v>
      </c>
      <c r="BP67" s="304">
        <f t="shared" si="61"/>
        <v>1.4388489208633095</v>
      </c>
      <c r="BQ67" s="302">
        <f t="shared" si="61"/>
        <v>1.4388489208633095</v>
      </c>
      <c r="BR67" s="302">
        <f t="shared" si="61"/>
        <v>1.4388489208633095</v>
      </c>
      <c r="BS67" s="303">
        <f t="shared" si="61"/>
        <v>1.4388489208633095</v>
      </c>
      <c r="BT67" s="304">
        <f t="shared" ref="BT67:CE67" si="62">BT5/$CF$5*100</f>
        <v>1.4388489208633095</v>
      </c>
      <c r="BU67" s="302">
        <f t="shared" si="62"/>
        <v>1.4388489208633095</v>
      </c>
      <c r="BV67" s="302">
        <f t="shared" si="62"/>
        <v>1.4388489208633095</v>
      </c>
      <c r="BW67" s="303">
        <f t="shared" si="62"/>
        <v>1.4388489208633095</v>
      </c>
      <c r="BX67" s="304">
        <f t="shared" si="62"/>
        <v>0.71942446043165476</v>
      </c>
      <c r="BY67" s="302">
        <f t="shared" si="62"/>
        <v>0.71942446043165476</v>
      </c>
      <c r="BZ67" s="302">
        <f t="shared" si="62"/>
        <v>0.71942446043165476</v>
      </c>
      <c r="CA67" s="303">
        <f t="shared" si="62"/>
        <v>0.71942446043165476</v>
      </c>
      <c r="CB67" s="304">
        <f t="shared" si="62"/>
        <v>0</v>
      </c>
      <c r="CC67" s="302">
        <f t="shared" si="62"/>
        <v>0</v>
      </c>
      <c r="CD67" s="302">
        <f t="shared" si="62"/>
        <v>0</v>
      </c>
      <c r="CE67" s="303">
        <f t="shared" si="62"/>
        <v>0</v>
      </c>
      <c r="CF67" s="13"/>
    </row>
    <row r="68" spans="1:84" s="154" customFormat="1" ht="30" hidden="1" customHeight="1">
      <c r="A68" s="153"/>
      <c r="B68" s="153"/>
      <c r="C68" s="153"/>
      <c r="D68" s="153"/>
      <c r="E68" s="153"/>
      <c r="F68" s="356"/>
      <c r="G68" s="291" t="s">
        <v>34</v>
      </c>
      <c r="H68" s="302"/>
      <c r="I68" s="302"/>
      <c r="J68" s="302"/>
      <c r="K68" s="303"/>
      <c r="L68" s="304"/>
      <c r="M68" s="302"/>
      <c r="N68" s="302"/>
      <c r="O68" s="303"/>
      <c r="P68" s="304" t="str">
        <f>+VL!$O5</f>
        <v/>
      </c>
      <c r="Q68" s="302" t="str">
        <f>+VL!$O6</f>
        <v/>
      </c>
      <c r="R68" s="302" t="str">
        <f>+VL!$O7</f>
        <v/>
      </c>
      <c r="S68" s="303" t="str">
        <f>+VL!$O8</f>
        <v/>
      </c>
      <c r="T68" s="304" t="str">
        <f>+VL!$O9</f>
        <v/>
      </c>
      <c r="U68" s="302" t="str">
        <f>+VL!$O10</f>
        <v/>
      </c>
      <c r="V68" s="302" t="str">
        <f>+VL!$O11</f>
        <v/>
      </c>
      <c r="W68" s="303" t="str">
        <f>+VL!$O12</f>
        <v/>
      </c>
      <c r="X68" s="304" t="str">
        <f>+VL!$O13</f>
        <v/>
      </c>
      <c r="Y68" s="302" t="str">
        <f>+VL!$O14</f>
        <v/>
      </c>
      <c r="Z68" s="302" t="str">
        <f>+VL!$O15</f>
        <v/>
      </c>
      <c r="AA68" s="303" t="str">
        <f>+VL!$O16</f>
        <v/>
      </c>
      <c r="AB68" s="304" t="str">
        <f>+VL!$O17</f>
        <v/>
      </c>
      <c r="AC68" s="302" t="str">
        <f>+VL!$O18</f>
        <v/>
      </c>
      <c r="AD68" s="302" t="str">
        <f>+VL!$O19</f>
        <v/>
      </c>
      <c r="AE68" s="303" t="str">
        <f>+VL!$O20</f>
        <v/>
      </c>
      <c r="AF68" s="304" t="str">
        <f>+VL!$O21</f>
        <v/>
      </c>
      <c r="AG68" s="302" t="str">
        <f>+VL!$O22</f>
        <v/>
      </c>
      <c r="AH68" s="302" t="str">
        <f>+VL!$O23</f>
        <v/>
      </c>
      <c r="AI68" s="303" t="str">
        <f>+VL!$O24</f>
        <v/>
      </c>
      <c r="AJ68" s="304" t="str">
        <f>+VL!$O25</f>
        <v/>
      </c>
      <c r="AK68" s="302" t="str">
        <f>+VL!$O26</f>
        <v/>
      </c>
      <c r="AL68" s="302" t="str">
        <f>+VL!$O27</f>
        <v/>
      </c>
      <c r="AM68" s="303" t="str">
        <f>+VL!$O28</f>
        <v/>
      </c>
      <c r="AN68" s="304" t="str">
        <f>+VL!$O29</f>
        <v/>
      </c>
      <c r="AO68" s="302" t="str">
        <f>+VL!$O30</f>
        <v/>
      </c>
      <c r="AP68" s="302" t="str">
        <f>+VL!$O31</f>
        <v/>
      </c>
      <c r="AQ68" s="303" t="str">
        <f>+VL!$O32</f>
        <v/>
      </c>
      <c r="AR68" s="304" t="str">
        <f>+VL!$O33</f>
        <v/>
      </c>
      <c r="AS68" s="302" t="str">
        <f>+VL!$O34</f>
        <v/>
      </c>
      <c r="AT68" s="302" t="str">
        <f>+VL!$O35</f>
        <v/>
      </c>
      <c r="AU68" s="303" t="str">
        <f>+VL!$O36</f>
        <v/>
      </c>
      <c r="AV68" s="304" t="str">
        <f>+VL!$O37</f>
        <v/>
      </c>
      <c r="AW68" s="302" t="str">
        <f>+VL!$O38</f>
        <v/>
      </c>
      <c r="AX68" s="302" t="str">
        <f>+VL!$O39</f>
        <v/>
      </c>
      <c r="AY68" s="303" t="str">
        <f>+VL!$O40</f>
        <v/>
      </c>
      <c r="AZ68" s="304" t="str">
        <f>+VL!$O41</f>
        <v/>
      </c>
      <c r="BA68" s="302" t="str">
        <f>+VL!$O42</f>
        <v/>
      </c>
      <c r="BB68" s="302" t="str">
        <f>+VL!$O43</f>
        <v/>
      </c>
      <c r="BC68" s="303" t="str">
        <f>+VL!$O44</f>
        <v/>
      </c>
      <c r="BD68" s="304" t="str">
        <f>+VL!$O45</f>
        <v/>
      </c>
      <c r="BE68" s="302" t="str">
        <f>+VL!$O46</f>
        <v/>
      </c>
      <c r="BF68" s="302" t="str">
        <f>+VL!$O47</f>
        <v/>
      </c>
      <c r="BG68" s="303" t="str">
        <f>+VL!$O48</f>
        <v/>
      </c>
      <c r="BH68" s="304" t="str">
        <f>+VL!$O49</f>
        <v/>
      </c>
      <c r="BI68" s="302" t="str">
        <f>+VL!$O50</f>
        <v/>
      </c>
      <c r="BJ68" s="302" t="str">
        <f>+VL!$O51</f>
        <v/>
      </c>
      <c r="BK68" s="303" t="str">
        <f>+VL!$O52</f>
        <v/>
      </c>
      <c r="BL68" s="304" t="str">
        <f>+VL!$O53</f>
        <v/>
      </c>
      <c r="BM68" s="302" t="str">
        <f>+VL!$O54</f>
        <v/>
      </c>
      <c r="BN68" s="302" t="str">
        <f>+VL!$O55</f>
        <v/>
      </c>
      <c r="BO68" s="303" t="str">
        <f>+VL!$O56</f>
        <v/>
      </c>
      <c r="BP68" s="304" t="str">
        <f>+VL!$O57</f>
        <v/>
      </c>
      <c r="BQ68" s="302" t="str">
        <f>+VL!$O58</f>
        <v/>
      </c>
      <c r="BR68" s="302" t="str">
        <f>+VL!$O59</f>
        <v/>
      </c>
      <c r="BS68" s="302" t="str">
        <f>+VL!$O60</f>
        <v/>
      </c>
      <c r="BT68" s="304" t="str">
        <f>+VL!$O61</f>
        <v/>
      </c>
      <c r="BU68" s="302" t="str">
        <f>+VL!$O62</f>
        <v/>
      </c>
      <c r="BV68" s="302" t="str">
        <f>+VL!$O63</f>
        <v/>
      </c>
      <c r="BW68" s="302" t="str">
        <f>+VL!$O64</f>
        <v/>
      </c>
      <c r="BX68" s="304"/>
      <c r="BY68" s="302"/>
      <c r="BZ68" s="302"/>
      <c r="CA68" s="303"/>
      <c r="CB68" s="304"/>
      <c r="CC68" s="302"/>
      <c r="CD68" s="302"/>
      <c r="CE68" s="303"/>
    </row>
    <row r="69" spans="1:84" s="158" customFormat="1" ht="45" hidden="1" customHeight="1">
      <c r="A69" s="157"/>
      <c r="B69" s="157"/>
      <c r="C69" s="157"/>
      <c r="D69" s="157"/>
      <c r="E69" s="157"/>
      <c r="F69" s="353" t="s">
        <v>53</v>
      </c>
      <c r="G69" s="305" t="s">
        <v>54</v>
      </c>
      <c r="H69" s="294"/>
      <c r="I69" s="294"/>
      <c r="J69" s="294"/>
      <c r="K69" s="295"/>
      <c r="L69" s="293"/>
      <c r="M69" s="294"/>
      <c r="N69" s="294"/>
      <c r="O69" s="295"/>
      <c r="P69" s="293" t="str">
        <f>IF(ISERROR(P68*$CF$69/100),"",P68*$CF$69/100)</f>
        <v/>
      </c>
      <c r="Q69" s="294" t="str">
        <f>IF(ISERROR(Q68*$CF$69/100),"",Q68*$CF$69/100)</f>
        <v/>
      </c>
      <c r="R69" s="294" t="str">
        <f>IF(ISERROR(R68*$CF$69/100),"",R68*$CF$69/100)</f>
        <v/>
      </c>
      <c r="S69" s="295" t="str">
        <f t="shared" ref="S69:BW69" si="63">IF(ISERROR(S68*$CF$69/100),"",S68*$CF$69/100)</f>
        <v/>
      </c>
      <c r="T69" s="293" t="str">
        <f t="shared" si="63"/>
        <v/>
      </c>
      <c r="U69" s="294" t="str">
        <f t="shared" si="63"/>
        <v/>
      </c>
      <c r="V69" s="294" t="str">
        <f t="shared" si="63"/>
        <v/>
      </c>
      <c r="W69" s="295" t="str">
        <f t="shared" si="63"/>
        <v/>
      </c>
      <c r="X69" s="293" t="str">
        <f t="shared" si="63"/>
        <v/>
      </c>
      <c r="Y69" s="294" t="str">
        <f t="shared" si="63"/>
        <v/>
      </c>
      <c r="Z69" s="294" t="str">
        <f t="shared" si="63"/>
        <v/>
      </c>
      <c r="AA69" s="295" t="str">
        <f t="shared" si="63"/>
        <v/>
      </c>
      <c r="AB69" s="293" t="str">
        <f t="shared" si="63"/>
        <v/>
      </c>
      <c r="AC69" s="294" t="str">
        <f t="shared" si="63"/>
        <v/>
      </c>
      <c r="AD69" s="294" t="str">
        <f t="shared" si="63"/>
        <v/>
      </c>
      <c r="AE69" s="295" t="str">
        <f t="shared" si="63"/>
        <v/>
      </c>
      <c r="AF69" s="293" t="str">
        <f t="shared" si="63"/>
        <v/>
      </c>
      <c r="AG69" s="294" t="str">
        <f t="shared" si="63"/>
        <v/>
      </c>
      <c r="AH69" s="294" t="str">
        <f t="shared" si="63"/>
        <v/>
      </c>
      <c r="AI69" s="295" t="str">
        <f t="shared" si="63"/>
        <v/>
      </c>
      <c r="AJ69" s="293" t="str">
        <f t="shared" si="63"/>
        <v/>
      </c>
      <c r="AK69" s="294" t="str">
        <f t="shared" si="63"/>
        <v/>
      </c>
      <c r="AL69" s="294" t="str">
        <f t="shared" si="63"/>
        <v/>
      </c>
      <c r="AM69" s="295" t="str">
        <f t="shared" si="63"/>
        <v/>
      </c>
      <c r="AN69" s="293" t="str">
        <f t="shared" si="63"/>
        <v/>
      </c>
      <c r="AO69" s="294" t="str">
        <f t="shared" si="63"/>
        <v/>
      </c>
      <c r="AP69" s="294" t="str">
        <f t="shared" si="63"/>
        <v/>
      </c>
      <c r="AQ69" s="295" t="str">
        <f t="shared" si="63"/>
        <v/>
      </c>
      <c r="AR69" s="293" t="str">
        <f t="shared" si="63"/>
        <v/>
      </c>
      <c r="AS69" s="294" t="str">
        <f t="shared" si="63"/>
        <v/>
      </c>
      <c r="AT69" s="294" t="str">
        <f t="shared" si="63"/>
        <v/>
      </c>
      <c r="AU69" s="295" t="str">
        <f t="shared" si="63"/>
        <v/>
      </c>
      <c r="AV69" s="293" t="str">
        <f t="shared" si="63"/>
        <v/>
      </c>
      <c r="AW69" s="294" t="str">
        <f t="shared" si="63"/>
        <v/>
      </c>
      <c r="AX69" s="294" t="str">
        <f t="shared" si="63"/>
        <v/>
      </c>
      <c r="AY69" s="295" t="str">
        <f t="shared" si="63"/>
        <v/>
      </c>
      <c r="AZ69" s="293" t="str">
        <f t="shared" si="63"/>
        <v/>
      </c>
      <c r="BA69" s="294" t="str">
        <f t="shared" si="63"/>
        <v/>
      </c>
      <c r="BB69" s="294" t="str">
        <f t="shared" si="63"/>
        <v/>
      </c>
      <c r="BC69" s="295" t="str">
        <f t="shared" si="63"/>
        <v/>
      </c>
      <c r="BD69" s="293" t="str">
        <f t="shared" si="63"/>
        <v/>
      </c>
      <c r="BE69" s="294" t="str">
        <f t="shared" si="63"/>
        <v/>
      </c>
      <c r="BF69" s="294" t="str">
        <f t="shared" si="63"/>
        <v/>
      </c>
      <c r="BG69" s="295" t="str">
        <f t="shared" si="63"/>
        <v/>
      </c>
      <c r="BH69" s="293" t="str">
        <f t="shared" si="63"/>
        <v/>
      </c>
      <c r="BI69" s="294" t="str">
        <f t="shared" si="63"/>
        <v/>
      </c>
      <c r="BJ69" s="294" t="str">
        <f t="shared" si="63"/>
        <v/>
      </c>
      <c r="BK69" s="295" t="str">
        <f t="shared" si="63"/>
        <v/>
      </c>
      <c r="BL69" s="293" t="str">
        <f t="shared" si="63"/>
        <v/>
      </c>
      <c r="BM69" s="294" t="str">
        <f t="shared" si="63"/>
        <v/>
      </c>
      <c r="BN69" s="294" t="str">
        <f t="shared" si="63"/>
        <v/>
      </c>
      <c r="BO69" s="295" t="str">
        <f t="shared" si="63"/>
        <v/>
      </c>
      <c r="BP69" s="293" t="str">
        <f t="shared" si="63"/>
        <v/>
      </c>
      <c r="BQ69" s="294" t="str">
        <f t="shared" si="63"/>
        <v/>
      </c>
      <c r="BR69" s="294" t="str">
        <f t="shared" si="63"/>
        <v/>
      </c>
      <c r="BS69" s="295" t="str">
        <f t="shared" si="63"/>
        <v/>
      </c>
      <c r="BT69" s="293" t="str">
        <f t="shared" si="63"/>
        <v/>
      </c>
      <c r="BU69" s="294" t="str">
        <f t="shared" si="63"/>
        <v/>
      </c>
      <c r="BV69" s="294" t="str">
        <f t="shared" si="63"/>
        <v/>
      </c>
      <c r="BW69" s="295" t="str">
        <f t="shared" si="63"/>
        <v/>
      </c>
      <c r="BX69" s="293"/>
      <c r="BY69" s="294"/>
      <c r="BZ69" s="294"/>
      <c r="CA69" s="295"/>
      <c r="CB69" s="293"/>
      <c r="CC69" s="294"/>
      <c r="CD69" s="294"/>
      <c r="CE69" s="295"/>
      <c r="CF69" s="174">
        <f>+GRA!$G$7</f>
        <v>0</v>
      </c>
    </row>
    <row r="70" spans="1:84" s="288" customFormat="1" ht="45" hidden="1" customHeight="1">
      <c r="A70" s="153"/>
      <c r="B70" s="153"/>
      <c r="C70" s="153"/>
      <c r="D70" s="153"/>
      <c r="E70" s="287"/>
      <c r="F70" s="354"/>
      <c r="G70" s="292" t="s">
        <v>36</v>
      </c>
      <c r="H70" s="294"/>
      <c r="I70" s="294"/>
      <c r="J70" s="294"/>
      <c r="K70" s="295"/>
      <c r="L70" s="293"/>
      <c r="M70" s="294"/>
      <c r="N70" s="294"/>
      <c r="O70" s="295"/>
      <c r="P70" s="293" t="str">
        <f>IF(ISERROR(P69/(P5*0.25)),"",P69/(P5*0.25))</f>
        <v/>
      </c>
      <c r="Q70" s="294" t="str">
        <f>IF(ISERROR(Q69/(Q5*0.25)),"",Q69/(Q5*0.25))</f>
        <v/>
      </c>
      <c r="R70" s="296" t="str">
        <f>IF(ISERROR(R69/(R5*0.25)),"",R69/(R5*0.25))</f>
        <v/>
      </c>
      <c r="S70" s="297" t="str">
        <f t="shared" ref="S70:BW70" si="64">IF(ISERROR(S69/(S5*0.25)),"",S69/(S5*0.25))</f>
        <v/>
      </c>
      <c r="T70" s="298" t="str">
        <f t="shared" si="64"/>
        <v/>
      </c>
      <c r="U70" s="296" t="str">
        <f t="shared" si="64"/>
        <v/>
      </c>
      <c r="V70" s="296" t="str">
        <f t="shared" si="64"/>
        <v/>
      </c>
      <c r="W70" s="297" t="str">
        <f t="shared" si="64"/>
        <v/>
      </c>
      <c r="X70" s="298" t="str">
        <f t="shared" si="64"/>
        <v/>
      </c>
      <c r="Y70" s="296" t="str">
        <f t="shared" si="64"/>
        <v/>
      </c>
      <c r="Z70" s="296" t="str">
        <f t="shared" si="64"/>
        <v/>
      </c>
      <c r="AA70" s="297" t="str">
        <f t="shared" si="64"/>
        <v/>
      </c>
      <c r="AB70" s="298" t="str">
        <f t="shared" si="64"/>
        <v/>
      </c>
      <c r="AC70" s="296" t="str">
        <f t="shared" si="64"/>
        <v/>
      </c>
      <c r="AD70" s="296" t="str">
        <f t="shared" si="64"/>
        <v/>
      </c>
      <c r="AE70" s="297" t="str">
        <f t="shared" si="64"/>
        <v/>
      </c>
      <c r="AF70" s="298" t="str">
        <f t="shared" si="64"/>
        <v/>
      </c>
      <c r="AG70" s="296" t="str">
        <f t="shared" si="64"/>
        <v/>
      </c>
      <c r="AH70" s="296" t="str">
        <f t="shared" si="64"/>
        <v/>
      </c>
      <c r="AI70" s="297" t="str">
        <f t="shared" si="64"/>
        <v/>
      </c>
      <c r="AJ70" s="298" t="str">
        <f t="shared" si="64"/>
        <v/>
      </c>
      <c r="AK70" s="296" t="str">
        <f t="shared" si="64"/>
        <v/>
      </c>
      <c r="AL70" s="296" t="str">
        <f t="shared" si="64"/>
        <v/>
      </c>
      <c r="AM70" s="297" t="str">
        <f t="shared" si="64"/>
        <v/>
      </c>
      <c r="AN70" s="298" t="str">
        <f t="shared" si="64"/>
        <v/>
      </c>
      <c r="AO70" s="296" t="str">
        <f t="shared" si="64"/>
        <v/>
      </c>
      <c r="AP70" s="296" t="str">
        <f t="shared" si="64"/>
        <v/>
      </c>
      <c r="AQ70" s="297" t="str">
        <f t="shared" si="64"/>
        <v/>
      </c>
      <c r="AR70" s="298" t="str">
        <f t="shared" si="64"/>
        <v/>
      </c>
      <c r="AS70" s="296" t="str">
        <f t="shared" si="64"/>
        <v/>
      </c>
      <c r="AT70" s="296" t="str">
        <f t="shared" si="64"/>
        <v/>
      </c>
      <c r="AU70" s="297" t="str">
        <f t="shared" si="64"/>
        <v/>
      </c>
      <c r="AV70" s="298" t="str">
        <f t="shared" si="64"/>
        <v/>
      </c>
      <c r="AW70" s="296" t="str">
        <f t="shared" si="64"/>
        <v/>
      </c>
      <c r="AX70" s="296" t="str">
        <f t="shared" si="64"/>
        <v/>
      </c>
      <c r="AY70" s="297" t="str">
        <f t="shared" si="64"/>
        <v/>
      </c>
      <c r="AZ70" s="298" t="str">
        <f t="shared" si="64"/>
        <v/>
      </c>
      <c r="BA70" s="296" t="str">
        <f t="shared" si="64"/>
        <v/>
      </c>
      <c r="BB70" s="296" t="str">
        <f t="shared" si="64"/>
        <v/>
      </c>
      <c r="BC70" s="297" t="str">
        <f t="shared" si="64"/>
        <v/>
      </c>
      <c r="BD70" s="298" t="str">
        <f t="shared" si="64"/>
        <v/>
      </c>
      <c r="BE70" s="296" t="str">
        <f t="shared" si="64"/>
        <v/>
      </c>
      <c r="BF70" s="296" t="str">
        <f t="shared" si="64"/>
        <v/>
      </c>
      <c r="BG70" s="297" t="str">
        <f t="shared" si="64"/>
        <v/>
      </c>
      <c r="BH70" s="298" t="str">
        <f t="shared" si="64"/>
        <v/>
      </c>
      <c r="BI70" s="296" t="str">
        <f t="shared" si="64"/>
        <v/>
      </c>
      <c r="BJ70" s="296" t="str">
        <f t="shared" si="64"/>
        <v/>
      </c>
      <c r="BK70" s="297" t="str">
        <f t="shared" si="64"/>
        <v/>
      </c>
      <c r="BL70" s="298" t="str">
        <f t="shared" si="64"/>
        <v/>
      </c>
      <c r="BM70" s="296" t="str">
        <f t="shared" si="64"/>
        <v/>
      </c>
      <c r="BN70" s="296" t="str">
        <f t="shared" si="64"/>
        <v/>
      </c>
      <c r="BO70" s="297" t="str">
        <f t="shared" si="64"/>
        <v/>
      </c>
      <c r="BP70" s="298" t="str">
        <f t="shared" si="64"/>
        <v/>
      </c>
      <c r="BQ70" s="296" t="str">
        <f t="shared" si="64"/>
        <v/>
      </c>
      <c r="BR70" s="296" t="str">
        <f t="shared" si="64"/>
        <v/>
      </c>
      <c r="BS70" s="297" t="str">
        <f t="shared" si="64"/>
        <v/>
      </c>
      <c r="BT70" s="299" t="str">
        <f t="shared" si="64"/>
        <v/>
      </c>
      <c r="BU70" s="300" t="str">
        <f t="shared" si="64"/>
        <v/>
      </c>
      <c r="BV70" s="300" t="str">
        <f t="shared" si="64"/>
        <v/>
      </c>
      <c r="BW70" s="301" t="str">
        <f t="shared" si="64"/>
        <v/>
      </c>
      <c r="BX70" s="299"/>
      <c r="BY70" s="300"/>
      <c r="BZ70" s="300"/>
      <c r="CA70" s="301"/>
      <c r="CB70" s="299"/>
      <c r="CC70" s="300"/>
      <c r="CD70" s="300"/>
      <c r="CE70" s="301"/>
    </row>
    <row r="71" spans="1:84" ht="20.100000000000001" customHeight="1">
      <c r="F71" s="152"/>
      <c r="G71" s="151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</row>
    <row r="72" spans="1:84" ht="20.100000000000001" customHeight="1">
      <c r="F72" s="152"/>
      <c r="G72" s="151"/>
    </row>
    <row r="73" spans="1:84" ht="20.100000000000001" customHeight="1">
      <c r="F73" s="152"/>
      <c r="G73" s="151"/>
    </row>
    <row r="74" spans="1:84" ht="20.100000000000001" customHeight="1">
      <c r="F74" s="152"/>
      <c r="G74" s="151"/>
    </row>
    <row r="75" spans="1:84" ht="20.100000000000001" customHeight="1">
      <c r="F75" s="152"/>
      <c r="G75" s="151"/>
    </row>
    <row r="76" spans="1:84" ht="20.100000000000001" customHeight="1">
      <c r="F76" s="152"/>
      <c r="G76" s="151"/>
    </row>
    <row r="77" spans="1:84" ht="20.100000000000001" customHeight="1">
      <c r="F77" s="152"/>
      <c r="G77" s="151"/>
    </row>
    <row r="78" spans="1:84" ht="20.100000000000001" customHeight="1">
      <c r="F78" s="152"/>
      <c r="G78" s="151"/>
    </row>
    <row r="79" spans="1:84" ht="20.100000000000001" customHeight="1">
      <c r="F79" s="152"/>
      <c r="G79" s="151"/>
    </row>
    <row r="80" spans="1:84" ht="20.100000000000001" customHeight="1">
      <c r="F80" s="152"/>
      <c r="G80" s="151"/>
    </row>
    <row r="81" spans="6:7" ht="20.100000000000001" customHeight="1">
      <c r="F81" s="152"/>
      <c r="G81" s="151"/>
    </row>
    <row r="82" spans="6:7" ht="20.100000000000001" customHeight="1">
      <c r="F82" s="152"/>
      <c r="G82" s="151"/>
    </row>
    <row r="83" spans="6:7" ht="20.100000000000001" customHeight="1">
      <c r="F83" s="152"/>
      <c r="G83" s="151"/>
    </row>
    <row r="84" spans="6:7" ht="20.100000000000001" customHeight="1">
      <c r="F84" s="152"/>
      <c r="G84" s="151"/>
    </row>
    <row r="85" spans="6:7" ht="20.100000000000001" customHeight="1">
      <c r="F85" s="152"/>
      <c r="G85" s="151"/>
    </row>
    <row r="86" spans="6:7" ht="20.100000000000001" customHeight="1">
      <c r="F86" s="152"/>
      <c r="G86" s="151"/>
    </row>
    <row r="87" spans="6:7" ht="20.100000000000001" customHeight="1">
      <c r="F87" s="152"/>
      <c r="G87" s="151"/>
    </row>
    <row r="88" spans="6:7" ht="20.100000000000001" customHeight="1">
      <c r="F88" s="152"/>
      <c r="G88" s="151"/>
    </row>
    <row r="89" spans="6:7" ht="20.100000000000001" customHeight="1">
      <c r="F89" s="152"/>
      <c r="G89" s="151"/>
    </row>
    <row r="90" spans="6:7" ht="20.100000000000001" customHeight="1">
      <c r="F90" s="152"/>
      <c r="G90" s="151"/>
    </row>
    <row r="91" spans="6:7" ht="20.100000000000001" customHeight="1">
      <c r="F91" s="152"/>
      <c r="G91" s="151"/>
    </row>
    <row r="92" spans="6:7" ht="20.100000000000001" customHeight="1">
      <c r="F92" s="152"/>
      <c r="G92" s="151"/>
    </row>
    <row r="93" spans="6:7" ht="20.100000000000001" customHeight="1">
      <c r="F93" s="152"/>
      <c r="G93" s="151"/>
    </row>
    <row r="94" spans="6:7" ht="20.100000000000001" customHeight="1">
      <c r="F94" s="152"/>
      <c r="G94" s="151"/>
    </row>
    <row r="95" spans="6:7" ht="20.100000000000001" customHeight="1">
      <c r="F95" s="152"/>
      <c r="G95" s="151"/>
    </row>
    <row r="96" spans="6:7" ht="20.100000000000001" customHeight="1">
      <c r="F96" s="152"/>
      <c r="G96" s="151"/>
    </row>
    <row r="97" spans="6:7" ht="20.100000000000001" customHeight="1">
      <c r="F97" s="152"/>
      <c r="G97" s="151"/>
    </row>
    <row r="98" spans="6:7" ht="20.100000000000001" customHeight="1">
      <c r="F98" s="152"/>
      <c r="G98" s="151"/>
    </row>
    <row r="99" spans="6:7" ht="20.100000000000001" customHeight="1">
      <c r="F99" s="152"/>
      <c r="G99" s="151"/>
    </row>
    <row r="100" spans="6:7" ht="20.100000000000001" customHeight="1">
      <c r="F100" s="152"/>
      <c r="G100" s="151"/>
    </row>
    <row r="101" spans="6:7" ht="20.100000000000001" customHeight="1">
      <c r="F101" s="152"/>
      <c r="G101" s="151"/>
    </row>
    <row r="102" spans="6:7" ht="20.100000000000001" customHeight="1">
      <c r="F102" s="152"/>
      <c r="G102" s="151"/>
    </row>
    <row r="103" spans="6:7" ht="20.100000000000001" customHeight="1">
      <c r="F103" s="152"/>
      <c r="G103" s="151"/>
    </row>
    <row r="104" spans="6:7" ht="20.100000000000001" customHeight="1">
      <c r="F104" s="152"/>
      <c r="G104" s="151"/>
    </row>
    <row r="105" spans="6:7" ht="20.100000000000001" customHeight="1">
      <c r="F105" s="152"/>
      <c r="G105" s="151"/>
    </row>
    <row r="106" spans="6:7" ht="20.100000000000001" customHeight="1">
      <c r="F106" s="152"/>
      <c r="G106" s="151"/>
    </row>
    <row r="107" spans="6:7" ht="20.100000000000001" customHeight="1">
      <c r="F107" s="152"/>
      <c r="G107" s="151"/>
    </row>
    <row r="108" spans="6:7" ht="20.100000000000001" customHeight="1">
      <c r="F108" s="152"/>
      <c r="G108" s="151"/>
    </row>
    <row r="109" spans="6:7" ht="20.100000000000001" customHeight="1">
      <c r="F109" s="152"/>
      <c r="G109" s="151"/>
    </row>
    <row r="110" spans="6:7" ht="20.100000000000001" customHeight="1">
      <c r="F110" s="152"/>
      <c r="G110" s="151"/>
    </row>
    <row r="111" spans="6:7" ht="20.100000000000001" customHeight="1">
      <c r="F111" s="152"/>
      <c r="G111" s="151"/>
    </row>
    <row r="112" spans="6:7" ht="20.100000000000001" customHeight="1">
      <c r="F112" s="152"/>
      <c r="G112" s="151"/>
    </row>
    <row r="113" spans="6:7" ht="20.100000000000001" customHeight="1">
      <c r="F113" s="152"/>
      <c r="G113" s="151"/>
    </row>
    <row r="114" spans="6:7" ht="20.100000000000001" customHeight="1">
      <c r="F114" s="152"/>
      <c r="G114" s="151"/>
    </row>
    <row r="115" spans="6:7" ht="20.100000000000001" customHeight="1">
      <c r="F115" s="152"/>
      <c r="G115" s="151"/>
    </row>
    <row r="116" spans="6:7" ht="20.100000000000001" customHeight="1">
      <c r="F116" s="152"/>
      <c r="G116" s="151"/>
    </row>
    <row r="117" spans="6:7" ht="20.100000000000001" customHeight="1">
      <c r="F117" s="152"/>
      <c r="G117" s="151"/>
    </row>
    <row r="118" spans="6:7" ht="20.100000000000001" customHeight="1">
      <c r="F118" s="152"/>
      <c r="G118" s="151"/>
    </row>
    <row r="119" spans="6:7" ht="20.100000000000001" customHeight="1">
      <c r="F119" s="152"/>
      <c r="G119" s="151"/>
    </row>
    <row r="120" spans="6:7" ht="20.100000000000001" customHeight="1">
      <c r="F120" s="152"/>
      <c r="G120" s="151"/>
    </row>
    <row r="121" spans="6:7" ht="20.100000000000001" customHeight="1">
      <c r="F121" s="152"/>
      <c r="G121" s="151"/>
    </row>
    <row r="122" spans="6:7" ht="20.100000000000001" customHeight="1">
      <c r="F122" s="152"/>
      <c r="G122" s="151"/>
    </row>
    <row r="123" spans="6:7" ht="20.100000000000001" customHeight="1">
      <c r="F123" s="152"/>
      <c r="G123" s="151"/>
    </row>
    <row r="124" spans="6:7" ht="20.100000000000001" customHeight="1">
      <c r="F124" s="152"/>
      <c r="G124" s="151"/>
    </row>
    <row r="125" spans="6:7" ht="20.100000000000001" customHeight="1">
      <c r="F125" s="152"/>
      <c r="G125" s="151"/>
    </row>
    <row r="126" spans="6:7" ht="20.100000000000001" customHeight="1">
      <c r="F126" s="152"/>
      <c r="G126" s="151"/>
    </row>
    <row r="127" spans="6:7" ht="20.100000000000001" customHeight="1">
      <c r="F127" s="152"/>
      <c r="G127" s="151"/>
    </row>
    <row r="128" spans="6:7" ht="20.100000000000001" customHeight="1">
      <c r="F128" s="152"/>
      <c r="G128" s="151"/>
    </row>
    <row r="129" spans="6:7" ht="20.100000000000001" customHeight="1">
      <c r="F129" s="152"/>
      <c r="G129" s="151"/>
    </row>
    <row r="130" spans="6:7" ht="20.100000000000001" customHeight="1">
      <c r="F130" s="152"/>
      <c r="G130" s="151"/>
    </row>
    <row r="131" spans="6:7" ht="20.100000000000001" customHeight="1">
      <c r="F131" s="152"/>
      <c r="G131" s="151"/>
    </row>
    <row r="132" spans="6:7" ht="20.100000000000001" customHeight="1">
      <c r="F132" s="152"/>
      <c r="G132" s="151"/>
    </row>
  </sheetData>
  <sheetProtection algorithmName="SHA-512" hashValue="kXitw5dBLbX4uSzcFQ3CwFjPRYFnDma5eKtINUuarvtdJPJRXT8mOOXEjj+z7MHx/EBFh4YMgiImUFqKCuGZ7A==" saltValue="f0HVLwTs+81txD0Fk+Fbjw==" spinCount="100000" sheet="1" objects="1" scenarios="1"/>
  <autoFilter ref="F5:G54" xr:uid="{00000000-0009-0000-0000-000006000000}"/>
  <mergeCells count="2">
    <mergeCell ref="F69:F70"/>
    <mergeCell ref="F67:F68"/>
  </mergeCells>
  <phoneticPr fontId="0" type="noConversion"/>
  <conditionalFormatting sqref="H5:CE5 H46:CE54">
    <cfRule type="cellIs" dxfId="2" priority="1" stopIfTrue="1" operator="equal">
      <formula>0</formula>
    </cfRule>
  </conditionalFormatting>
  <printOptions horizontalCentered="1"/>
  <pageMargins left="0.31496062992125984" right="0.31496062992125984" top="0.55118110236220474" bottom="0.55118110236220474" header="0.31496062992125984" footer="0.31496062992125984"/>
  <pageSetup paperSize="9" scale="61" orientation="landscape" horizontalDpi="200" verticalDpi="200" r:id="rId1"/>
  <headerFooter>
    <oddFooter>&amp;L&amp;D - &amp;T&amp;R&amp;F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pageSetUpPr fitToPage="1"/>
  </sheetPr>
  <dimension ref="A1:CI132"/>
  <sheetViews>
    <sheetView zoomScaleNormal="100" workbookViewId="0">
      <pane xSplit="7" ySplit="5" topLeftCell="H30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ColWidth="9.140625" defaultRowHeight="20.100000000000001" customHeight="1"/>
  <cols>
    <col min="1" max="1" width="6.42578125" style="11" hidden="1" customWidth="1"/>
    <col min="2" max="4" width="7.5703125" style="11" hidden="1" customWidth="1"/>
    <col min="5" max="5" width="1" style="11" customWidth="1"/>
    <col min="6" max="6" width="5" style="12" bestFit="1" customWidth="1"/>
    <col min="7" max="7" width="22" style="12" customWidth="1"/>
    <col min="8" max="83" width="2.7109375" style="12" customWidth="1"/>
    <col min="84" max="84" width="3" style="12" bestFit="1" customWidth="1"/>
    <col min="85" max="16384" width="9.140625" style="12"/>
  </cols>
  <sheetData>
    <row r="1" spans="1:87" ht="3.75" customHeight="1"/>
    <row r="2" spans="1:87" s="44" customFormat="1" ht="23.25" customHeight="1">
      <c r="A2" s="43"/>
      <c r="B2" s="43"/>
      <c r="C2" s="148"/>
      <c r="D2" s="43"/>
      <c r="E2" s="43"/>
      <c r="F2" s="30" t="str">
        <f>+TABELLA!E4&amp;" - "&amp;"VENERDI'"</f>
        <v xml:space="preserve"> - VENERDI'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2" t="str">
        <f>+TABELLA!E5&amp;" "&amp;TABELLA!G5&amp;"-"&amp;TABELLA!B7</f>
        <v>REPARTO -Settimana n° 47</v>
      </c>
    </row>
    <row r="3" spans="1:87" s="23" customFormat="1" ht="36" customHeight="1">
      <c r="G3" s="24">
        <v>5</v>
      </c>
      <c r="H3" s="33">
        <f>G3+0.15</f>
        <v>5.15</v>
      </c>
      <c r="I3" s="33">
        <f>H3+0.15</f>
        <v>5.3000000000000007</v>
      </c>
      <c r="J3" s="33">
        <f>I3+0.15</f>
        <v>5.4500000000000011</v>
      </c>
      <c r="K3" s="25">
        <f>G3+1</f>
        <v>6</v>
      </c>
      <c r="L3" s="33">
        <f>K3+0.15</f>
        <v>6.15</v>
      </c>
      <c r="M3" s="33">
        <f>L3+0.15</f>
        <v>6.3000000000000007</v>
      </c>
      <c r="N3" s="33">
        <f>M3+0.15</f>
        <v>6.4500000000000011</v>
      </c>
      <c r="O3" s="25">
        <f>K3+1</f>
        <v>7</v>
      </c>
      <c r="P3" s="33">
        <f>O3+0.15</f>
        <v>7.15</v>
      </c>
      <c r="Q3" s="33">
        <f>P3+0.15</f>
        <v>7.3000000000000007</v>
      </c>
      <c r="R3" s="33">
        <f>Q3+0.15</f>
        <v>7.4500000000000011</v>
      </c>
      <c r="S3" s="25">
        <f>O3+1</f>
        <v>8</v>
      </c>
      <c r="T3" s="33">
        <f>S3+0.15</f>
        <v>8.15</v>
      </c>
      <c r="U3" s="33">
        <f>T3+0.15</f>
        <v>8.3000000000000007</v>
      </c>
      <c r="V3" s="33">
        <f>U3+0.15</f>
        <v>8.4500000000000011</v>
      </c>
      <c r="W3" s="25">
        <f>S3+1</f>
        <v>9</v>
      </c>
      <c r="X3" s="33">
        <f>W3+0.15</f>
        <v>9.15</v>
      </c>
      <c r="Y3" s="33">
        <f>X3+0.15</f>
        <v>9.3000000000000007</v>
      </c>
      <c r="Z3" s="33">
        <f>Y3+0.15</f>
        <v>9.4500000000000011</v>
      </c>
      <c r="AA3" s="25">
        <f>W3+1</f>
        <v>10</v>
      </c>
      <c r="AB3" s="33">
        <f>AA3+0.15</f>
        <v>10.15</v>
      </c>
      <c r="AC3" s="33">
        <f>AB3+0.15</f>
        <v>10.3</v>
      </c>
      <c r="AD3" s="33">
        <f>AC3+0.15</f>
        <v>10.450000000000001</v>
      </c>
      <c r="AE3" s="25">
        <f>AA3+1</f>
        <v>11</v>
      </c>
      <c r="AF3" s="33">
        <f>AE3+0.15</f>
        <v>11.15</v>
      </c>
      <c r="AG3" s="33">
        <f>AF3+0.15</f>
        <v>11.3</v>
      </c>
      <c r="AH3" s="33">
        <f>AG3+0.15</f>
        <v>11.450000000000001</v>
      </c>
      <c r="AI3" s="25">
        <f>AE3+1</f>
        <v>12</v>
      </c>
      <c r="AJ3" s="33">
        <f>AI3+0.15</f>
        <v>12.15</v>
      </c>
      <c r="AK3" s="33">
        <f>AJ3+0.15</f>
        <v>12.3</v>
      </c>
      <c r="AL3" s="33">
        <f>AK3+0.15</f>
        <v>12.450000000000001</v>
      </c>
      <c r="AM3" s="25">
        <f>AI3+1</f>
        <v>13</v>
      </c>
      <c r="AN3" s="33">
        <f>AM3+0.15</f>
        <v>13.15</v>
      </c>
      <c r="AO3" s="33">
        <f>AN3+0.15</f>
        <v>13.3</v>
      </c>
      <c r="AP3" s="33">
        <f>AO3+0.15</f>
        <v>13.450000000000001</v>
      </c>
      <c r="AQ3" s="25">
        <f>AM3+1</f>
        <v>14</v>
      </c>
      <c r="AR3" s="33">
        <f>AQ3+0.15</f>
        <v>14.15</v>
      </c>
      <c r="AS3" s="33">
        <f>AR3+0.15</f>
        <v>14.3</v>
      </c>
      <c r="AT3" s="33">
        <f>AS3+0.15</f>
        <v>14.450000000000001</v>
      </c>
      <c r="AU3" s="25">
        <f>AQ3+1</f>
        <v>15</v>
      </c>
      <c r="AV3" s="33">
        <f>AU3+0.15</f>
        <v>15.15</v>
      </c>
      <c r="AW3" s="33">
        <f>AV3+0.15</f>
        <v>15.3</v>
      </c>
      <c r="AX3" s="33">
        <f>AW3+0.15</f>
        <v>15.450000000000001</v>
      </c>
      <c r="AY3" s="25">
        <f>AU3+1</f>
        <v>16</v>
      </c>
      <c r="AZ3" s="33">
        <f>AY3+0.15</f>
        <v>16.149999999999999</v>
      </c>
      <c r="BA3" s="33">
        <f>AZ3+0.15</f>
        <v>16.299999999999997</v>
      </c>
      <c r="BB3" s="33">
        <f>BA3+0.15</f>
        <v>16.449999999999996</v>
      </c>
      <c r="BC3" s="25">
        <f>AY3+1</f>
        <v>17</v>
      </c>
      <c r="BD3" s="33">
        <f>BC3+0.15</f>
        <v>17.149999999999999</v>
      </c>
      <c r="BE3" s="33">
        <f>BD3+0.15</f>
        <v>17.299999999999997</v>
      </c>
      <c r="BF3" s="33">
        <f>BE3+0.15</f>
        <v>17.449999999999996</v>
      </c>
      <c r="BG3" s="25">
        <f>BC3+1</f>
        <v>18</v>
      </c>
      <c r="BH3" s="33">
        <f>BG3+0.15</f>
        <v>18.149999999999999</v>
      </c>
      <c r="BI3" s="33">
        <f>BH3+0.15</f>
        <v>18.299999999999997</v>
      </c>
      <c r="BJ3" s="33">
        <f>BI3+0.15</f>
        <v>18.449999999999996</v>
      </c>
      <c r="BK3" s="25">
        <f>BG3+1</f>
        <v>19</v>
      </c>
      <c r="BL3" s="33">
        <f>BK3+0.15</f>
        <v>19.149999999999999</v>
      </c>
      <c r="BM3" s="33">
        <f>BL3+0.15</f>
        <v>19.299999999999997</v>
      </c>
      <c r="BN3" s="33">
        <f>BM3+0.15</f>
        <v>19.449999999999996</v>
      </c>
      <c r="BO3" s="25">
        <f>BK3+1</f>
        <v>20</v>
      </c>
      <c r="BP3" s="33">
        <f>BO3+0.15</f>
        <v>20.149999999999999</v>
      </c>
      <c r="BQ3" s="33">
        <f>BP3+0.15</f>
        <v>20.299999999999997</v>
      </c>
      <c r="BR3" s="33">
        <f>BQ3+0.15</f>
        <v>20.449999999999996</v>
      </c>
      <c r="BS3" s="25">
        <f>BO3+1</f>
        <v>21</v>
      </c>
      <c r="BT3" s="33">
        <f>BS3+0.15</f>
        <v>21.15</v>
      </c>
      <c r="BU3" s="33">
        <f>BT3+0.15</f>
        <v>21.299999999999997</v>
      </c>
      <c r="BV3" s="33">
        <f>BU3+0.15</f>
        <v>21.449999999999996</v>
      </c>
      <c r="BW3" s="25">
        <f>BS3+1</f>
        <v>22</v>
      </c>
      <c r="BX3" s="33">
        <f>BW3+0.15</f>
        <v>22.15</v>
      </c>
      <c r="BY3" s="33">
        <f>BX3+0.15</f>
        <v>22.299999999999997</v>
      </c>
      <c r="BZ3" s="33">
        <f>BY3+0.15</f>
        <v>22.449999999999996</v>
      </c>
      <c r="CA3" s="25">
        <f>BW3+1</f>
        <v>23</v>
      </c>
      <c r="CB3" s="33">
        <f>CA3+0.15</f>
        <v>23.15</v>
      </c>
      <c r="CC3" s="33">
        <f>CB3+0.15</f>
        <v>23.299999999999997</v>
      </c>
      <c r="CD3" s="33">
        <f>CC3+0.15</f>
        <v>23.449999999999996</v>
      </c>
      <c r="CE3" s="25">
        <f>CA3+1</f>
        <v>24</v>
      </c>
      <c r="CF3" s="34"/>
      <c r="CG3" s="34"/>
      <c r="CH3" s="34"/>
      <c r="CI3" s="34"/>
    </row>
    <row r="4" spans="1:87" ht="4.5" customHeight="1">
      <c r="H4" s="14"/>
      <c r="I4" s="15"/>
      <c r="J4" s="15"/>
      <c r="K4" s="15"/>
      <c r="L4" s="14"/>
      <c r="M4" s="15"/>
      <c r="N4" s="15"/>
      <c r="O4" s="15"/>
      <c r="P4" s="14"/>
      <c r="Q4" s="15"/>
      <c r="R4" s="15"/>
      <c r="S4" s="15"/>
      <c r="T4" s="14"/>
      <c r="U4" s="15"/>
      <c r="V4" s="15"/>
      <c r="W4" s="15"/>
      <c r="X4" s="14"/>
      <c r="Y4" s="15"/>
      <c r="Z4" s="15"/>
      <c r="AA4" s="15"/>
      <c r="AB4" s="14"/>
      <c r="AC4" s="15"/>
      <c r="AD4" s="15"/>
      <c r="AE4" s="15"/>
      <c r="AF4" s="14"/>
      <c r="AG4" s="15"/>
      <c r="AH4" s="15"/>
      <c r="AI4" s="15"/>
      <c r="AJ4" s="14"/>
      <c r="AK4" s="15"/>
      <c r="AL4" s="15"/>
      <c r="AM4" s="15"/>
      <c r="AN4" s="14"/>
      <c r="AO4" s="15"/>
      <c r="AP4" s="15"/>
      <c r="AQ4" s="15"/>
      <c r="AR4" s="14"/>
      <c r="AS4" s="15"/>
      <c r="AT4" s="15"/>
      <c r="AU4" s="15"/>
      <c r="AV4" s="14"/>
      <c r="AW4" s="15"/>
      <c r="AX4" s="15"/>
      <c r="AY4" s="15"/>
      <c r="AZ4" s="14"/>
      <c r="BA4" s="15"/>
      <c r="BB4" s="15"/>
      <c r="BC4" s="15"/>
      <c r="BD4" s="14"/>
      <c r="BE4" s="15"/>
      <c r="BF4" s="15"/>
      <c r="BG4" s="15"/>
      <c r="BH4" s="14"/>
      <c r="BI4" s="15"/>
      <c r="BJ4" s="15"/>
      <c r="BK4" s="15"/>
      <c r="BL4" s="14"/>
      <c r="BM4" s="15"/>
      <c r="BN4" s="15"/>
      <c r="BO4" s="15"/>
      <c r="BP4" s="14"/>
      <c r="BQ4" s="15"/>
      <c r="BR4" s="15"/>
      <c r="BS4" s="15"/>
      <c r="BT4" s="14"/>
      <c r="BU4" s="15"/>
      <c r="BV4" s="15"/>
      <c r="BW4" s="15"/>
      <c r="BX4" s="15"/>
      <c r="BY4" s="15"/>
      <c r="BZ4" s="15"/>
      <c r="CA4" s="15"/>
      <c r="CB4" s="14"/>
      <c r="CC4" s="15"/>
      <c r="CD4" s="15"/>
      <c r="CE4" s="15"/>
      <c r="CF4" s="13"/>
      <c r="CG4" s="13"/>
      <c r="CH4" s="13"/>
      <c r="CI4" s="13"/>
    </row>
    <row r="5" spans="1:87" s="29" customFormat="1" ht="49.5" customHeight="1">
      <c r="A5" s="35" t="s">
        <v>0</v>
      </c>
      <c r="B5" s="35" t="s">
        <v>1</v>
      </c>
      <c r="C5" s="35" t="s">
        <v>0</v>
      </c>
      <c r="D5" s="35" t="s">
        <v>1</v>
      </c>
      <c r="E5" s="35"/>
      <c r="F5" s="36" t="str">
        <f>+TABELLA!B8</f>
        <v>REP.</v>
      </c>
      <c r="G5" s="36" t="str">
        <f>+TABELLA!C8</f>
        <v>NOMINATIVO</v>
      </c>
      <c r="H5" s="37">
        <f>SUM(H6:H45)</f>
        <v>0</v>
      </c>
      <c r="I5" s="38">
        <f t="shared" ref="I5:BT5" si="0">SUM(I6:I45)</f>
        <v>0</v>
      </c>
      <c r="J5" s="38">
        <f t="shared" si="0"/>
        <v>0</v>
      </c>
      <c r="K5" s="39">
        <f t="shared" si="0"/>
        <v>0</v>
      </c>
      <c r="L5" s="37">
        <f t="shared" si="0"/>
        <v>0</v>
      </c>
      <c r="M5" s="38">
        <f t="shared" si="0"/>
        <v>0</v>
      </c>
      <c r="N5" s="38">
        <f t="shared" si="0"/>
        <v>0</v>
      </c>
      <c r="O5" s="39">
        <f t="shared" si="0"/>
        <v>0</v>
      </c>
      <c r="P5" s="37">
        <f t="shared" si="0"/>
        <v>0</v>
      </c>
      <c r="Q5" s="38">
        <f t="shared" si="0"/>
        <v>0</v>
      </c>
      <c r="R5" s="38">
        <f t="shared" si="0"/>
        <v>0</v>
      </c>
      <c r="S5" s="39">
        <f t="shared" si="0"/>
        <v>0</v>
      </c>
      <c r="T5" s="37">
        <f>SUM(T6:T45)</f>
        <v>2</v>
      </c>
      <c r="U5" s="38">
        <f t="shared" si="0"/>
        <v>2</v>
      </c>
      <c r="V5" s="38">
        <f t="shared" si="0"/>
        <v>2</v>
      </c>
      <c r="W5" s="39">
        <f t="shared" si="0"/>
        <v>2</v>
      </c>
      <c r="X5" s="37">
        <f t="shared" si="0"/>
        <v>3</v>
      </c>
      <c r="Y5" s="38">
        <f t="shared" si="0"/>
        <v>3</v>
      </c>
      <c r="Z5" s="38">
        <f t="shared" si="0"/>
        <v>4</v>
      </c>
      <c r="AA5" s="39">
        <f t="shared" si="0"/>
        <v>4</v>
      </c>
      <c r="AB5" s="37">
        <f t="shared" si="0"/>
        <v>4</v>
      </c>
      <c r="AC5" s="38">
        <f t="shared" si="0"/>
        <v>4</v>
      </c>
      <c r="AD5" s="38">
        <f t="shared" si="0"/>
        <v>4</v>
      </c>
      <c r="AE5" s="39">
        <f t="shared" si="0"/>
        <v>4</v>
      </c>
      <c r="AF5" s="37">
        <f t="shared" si="0"/>
        <v>4</v>
      </c>
      <c r="AG5" s="38">
        <f t="shared" si="0"/>
        <v>4</v>
      </c>
      <c r="AH5" s="38">
        <f t="shared" si="0"/>
        <v>4</v>
      </c>
      <c r="AI5" s="39">
        <f t="shared" si="0"/>
        <v>4</v>
      </c>
      <c r="AJ5" s="37">
        <f t="shared" si="0"/>
        <v>4</v>
      </c>
      <c r="AK5" s="38">
        <f t="shared" si="0"/>
        <v>5</v>
      </c>
      <c r="AL5" s="38">
        <f t="shared" si="0"/>
        <v>5</v>
      </c>
      <c r="AM5" s="39">
        <f t="shared" si="0"/>
        <v>5</v>
      </c>
      <c r="AN5" s="37">
        <f t="shared" si="0"/>
        <v>5</v>
      </c>
      <c r="AO5" s="38">
        <f t="shared" si="0"/>
        <v>5</v>
      </c>
      <c r="AP5" s="38">
        <f t="shared" si="0"/>
        <v>4</v>
      </c>
      <c r="AQ5" s="39">
        <f t="shared" si="0"/>
        <v>4</v>
      </c>
      <c r="AR5" s="37">
        <f t="shared" si="0"/>
        <v>2</v>
      </c>
      <c r="AS5" s="38">
        <f t="shared" si="0"/>
        <v>2</v>
      </c>
      <c r="AT5" s="38">
        <f t="shared" si="0"/>
        <v>2</v>
      </c>
      <c r="AU5" s="39">
        <f t="shared" si="0"/>
        <v>2</v>
      </c>
      <c r="AV5" s="37">
        <f t="shared" si="0"/>
        <v>2</v>
      </c>
      <c r="AW5" s="38">
        <f t="shared" si="0"/>
        <v>2</v>
      </c>
      <c r="AX5" s="38">
        <f t="shared" si="0"/>
        <v>2</v>
      </c>
      <c r="AY5" s="39">
        <f t="shared" si="0"/>
        <v>2</v>
      </c>
      <c r="AZ5" s="37">
        <f t="shared" si="0"/>
        <v>2</v>
      </c>
      <c r="BA5" s="38">
        <f t="shared" si="0"/>
        <v>2</v>
      </c>
      <c r="BB5" s="38">
        <f t="shared" si="0"/>
        <v>2</v>
      </c>
      <c r="BC5" s="39">
        <f t="shared" si="0"/>
        <v>2</v>
      </c>
      <c r="BD5" s="37">
        <f t="shared" si="0"/>
        <v>3</v>
      </c>
      <c r="BE5" s="38">
        <f t="shared" si="0"/>
        <v>3</v>
      </c>
      <c r="BF5" s="38">
        <f t="shared" si="0"/>
        <v>3</v>
      </c>
      <c r="BG5" s="39">
        <f t="shared" si="0"/>
        <v>3</v>
      </c>
      <c r="BH5" s="37">
        <f t="shared" si="0"/>
        <v>3</v>
      </c>
      <c r="BI5" s="38">
        <f t="shared" si="0"/>
        <v>3</v>
      </c>
      <c r="BJ5" s="38">
        <f t="shared" si="0"/>
        <v>3</v>
      </c>
      <c r="BK5" s="39">
        <f t="shared" si="0"/>
        <v>3</v>
      </c>
      <c r="BL5" s="37">
        <f t="shared" si="0"/>
        <v>3</v>
      </c>
      <c r="BM5" s="38">
        <f t="shared" si="0"/>
        <v>3</v>
      </c>
      <c r="BN5" s="38">
        <f t="shared" si="0"/>
        <v>3</v>
      </c>
      <c r="BO5" s="39">
        <f t="shared" si="0"/>
        <v>3</v>
      </c>
      <c r="BP5" s="37">
        <f t="shared" si="0"/>
        <v>2</v>
      </c>
      <c r="BQ5" s="38">
        <f t="shared" si="0"/>
        <v>2</v>
      </c>
      <c r="BR5" s="38">
        <f t="shared" si="0"/>
        <v>2</v>
      </c>
      <c r="BS5" s="39">
        <f t="shared" si="0"/>
        <v>2</v>
      </c>
      <c r="BT5" s="37">
        <f t="shared" si="0"/>
        <v>2</v>
      </c>
      <c r="BU5" s="38">
        <f t="shared" ref="BU5:CE5" si="1">SUM(BU6:BU45)</f>
        <v>2</v>
      </c>
      <c r="BV5" s="38">
        <f t="shared" si="1"/>
        <v>2</v>
      </c>
      <c r="BW5" s="39">
        <f t="shared" si="1"/>
        <v>2</v>
      </c>
      <c r="BX5" s="37">
        <f t="shared" si="1"/>
        <v>0</v>
      </c>
      <c r="BY5" s="38">
        <f t="shared" si="1"/>
        <v>0</v>
      </c>
      <c r="BZ5" s="38">
        <f t="shared" si="1"/>
        <v>0</v>
      </c>
      <c r="CA5" s="39">
        <f t="shared" si="1"/>
        <v>0</v>
      </c>
      <c r="CB5" s="37">
        <f t="shared" si="1"/>
        <v>0</v>
      </c>
      <c r="CC5" s="38">
        <f t="shared" si="1"/>
        <v>0</v>
      </c>
      <c r="CD5" s="38">
        <f t="shared" si="1"/>
        <v>0</v>
      </c>
      <c r="CE5" s="39">
        <f t="shared" si="1"/>
        <v>0</v>
      </c>
      <c r="CF5" s="174">
        <f>SUM(H5:CE5)</f>
        <v>167</v>
      </c>
      <c r="CG5" s="40"/>
      <c r="CH5" s="40"/>
      <c r="CI5" s="40"/>
    </row>
    <row r="6" spans="1:87" s="18" customFormat="1" ht="18" customHeight="1">
      <c r="A6" s="22">
        <f>+TABELLA!Y10</f>
        <v>8</v>
      </c>
      <c r="B6" s="22">
        <f>+TABELLA!Z10</f>
        <v>14</v>
      </c>
      <c r="C6" s="22">
        <f>+TABELLA!AA10</f>
        <v>0</v>
      </c>
      <c r="D6" s="22">
        <f>+TABELLA!AB10</f>
        <v>0</v>
      </c>
      <c r="E6" s="22"/>
      <c r="F6" s="26">
        <f>IF(TABELLA!B10="","",TABELLA!B10)</f>
        <v>12</v>
      </c>
      <c r="G6" s="27" t="str">
        <f>IF(TABELLA!C10="","",TABELLA!C10)</f>
        <v>RUSSO ANTONELLA</v>
      </c>
      <c r="H6" s="203" t="str">
        <f t="shared" ref="H6:W6" si="2">IF(AND(G$3&gt;=$A6,G$3&lt;$B6),1,IF(AND(G$3&gt;=$C6,G$3&lt;$D6),1,""))</f>
        <v/>
      </c>
      <c r="I6" s="203" t="str">
        <f t="shared" si="2"/>
        <v/>
      </c>
      <c r="J6" s="203" t="str">
        <f t="shared" si="2"/>
        <v/>
      </c>
      <c r="K6" s="204" t="str">
        <f t="shared" si="2"/>
        <v/>
      </c>
      <c r="L6" s="205" t="str">
        <f t="shared" si="2"/>
        <v/>
      </c>
      <c r="M6" s="203" t="str">
        <f t="shared" si="2"/>
        <v/>
      </c>
      <c r="N6" s="203" t="str">
        <f t="shared" si="2"/>
        <v/>
      </c>
      <c r="O6" s="204" t="str">
        <f t="shared" si="2"/>
        <v/>
      </c>
      <c r="P6" s="205" t="str">
        <f t="shared" si="2"/>
        <v/>
      </c>
      <c r="Q6" s="203" t="str">
        <f t="shared" si="2"/>
        <v/>
      </c>
      <c r="R6" s="203" t="str">
        <f t="shared" si="2"/>
        <v/>
      </c>
      <c r="S6" s="204" t="str">
        <f t="shared" si="2"/>
        <v/>
      </c>
      <c r="T6" s="205">
        <f t="shared" si="2"/>
        <v>1</v>
      </c>
      <c r="U6" s="203">
        <f t="shared" si="2"/>
        <v>1</v>
      </c>
      <c r="V6" s="203">
        <f t="shared" si="2"/>
        <v>1</v>
      </c>
      <c r="W6" s="204">
        <f t="shared" si="2"/>
        <v>1</v>
      </c>
      <c r="X6" s="205">
        <f t="shared" ref="X6:AM21" si="3">IF(AND(W$3&gt;=$A6,W$3&lt;$B6),1,IF(AND(W$3&gt;=$C6,W$3&lt;$D6),1,""))</f>
        <v>1</v>
      </c>
      <c r="Y6" s="203">
        <f t="shared" si="3"/>
        <v>1</v>
      </c>
      <c r="Z6" s="203">
        <f t="shared" si="3"/>
        <v>1</v>
      </c>
      <c r="AA6" s="204">
        <f t="shared" si="3"/>
        <v>1</v>
      </c>
      <c r="AB6" s="205">
        <f t="shared" si="3"/>
        <v>1</v>
      </c>
      <c r="AC6" s="203">
        <f t="shared" si="3"/>
        <v>1</v>
      </c>
      <c r="AD6" s="203">
        <f t="shared" si="3"/>
        <v>1</v>
      </c>
      <c r="AE6" s="204">
        <f t="shared" si="3"/>
        <v>1</v>
      </c>
      <c r="AF6" s="205">
        <f t="shared" si="3"/>
        <v>1</v>
      </c>
      <c r="AG6" s="203">
        <f t="shared" si="3"/>
        <v>1</v>
      </c>
      <c r="AH6" s="203">
        <f t="shared" si="3"/>
        <v>1</v>
      </c>
      <c r="AI6" s="204">
        <f t="shared" si="3"/>
        <v>1</v>
      </c>
      <c r="AJ6" s="205">
        <f t="shared" si="3"/>
        <v>1</v>
      </c>
      <c r="AK6" s="203">
        <f t="shared" si="3"/>
        <v>1</v>
      </c>
      <c r="AL6" s="203">
        <f t="shared" si="3"/>
        <v>1</v>
      </c>
      <c r="AM6" s="204">
        <f t="shared" si="3"/>
        <v>1</v>
      </c>
      <c r="AN6" s="205">
        <f t="shared" ref="AN6:BC21" si="4">IF(AND(AM$3&gt;=$A6,AM$3&lt;$B6),1,IF(AND(AM$3&gt;=$C6,AM$3&lt;$D6),1,""))</f>
        <v>1</v>
      </c>
      <c r="AO6" s="203">
        <f t="shared" si="4"/>
        <v>1</v>
      </c>
      <c r="AP6" s="203">
        <f t="shared" si="4"/>
        <v>1</v>
      </c>
      <c r="AQ6" s="204">
        <f t="shared" si="4"/>
        <v>1</v>
      </c>
      <c r="AR6" s="205" t="str">
        <f t="shared" si="4"/>
        <v/>
      </c>
      <c r="AS6" s="203" t="str">
        <f t="shared" si="4"/>
        <v/>
      </c>
      <c r="AT6" s="203" t="str">
        <f t="shared" si="4"/>
        <v/>
      </c>
      <c r="AU6" s="204" t="str">
        <f t="shared" si="4"/>
        <v/>
      </c>
      <c r="AV6" s="205" t="str">
        <f t="shared" si="4"/>
        <v/>
      </c>
      <c r="AW6" s="203" t="str">
        <f t="shared" si="4"/>
        <v/>
      </c>
      <c r="AX6" s="203" t="str">
        <f t="shared" si="4"/>
        <v/>
      </c>
      <c r="AY6" s="204" t="str">
        <f t="shared" si="4"/>
        <v/>
      </c>
      <c r="AZ6" s="205" t="str">
        <f t="shared" si="4"/>
        <v/>
      </c>
      <c r="BA6" s="203" t="str">
        <f t="shared" si="4"/>
        <v/>
      </c>
      <c r="BB6" s="203" t="str">
        <f t="shared" si="4"/>
        <v/>
      </c>
      <c r="BC6" s="204" t="str">
        <f t="shared" si="4"/>
        <v/>
      </c>
      <c r="BD6" s="205" t="str">
        <f t="shared" ref="BD6:BS20" si="5">IF(AND(BC$3&gt;=$A6,BC$3&lt;$B6),1,IF(AND(BC$3&gt;=$C6,BC$3&lt;$D6),1,""))</f>
        <v/>
      </c>
      <c r="BE6" s="203" t="str">
        <f t="shared" si="5"/>
        <v/>
      </c>
      <c r="BF6" s="203" t="str">
        <f t="shared" si="5"/>
        <v/>
      </c>
      <c r="BG6" s="204" t="str">
        <f t="shared" si="5"/>
        <v/>
      </c>
      <c r="BH6" s="205" t="str">
        <f t="shared" si="5"/>
        <v/>
      </c>
      <c r="BI6" s="203" t="str">
        <f t="shared" si="5"/>
        <v/>
      </c>
      <c r="BJ6" s="203" t="str">
        <f t="shared" si="5"/>
        <v/>
      </c>
      <c r="BK6" s="204" t="str">
        <f t="shared" si="5"/>
        <v/>
      </c>
      <c r="BL6" s="205" t="str">
        <f t="shared" si="5"/>
        <v/>
      </c>
      <c r="BM6" s="203" t="str">
        <f t="shared" si="5"/>
        <v/>
      </c>
      <c r="BN6" s="203" t="str">
        <f t="shared" si="5"/>
        <v/>
      </c>
      <c r="BO6" s="204" t="str">
        <f t="shared" si="5"/>
        <v/>
      </c>
      <c r="BP6" s="205" t="str">
        <f t="shared" si="5"/>
        <v/>
      </c>
      <c r="BQ6" s="203" t="str">
        <f t="shared" si="5"/>
        <v/>
      </c>
      <c r="BR6" s="203" t="str">
        <f t="shared" si="5"/>
        <v/>
      </c>
      <c r="BS6" s="204" t="str">
        <f t="shared" si="5"/>
        <v/>
      </c>
      <c r="BT6" s="205" t="str">
        <f t="shared" ref="BP6:CE21" si="6">IF(AND(BS$3&gt;=$A6,BS$3&lt;$B6),1,IF(AND(BS$3&gt;=$C6,BS$3&lt;$D6),1,""))</f>
        <v/>
      </c>
      <c r="BU6" s="203" t="str">
        <f t="shared" si="6"/>
        <v/>
      </c>
      <c r="BV6" s="203" t="str">
        <f t="shared" si="6"/>
        <v/>
      </c>
      <c r="BW6" s="204" t="str">
        <f t="shared" si="6"/>
        <v/>
      </c>
      <c r="BX6" s="205" t="str">
        <f t="shared" si="6"/>
        <v/>
      </c>
      <c r="BY6" s="203" t="str">
        <f t="shared" si="6"/>
        <v/>
      </c>
      <c r="BZ6" s="203" t="str">
        <f t="shared" si="6"/>
        <v/>
      </c>
      <c r="CA6" s="204" t="str">
        <f t="shared" si="6"/>
        <v/>
      </c>
      <c r="CB6" s="205" t="str">
        <f t="shared" si="6"/>
        <v/>
      </c>
      <c r="CC6" s="203" t="str">
        <f t="shared" si="6"/>
        <v/>
      </c>
      <c r="CD6" s="203" t="str">
        <f t="shared" si="6"/>
        <v/>
      </c>
      <c r="CE6" s="204" t="str">
        <f t="shared" si="6"/>
        <v/>
      </c>
      <c r="CF6" s="17"/>
      <c r="CG6" s="16"/>
      <c r="CH6" s="13"/>
      <c r="CI6" s="16"/>
    </row>
    <row r="7" spans="1:87" s="21" customFormat="1" ht="18" customHeight="1">
      <c r="A7" s="22">
        <f>+TABELLA!Y11</f>
        <v>0</v>
      </c>
      <c r="B7" s="22">
        <f>+TABELLA!Z11</f>
        <v>0</v>
      </c>
      <c r="C7" s="22">
        <f>+TABELLA!AA11</f>
        <v>0</v>
      </c>
      <c r="D7" s="22">
        <f>+TABELLA!AB11</f>
        <v>0</v>
      </c>
      <c r="E7" s="22"/>
      <c r="F7" s="41" t="str">
        <f>IF(TABELLA!B11="","",TABELLA!B11)</f>
        <v/>
      </c>
      <c r="G7" s="42" t="str">
        <f>IF(TABELLA!C11="","",TABELLA!C11)</f>
        <v/>
      </c>
      <c r="H7" s="206" t="str">
        <f t="shared" ref="H7:W7" si="7">IF(AND(G$3&gt;=$A7,G$3&lt;$B7),1,IF(AND(G$3&gt;=$C7,G$3&lt;$D7),1,""))</f>
        <v/>
      </c>
      <c r="I7" s="206" t="str">
        <f t="shared" si="7"/>
        <v/>
      </c>
      <c r="J7" s="206" t="str">
        <f t="shared" si="7"/>
        <v/>
      </c>
      <c r="K7" s="207" t="str">
        <f t="shared" si="7"/>
        <v/>
      </c>
      <c r="L7" s="208" t="str">
        <f t="shared" si="7"/>
        <v/>
      </c>
      <c r="M7" s="206" t="str">
        <f t="shared" si="7"/>
        <v/>
      </c>
      <c r="N7" s="206" t="str">
        <f t="shared" si="7"/>
        <v/>
      </c>
      <c r="O7" s="207" t="str">
        <f t="shared" si="7"/>
        <v/>
      </c>
      <c r="P7" s="208" t="str">
        <f t="shared" si="7"/>
        <v/>
      </c>
      <c r="Q7" s="206" t="str">
        <f t="shared" si="7"/>
        <v/>
      </c>
      <c r="R7" s="206" t="str">
        <f t="shared" si="7"/>
        <v/>
      </c>
      <c r="S7" s="207" t="str">
        <f t="shared" si="7"/>
        <v/>
      </c>
      <c r="T7" s="208" t="str">
        <f t="shared" si="7"/>
        <v/>
      </c>
      <c r="U7" s="206" t="str">
        <f t="shared" si="7"/>
        <v/>
      </c>
      <c r="V7" s="206" t="str">
        <f t="shared" si="7"/>
        <v/>
      </c>
      <c r="W7" s="207" t="str">
        <f t="shared" si="7"/>
        <v/>
      </c>
      <c r="X7" s="208" t="str">
        <f t="shared" si="3"/>
        <v/>
      </c>
      <c r="Y7" s="206" t="str">
        <f t="shared" si="3"/>
        <v/>
      </c>
      <c r="Z7" s="206" t="str">
        <f t="shared" si="3"/>
        <v/>
      </c>
      <c r="AA7" s="207" t="str">
        <f t="shared" si="3"/>
        <v/>
      </c>
      <c r="AB7" s="208" t="str">
        <f t="shared" si="3"/>
        <v/>
      </c>
      <c r="AC7" s="206" t="str">
        <f t="shared" si="3"/>
        <v/>
      </c>
      <c r="AD7" s="206" t="str">
        <f t="shared" si="3"/>
        <v/>
      </c>
      <c r="AE7" s="207" t="str">
        <f t="shared" si="3"/>
        <v/>
      </c>
      <c r="AF7" s="208" t="str">
        <f t="shared" si="3"/>
        <v/>
      </c>
      <c r="AG7" s="206" t="str">
        <f t="shared" si="3"/>
        <v/>
      </c>
      <c r="AH7" s="206" t="str">
        <f t="shared" si="3"/>
        <v/>
      </c>
      <c r="AI7" s="207" t="str">
        <f t="shared" si="3"/>
        <v/>
      </c>
      <c r="AJ7" s="208" t="str">
        <f t="shared" si="3"/>
        <v/>
      </c>
      <c r="AK7" s="206" t="str">
        <f t="shared" si="3"/>
        <v/>
      </c>
      <c r="AL7" s="206" t="str">
        <f t="shared" si="3"/>
        <v/>
      </c>
      <c r="AM7" s="207" t="str">
        <f t="shared" si="3"/>
        <v/>
      </c>
      <c r="AN7" s="208" t="str">
        <f t="shared" si="4"/>
        <v/>
      </c>
      <c r="AO7" s="206" t="str">
        <f t="shared" si="4"/>
        <v/>
      </c>
      <c r="AP7" s="206" t="str">
        <f t="shared" si="4"/>
        <v/>
      </c>
      <c r="AQ7" s="207" t="str">
        <f t="shared" si="4"/>
        <v/>
      </c>
      <c r="AR7" s="208" t="str">
        <f t="shared" si="4"/>
        <v/>
      </c>
      <c r="AS7" s="206" t="str">
        <f t="shared" si="4"/>
        <v/>
      </c>
      <c r="AT7" s="206" t="str">
        <f t="shared" si="4"/>
        <v/>
      </c>
      <c r="AU7" s="207" t="str">
        <f t="shared" si="4"/>
        <v/>
      </c>
      <c r="AV7" s="208" t="str">
        <f t="shared" si="4"/>
        <v/>
      </c>
      <c r="AW7" s="206" t="str">
        <f t="shared" si="4"/>
        <v/>
      </c>
      <c r="AX7" s="206" t="str">
        <f t="shared" si="4"/>
        <v/>
      </c>
      <c r="AY7" s="207" t="str">
        <f t="shared" si="4"/>
        <v/>
      </c>
      <c r="AZ7" s="208" t="str">
        <f t="shared" si="4"/>
        <v/>
      </c>
      <c r="BA7" s="206" t="str">
        <f t="shared" si="4"/>
        <v/>
      </c>
      <c r="BB7" s="206" t="str">
        <f t="shared" si="4"/>
        <v/>
      </c>
      <c r="BC7" s="207" t="str">
        <f t="shared" si="4"/>
        <v/>
      </c>
      <c r="BD7" s="208" t="str">
        <f t="shared" si="5"/>
        <v/>
      </c>
      <c r="BE7" s="206" t="str">
        <f t="shared" si="5"/>
        <v/>
      </c>
      <c r="BF7" s="206" t="str">
        <f t="shared" si="5"/>
        <v/>
      </c>
      <c r="BG7" s="207" t="str">
        <f t="shared" si="5"/>
        <v/>
      </c>
      <c r="BH7" s="208" t="str">
        <f t="shared" si="5"/>
        <v/>
      </c>
      <c r="BI7" s="206" t="str">
        <f t="shared" si="5"/>
        <v/>
      </c>
      <c r="BJ7" s="206" t="str">
        <f t="shared" si="5"/>
        <v/>
      </c>
      <c r="BK7" s="207" t="str">
        <f t="shared" si="5"/>
        <v/>
      </c>
      <c r="BL7" s="208" t="str">
        <f t="shared" si="5"/>
        <v/>
      </c>
      <c r="BM7" s="206" t="str">
        <f t="shared" si="5"/>
        <v/>
      </c>
      <c r="BN7" s="206" t="str">
        <f t="shared" si="5"/>
        <v/>
      </c>
      <c r="BO7" s="207" t="str">
        <f t="shared" si="5"/>
        <v/>
      </c>
      <c r="BP7" s="208" t="str">
        <f t="shared" si="6"/>
        <v/>
      </c>
      <c r="BQ7" s="206" t="str">
        <f t="shared" si="6"/>
        <v/>
      </c>
      <c r="BR7" s="206" t="str">
        <f t="shared" si="6"/>
        <v/>
      </c>
      <c r="BS7" s="207" t="str">
        <f t="shared" si="6"/>
        <v/>
      </c>
      <c r="BT7" s="208" t="str">
        <f t="shared" si="6"/>
        <v/>
      </c>
      <c r="BU7" s="206" t="str">
        <f t="shared" si="6"/>
        <v/>
      </c>
      <c r="BV7" s="206" t="str">
        <f t="shared" si="6"/>
        <v/>
      </c>
      <c r="BW7" s="207" t="str">
        <f t="shared" si="6"/>
        <v/>
      </c>
      <c r="BX7" s="208" t="str">
        <f t="shared" si="6"/>
        <v/>
      </c>
      <c r="BY7" s="206" t="str">
        <f t="shared" si="6"/>
        <v/>
      </c>
      <c r="BZ7" s="206" t="str">
        <f t="shared" si="6"/>
        <v/>
      </c>
      <c r="CA7" s="207" t="str">
        <f t="shared" si="6"/>
        <v/>
      </c>
      <c r="CB7" s="208" t="str">
        <f t="shared" si="6"/>
        <v/>
      </c>
      <c r="CC7" s="206" t="str">
        <f t="shared" si="6"/>
        <v/>
      </c>
      <c r="CD7" s="206" t="str">
        <f t="shared" si="6"/>
        <v/>
      </c>
      <c r="CE7" s="207" t="str">
        <f t="shared" si="6"/>
        <v/>
      </c>
      <c r="CF7" s="19"/>
      <c r="CG7" s="20"/>
      <c r="CH7" s="13"/>
      <c r="CI7" s="20"/>
    </row>
    <row r="8" spans="1:87" s="18" customFormat="1" ht="18" customHeight="1">
      <c r="A8" s="22">
        <f>+TABELLA!Y12</f>
        <v>0</v>
      </c>
      <c r="B8" s="22">
        <f>+TABELLA!Z12</f>
        <v>0</v>
      </c>
      <c r="C8" s="22">
        <f>+TABELLA!AA12</f>
        <v>0</v>
      </c>
      <c r="D8" s="22">
        <f>+TABELLA!AB12</f>
        <v>0</v>
      </c>
      <c r="E8" s="22"/>
      <c r="F8" s="26">
        <f>IF(TABELLA!B12="","",TABELLA!B12)</f>
        <v>10</v>
      </c>
      <c r="G8" s="27" t="str">
        <f>IF(TABELLA!C12="","",TABELLA!C12)</f>
        <v/>
      </c>
      <c r="H8" s="203" t="str">
        <f t="shared" ref="H8:W8" si="8">IF(AND(G$3&gt;=$A8,G$3&lt;$B8),1,IF(AND(G$3&gt;=$C8,G$3&lt;$D8),1,""))</f>
        <v/>
      </c>
      <c r="I8" s="203" t="str">
        <f t="shared" si="8"/>
        <v/>
      </c>
      <c r="J8" s="203" t="str">
        <f t="shared" si="8"/>
        <v/>
      </c>
      <c r="K8" s="204" t="str">
        <f t="shared" si="8"/>
        <v/>
      </c>
      <c r="L8" s="205" t="str">
        <f t="shared" si="8"/>
        <v/>
      </c>
      <c r="M8" s="203" t="str">
        <f t="shared" si="8"/>
        <v/>
      </c>
      <c r="N8" s="203" t="str">
        <f t="shared" si="8"/>
        <v/>
      </c>
      <c r="O8" s="204" t="str">
        <f t="shared" si="8"/>
        <v/>
      </c>
      <c r="P8" s="205" t="str">
        <f t="shared" si="8"/>
        <v/>
      </c>
      <c r="Q8" s="203" t="str">
        <f t="shared" si="8"/>
        <v/>
      </c>
      <c r="R8" s="203" t="str">
        <f t="shared" si="8"/>
        <v/>
      </c>
      <c r="S8" s="204" t="str">
        <f t="shared" si="8"/>
        <v/>
      </c>
      <c r="T8" s="205" t="str">
        <f t="shared" si="8"/>
        <v/>
      </c>
      <c r="U8" s="203" t="str">
        <f t="shared" si="8"/>
        <v/>
      </c>
      <c r="V8" s="203" t="str">
        <f t="shared" si="8"/>
        <v/>
      </c>
      <c r="W8" s="204" t="str">
        <f t="shared" si="8"/>
        <v/>
      </c>
      <c r="X8" s="205" t="str">
        <f t="shared" si="3"/>
        <v/>
      </c>
      <c r="Y8" s="203" t="str">
        <f t="shared" si="3"/>
        <v/>
      </c>
      <c r="Z8" s="203" t="str">
        <f t="shared" si="3"/>
        <v/>
      </c>
      <c r="AA8" s="204" t="str">
        <f t="shared" si="3"/>
        <v/>
      </c>
      <c r="AB8" s="205" t="str">
        <f t="shared" si="3"/>
        <v/>
      </c>
      <c r="AC8" s="203" t="str">
        <f t="shared" si="3"/>
        <v/>
      </c>
      <c r="AD8" s="203" t="str">
        <f t="shared" si="3"/>
        <v/>
      </c>
      <c r="AE8" s="204" t="str">
        <f t="shared" si="3"/>
        <v/>
      </c>
      <c r="AF8" s="205" t="str">
        <f t="shared" si="3"/>
        <v/>
      </c>
      <c r="AG8" s="203" t="str">
        <f t="shared" si="3"/>
        <v/>
      </c>
      <c r="AH8" s="203" t="str">
        <f t="shared" si="3"/>
        <v/>
      </c>
      <c r="AI8" s="204" t="str">
        <f t="shared" si="3"/>
        <v/>
      </c>
      <c r="AJ8" s="205" t="str">
        <f t="shared" si="3"/>
        <v/>
      </c>
      <c r="AK8" s="203" t="str">
        <f t="shared" si="3"/>
        <v/>
      </c>
      <c r="AL8" s="203" t="str">
        <f t="shared" si="3"/>
        <v/>
      </c>
      <c r="AM8" s="204" t="str">
        <f t="shared" si="3"/>
        <v/>
      </c>
      <c r="AN8" s="205" t="str">
        <f t="shared" si="4"/>
        <v/>
      </c>
      <c r="AO8" s="203" t="str">
        <f t="shared" si="4"/>
        <v/>
      </c>
      <c r="AP8" s="203" t="str">
        <f t="shared" si="4"/>
        <v/>
      </c>
      <c r="AQ8" s="204" t="str">
        <f t="shared" si="4"/>
        <v/>
      </c>
      <c r="AR8" s="205" t="str">
        <f t="shared" si="4"/>
        <v/>
      </c>
      <c r="AS8" s="203" t="str">
        <f t="shared" si="4"/>
        <v/>
      </c>
      <c r="AT8" s="203" t="str">
        <f t="shared" si="4"/>
        <v/>
      </c>
      <c r="AU8" s="204" t="str">
        <f t="shared" si="4"/>
        <v/>
      </c>
      <c r="AV8" s="205" t="str">
        <f t="shared" si="4"/>
        <v/>
      </c>
      <c r="AW8" s="203" t="str">
        <f t="shared" si="4"/>
        <v/>
      </c>
      <c r="AX8" s="203" t="str">
        <f t="shared" si="4"/>
        <v/>
      </c>
      <c r="AY8" s="204" t="str">
        <f t="shared" si="4"/>
        <v/>
      </c>
      <c r="AZ8" s="205" t="str">
        <f t="shared" si="4"/>
        <v/>
      </c>
      <c r="BA8" s="203" t="str">
        <f t="shared" si="4"/>
        <v/>
      </c>
      <c r="BB8" s="203" t="str">
        <f t="shared" si="4"/>
        <v/>
      </c>
      <c r="BC8" s="204" t="str">
        <f t="shared" si="4"/>
        <v/>
      </c>
      <c r="BD8" s="205" t="str">
        <f t="shared" si="5"/>
        <v/>
      </c>
      <c r="BE8" s="203" t="str">
        <f t="shared" si="5"/>
        <v/>
      </c>
      <c r="BF8" s="203" t="str">
        <f t="shared" si="5"/>
        <v/>
      </c>
      <c r="BG8" s="204" t="str">
        <f t="shared" si="5"/>
        <v/>
      </c>
      <c r="BH8" s="205" t="str">
        <f t="shared" si="5"/>
        <v/>
      </c>
      <c r="BI8" s="203" t="str">
        <f t="shared" si="5"/>
        <v/>
      </c>
      <c r="BJ8" s="203" t="str">
        <f t="shared" si="5"/>
        <v/>
      </c>
      <c r="BK8" s="204" t="str">
        <f t="shared" si="5"/>
        <v/>
      </c>
      <c r="BL8" s="205" t="str">
        <f t="shared" si="5"/>
        <v/>
      </c>
      <c r="BM8" s="203" t="str">
        <f t="shared" si="5"/>
        <v/>
      </c>
      <c r="BN8" s="203" t="str">
        <f t="shared" si="5"/>
        <v/>
      </c>
      <c r="BO8" s="204" t="str">
        <f t="shared" si="5"/>
        <v/>
      </c>
      <c r="BP8" s="205" t="str">
        <f t="shared" si="6"/>
        <v/>
      </c>
      <c r="BQ8" s="203" t="str">
        <f t="shared" si="6"/>
        <v/>
      </c>
      <c r="BR8" s="203" t="str">
        <f t="shared" si="6"/>
        <v/>
      </c>
      <c r="BS8" s="204" t="str">
        <f t="shared" si="6"/>
        <v/>
      </c>
      <c r="BT8" s="205" t="str">
        <f t="shared" si="6"/>
        <v/>
      </c>
      <c r="BU8" s="203" t="str">
        <f t="shared" si="6"/>
        <v/>
      </c>
      <c r="BV8" s="203" t="str">
        <f t="shared" si="6"/>
        <v/>
      </c>
      <c r="BW8" s="204" t="str">
        <f t="shared" si="6"/>
        <v/>
      </c>
      <c r="BX8" s="205" t="str">
        <f t="shared" si="6"/>
        <v/>
      </c>
      <c r="BY8" s="203" t="str">
        <f t="shared" si="6"/>
        <v/>
      </c>
      <c r="BZ8" s="203" t="str">
        <f t="shared" si="6"/>
        <v/>
      </c>
      <c r="CA8" s="204" t="str">
        <f t="shared" si="6"/>
        <v/>
      </c>
      <c r="CB8" s="205" t="str">
        <f t="shared" si="6"/>
        <v/>
      </c>
      <c r="CC8" s="203" t="str">
        <f t="shared" si="6"/>
        <v/>
      </c>
      <c r="CD8" s="203" t="str">
        <f t="shared" si="6"/>
        <v/>
      </c>
      <c r="CE8" s="204" t="str">
        <f t="shared" si="6"/>
        <v/>
      </c>
      <c r="CF8" s="17"/>
      <c r="CG8" s="16"/>
      <c r="CH8" s="16"/>
      <c r="CI8" s="16"/>
    </row>
    <row r="9" spans="1:87" ht="18" customHeight="1">
      <c r="A9" s="22">
        <f>+TABELLA!Y13</f>
        <v>9.3000000000000007</v>
      </c>
      <c r="B9" s="22">
        <f>+TABELLA!Z13</f>
        <v>13</v>
      </c>
      <c r="C9" s="22">
        <f>+TABELLA!AA13</f>
        <v>16.3</v>
      </c>
      <c r="D9" s="22">
        <f>+TABELLA!AB13</f>
        <v>20</v>
      </c>
      <c r="E9" s="22"/>
      <c r="F9" s="41">
        <f>IF(TABELLA!B13="","",TABELLA!B13)</f>
        <v>10</v>
      </c>
      <c r="G9" s="42" t="str">
        <f>IF(TABELLA!C13="","",TABELLA!C13)</f>
        <v>PIANTA LISA</v>
      </c>
      <c r="H9" s="206" t="str">
        <f t="shared" ref="H9:W9" si="9">IF(AND(G$3&gt;=$A9,G$3&lt;$B9),1,IF(AND(G$3&gt;=$C9,G$3&lt;$D9),1,""))</f>
        <v/>
      </c>
      <c r="I9" s="206" t="str">
        <f t="shared" si="9"/>
        <v/>
      </c>
      <c r="J9" s="206" t="str">
        <f t="shared" si="9"/>
        <v/>
      </c>
      <c r="K9" s="207" t="str">
        <f t="shared" si="9"/>
        <v/>
      </c>
      <c r="L9" s="208" t="str">
        <f t="shared" si="9"/>
        <v/>
      </c>
      <c r="M9" s="206" t="str">
        <f t="shared" si="9"/>
        <v/>
      </c>
      <c r="N9" s="206" t="str">
        <f t="shared" si="9"/>
        <v/>
      </c>
      <c r="O9" s="207" t="str">
        <f t="shared" si="9"/>
        <v/>
      </c>
      <c r="P9" s="208" t="str">
        <f t="shared" si="9"/>
        <v/>
      </c>
      <c r="Q9" s="206" t="str">
        <f t="shared" si="9"/>
        <v/>
      </c>
      <c r="R9" s="206" t="str">
        <f t="shared" si="9"/>
        <v/>
      </c>
      <c r="S9" s="207" t="str">
        <f t="shared" si="9"/>
        <v/>
      </c>
      <c r="T9" s="208" t="str">
        <f t="shared" si="9"/>
        <v/>
      </c>
      <c r="U9" s="206" t="str">
        <f t="shared" si="9"/>
        <v/>
      </c>
      <c r="V9" s="206" t="str">
        <f t="shared" si="9"/>
        <v/>
      </c>
      <c r="W9" s="207" t="str">
        <f t="shared" si="9"/>
        <v/>
      </c>
      <c r="X9" s="208" t="str">
        <f t="shared" si="3"/>
        <v/>
      </c>
      <c r="Y9" s="206" t="str">
        <f t="shared" si="3"/>
        <v/>
      </c>
      <c r="Z9" s="206">
        <f t="shared" si="3"/>
        <v>1</v>
      </c>
      <c r="AA9" s="207">
        <f t="shared" si="3"/>
        <v>1</v>
      </c>
      <c r="AB9" s="208">
        <f t="shared" si="3"/>
        <v>1</v>
      </c>
      <c r="AC9" s="206">
        <f t="shared" si="3"/>
        <v>1</v>
      </c>
      <c r="AD9" s="206">
        <f t="shared" si="3"/>
        <v>1</v>
      </c>
      <c r="AE9" s="207">
        <f t="shared" si="3"/>
        <v>1</v>
      </c>
      <c r="AF9" s="208">
        <f t="shared" si="3"/>
        <v>1</v>
      </c>
      <c r="AG9" s="206">
        <f t="shared" si="3"/>
        <v>1</v>
      </c>
      <c r="AH9" s="206">
        <f t="shared" si="3"/>
        <v>1</v>
      </c>
      <c r="AI9" s="207">
        <f t="shared" si="3"/>
        <v>1</v>
      </c>
      <c r="AJ9" s="208">
        <f t="shared" si="3"/>
        <v>1</v>
      </c>
      <c r="AK9" s="206">
        <f t="shared" si="3"/>
        <v>1</v>
      </c>
      <c r="AL9" s="206">
        <f t="shared" si="3"/>
        <v>1</v>
      </c>
      <c r="AM9" s="207">
        <f t="shared" si="3"/>
        <v>1</v>
      </c>
      <c r="AN9" s="208" t="str">
        <f t="shared" si="4"/>
        <v/>
      </c>
      <c r="AO9" s="206" t="str">
        <f t="shared" si="4"/>
        <v/>
      </c>
      <c r="AP9" s="206" t="str">
        <f t="shared" si="4"/>
        <v/>
      </c>
      <c r="AQ9" s="207" t="str">
        <f t="shared" si="4"/>
        <v/>
      </c>
      <c r="AR9" s="208" t="str">
        <f t="shared" si="4"/>
        <v/>
      </c>
      <c r="AS9" s="206" t="str">
        <f t="shared" si="4"/>
        <v/>
      </c>
      <c r="AT9" s="206" t="str">
        <f t="shared" si="4"/>
        <v/>
      </c>
      <c r="AU9" s="207" t="str">
        <f t="shared" si="4"/>
        <v/>
      </c>
      <c r="AV9" s="208" t="str">
        <f t="shared" si="4"/>
        <v/>
      </c>
      <c r="AW9" s="206" t="str">
        <f t="shared" si="4"/>
        <v/>
      </c>
      <c r="AX9" s="206" t="str">
        <f t="shared" si="4"/>
        <v/>
      </c>
      <c r="AY9" s="207" t="str">
        <f t="shared" si="4"/>
        <v/>
      </c>
      <c r="AZ9" s="208" t="str">
        <f t="shared" si="4"/>
        <v/>
      </c>
      <c r="BA9" s="206" t="str">
        <f t="shared" si="4"/>
        <v/>
      </c>
      <c r="BB9" s="206">
        <f t="shared" si="4"/>
        <v>1</v>
      </c>
      <c r="BC9" s="207">
        <f t="shared" si="4"/>
        <v>1</v>
      </c>
      <c r="BD9" s="208">
        <f t="shared" si="5"/>
        <v>1</v>
      </c>
      <c r="BE9" s="206">
        <f t="shared" si="5"/>
        <v>1</v>
      </c>
      <c r="BF9" s="206">
        <f t="shared" si="5"/>
        <v>1</v>
      </c>
      <c r="BG9" s="207">
        <f t="shared" si="5"/>
        <v>1</v>
      </c>
      <c r="BH9" s="208">
        <f t="shared" si="5"/>
        <v>1</v>
      </c>
      <c r="BI9" s="206">
        <f t="shared" si="5"/>
        <v>1</v>
      </c>
      <c r="BJ9" s="206">
        <f t="shared" si="5"/>
        <v>1</v>
      </c>
      <c r="BK9" s="207">
        <f t="shared" si="5"/>
        <v>1</v>
      </c>
      <c r="BL9" s="208">
        <f t="shared" si="5"/>
        <v>1</v>
      </c>
      <c r="BM9" s="206">
        <f t="shared" si="5"/>
        <v>1</v>
      </c>
      <c r="BN9" s="206">
        <f t="shared" si="5"/>
        <v>1</v>
      </c>
      <c r="BO9" s="207">
        <f t="shared" si="5"/>
        <v>1</v>
      </c>
      <c r="BP9" s="208" t="str">
        <f t="shared" si="6"/>
        <v/>
      </c>
      <c r="BQ9" s="206" t="str">
        <f t="shared" si="6"/>
        <v/>
      </c>
      <c r="BR9" s="206" t="str">
        <f t="shared" si="6"/>
        <v/>
      </c>
      <c r="BS9" s="207" t="str">
        <f t="shared" si="6"/>
        <v/>
      </c>
      <c r="BT9" s="208" t="str">
        <f t="shared" si="6"/>
        <v/>
      </c>
      <c r="BU9" s="206" t="str">
        <f t="shared" si="6"/>
        <v/>
      </c>
      <c r="BV9" s="206" t="str">
        <f t="shared" si="6"/>
        <v/>
      </c>
      <c r="BW9" s="207" t="str">
        <f t="shared" si="6"/>
        <v/>
      </c>
      <c r="BX9" s="208" t="str">
        <f t="shared" si="6"/>
        <v/>
      </c>
      <c r="BY9" s="206" t="str">
        <f t="shared" si="6"/>
        <v/>
      </c>
      <c r="BZ9" s="206" t="str">
        <f t="shared" si="6"/>
        <v/>
      </c>
      <c r="CA9" s="207" t="str">
        <f t="shared" si="6"/>
        <v/>
      </c>
      <c r="CB9" s="208" t="str">
        <f t="shared" si="6"/>
        <v/>
      </c>
      <c r="CC9" s="206" t="str">
        <f t="shared" si="6"/>
        <v/>
      </c>
      <c r="CD9" s="206" t="str">
        <f t="shared" si="6"/>
        <v/>
      </c>
      <c r="CE9" s="207" t="str">
        <f t="shared" si="6"/>
        <v/>
      </c>
    </row>
    <row r="10" spans="1:87" ht="18" customHeight="1">
      <c r="A10" s="22">
        <f>+TABELLA!Y14</f>
        <v>9</v>
      </c>
      <c r="B10" s="22">
        <f>+TABELLA!Z14</f>
        <v>14</v>
      </c>
      <c r="C10" s="22">
        <f>+TABELLA!AA14</f>
        <v>0</v>
      </c>
      <c r="D10" s="22">
        <f>+TABELLA!AB14</f>
        <v>0</v>
      </c>
      <c r="E10" s="22"/>
      <c r="F10" s="26">
        <f>IF(TABELLA!B14="","",TABELLA!B14)</f>
        <v>10</v>
      </c>
      <c r="G10" s="27" t="str">
        <f>IF(TABELLA!C14="","",TABELLA!C14)</f>
        <v>VELENCINA ELAINE</v>
      </c>
      <c r="H10" s="203" t="str">
        <f t="shared" ref="H10:W10" si="10">IF(AND(G$3&gt;=$A10,G$3&lt;$B10),1,IF(AND(G$3&gt;=$C10,G$3&lt;$D10),1,""))</f>
        <v/>
      </c>
      <c r="I10" s="203" t="str">
        <f t="shared" si="10"/>
        <v/>
      </c>
      <c r="J10" s="203" t="str">
        <f t="shared" si="10"/>
        <v/>
      </c>
      <c r="K10" s="204" t="str">
        <f t="shared" si="10"/>
        <v/>
      </c>
      <c r="L10" s="205" t="str">
        <f t="shared" si="10"/>
        <v/>
      </c>
      <c r="M10" s="203" t="str">
        <f t="shared" si="10"/>
        <v/>
      </c>
      <c r="N10" s="203" t="str">
        <f t="shared" si="10"/>
        <v/>
      </c>
      <c r="O10" s="204" t="str">
        <f t="shared" si="10"/>
        <v/>
      </c>
      <c r="P10" s="205" t="str">
        <f t="shared" si="10"/>
        <v/>
      </c>
      <c r="Q10" s="203" t="str">
        <f t="shared" si="10"/>
        <v/>
      </c>
      <c r="R10" s="203" t="str">
        <f t="shared" si="10"/>
        <v/>
      </c>
      <c r="S10" s="204" t="str">
        <f t="shared" si="10"/>
        <v/>
      </c>
      <c r="T10" s="205" t="str">
        <f t="shared" si="10"/>
        <v/>
      </c>
      <c r="U10" s="203" t="str">
        <f t="shared" si="10"/>
        <v/>
      </c>
      <c r="V10" s="203" t="str">
        <f t="shared" si="10"/>
        <v/>
      </c>
      <c r="W10" s="204" t="str">
        <f t="shared" si="10"/>
        <v/>
      </c>
      <c r="X10" s="205">
        <f t="shared" si="3"/>
        <v>1</v>
      </c>
      <c r="Y10" s="203">
        <f t="shared" si="3"/>
        <v>1</v>
      </c>
      <c r="Z10" s="203">
        <f t="shared" si="3"/>
        <v>1</v>
      </c>
      <c r="AA10" s="204">
        <f t="shared" si="3"/>
        <v>1</v>
      </c>
      <c r="AB10" s="205">
        <f t="shared" si="3"/>
        <v>1</v>
      </c>
      <c r="AC10" s="203">
        <f t="shared" si="3"/>
        <v>1</v>
      </c>
      <c r="AD10" s="203">
        <f t="shared" si="3"/>
        <v>1</v>
      </c>
      <c r="AE10" s="204">
        <f t="shared" si="3"/>
        <v>1</v>
      </c>
      <c r="AF10" s="205">
        <f t="shared" si="3"/>
        <v>1</v>
      </c>
      <c r="AG10" s="203">
        <f t="shared" si="3"/>
        <v>1</v>
      </c>
      <c r="AH10" s="203">
        <f t="shared" si="3"/>
        <v>1</v>
      </c>
      <c r="AI10" s="204">
        <f t="shared" si="3"/>
        <v>1</v>
      </c>
      <c r="AJ10" s="205">
        <f t="shared" si="3"/>
        <v>1</v>
      </c>
      <c r="AK10" s="203">
        <f t="shared" si="3"/>
        <v>1</v>
      </c>
      <c r="AL10" s="203">
        <f t="shared" si="3"/>
        <v>1</v>
      </c>
      <c r="AM10" s="204">
        <f t="shared" si="3"/>
        <v>1</v>
      </c>
      <c r="AN10" s="205">
        <f t="shared" si="4"/>
        <v>1</v>
      </c>
      <c r="AO10" s="203">
        <f t="shared" si="4"/>
        <v>1</v>
      </c>
      <c r="AP10" s="203">
        <f t="shared" si="4"/>
        <v>1</v>
      </c>
      <c r="AQ10" s="204">
        <f t="shared" si="4"/>
        <v>1</v>
      </c>
      <c r="AR10" s="205" t="str">
        <f t="shared" si="4"/>
        <v/>
      </c>
      <c r="AS10" s="203" t="str">
        <f t="shared" si="4"/>
        <v/>
      </c>
      <c r="AT10" s="203" t="str">
        <f t="shared" si="4"/>
        <v/>
      </c>
      <c r="AU10" s="204" t="str">
        <f t="shared" si="4"/>
        <v/>
      </c>
      <c r="AV10" s="205" t="str">
        <f t="shared" si="4"/>
        <v/>
      </c>
      <c r="AW10" s="203" t="str">
        <f t="shared" si="4"/>
        <v/>
      </c>
      <c r="AX10" s="203" t="str">
        <f t="shared" si="4"/>
        <v/>
      </c>
      <c r="AY10" s="204" t="str">
        <f t="shared" si="4"/>
        <v/>
      </c>
      <c r="AZ10" s="205" t="str">
        <f t="shared" si="4"/>
        <v/>
      </c>
      <c r="BA10" s="203" t="str">
        <f t="shared" si="4"/>
        <v/>
      </c>
      <c r="BB10" s="203" t="str">
        <f t="shared" si="4"/>
        <v/>
      </c>
      <c r="BC10" s="204" t="str">
        <f t="shared" si="4"/>
        <v/>
      </c>
      <c r="BD10" s="205" t="str">
        <f t="shared" si="5"/>
        <v/>
      </c>
      <c r="BE10" s="203" t="str">
        <f t="shared" si="5"/>
        <v/>
      </c>
      <c r="BF10" s="203" t="str">
        <f t="shared" si="5"/>
        <v/>
      </c>
      <c r="BG10" s="204" t="str">
        <f t="shared" si="5"/>
        <v/>
      </c>
      <c r="BH10" s="205" t="str">
        <f t="shared" si="5"/>
        <v/>
      </c>
      <c r="BI10" s="203" t="str">
        <f t="shared" si="5"/>
        <v/>
      </c>
      <c r="BJ10" s="203" t="str">
        <f t="shared" si="5"/>
        <v/>
      </c>
      <c r="BK10" s="204" t="str">
        <f t="shared" si="5"/>
        <v/>
      </c>
      <c r="BL10" s="205" t="str">
        <f t="shared" si="5"/>
        <v/>
      </c>
      <c r="BM10" s="203" t="str">
        <f t="shared" si="5"/>
        <v/>
      </c>
      <c r="BN10" s="203" t="str">
        <f t="shared" si="5"/>
        <v/>
      </c>
      <c r="BO10" s="204" t="str">
        <f t="shared" si="5"/>
        <v/>
      </c>
      <c r="BP10" s="205" t="str">
        <f t="shared" si="6"/>
        <v/>
      </c>
      <c r="BQ10" s="203" t="str">
        <f t="shared" si="6"/>
        <v/>
      </c>
      <c r="BR10" s="203" t="str">
        <f t="shared" si="6"/>
        <v/>
      </c>
      <c r="BS10" s="204" t="str">
        <f t="shared" si="6"/>
        <v/>
      </c>
      <c r="BT10" s="205" t="str">
        <f t="shared" si="6"/>
        <v/>
      </c>
      <c r="BU10" s="203" t="str">
        <f t="shared" si="6"/>
        <v/>
      </c>
      <c r="BV10" s="203" t="str">
        <f t="shared" si="6"/>
        <v/>
      </c>
      <c r="BW10" s="204" t="str">
        <f t="shared" si="6"/>
        <v/>
      </c>
      <c r="BX10" s="205" t="str">
        <f t="shared" si="6"/>
        <v/>
      </c>
      <c r="BY10" s="203" t="str">
        <f t="shared" si="6"/>
        <v/>
      </c>
      <c r="BZ10" s="203" t="str">
        <f t="shared" si="6"/>
        <v/>
      </c>
      <c r="CA10" s="204" t="str">
        <f t="shared" si="6"/>
        <v/>
      </c>
      <c r="CB10" s="205" t="str">
        <f t="shared" si="6"/>
        <v/>
      </c>
      <c r="CC10" s="203" t="str">
        <f t="shared" si="6"/>
        <v/>
      </c>
      <c r="CD10" s="203" t="str">
        <f t="shared" si="6"/>
        <v/>
      </c>
      <c r="CE10" s="204" t="str">
        <f t="shared" si="6"/>
        <v/>
      </c>
    </row>
    <row r="11" spans="1:87" ht="18" customHeight="1">
      <c r="A11" s="22">
        <f>+TABELLA!Y15</f>
        <v>0</v>
      </c>
      <c r="B11" s="22">
        <f>+TABELLA!Z15</f>
        <v>0</v>
      </c>
      <c r="C11" s="22">
        <f>+TABELLA!AA15</f>
        <v>0</v>
      </c>
      <c r="D11" s="22">
        <f>+TABELLA!AB15</f>
        <v>0</v>
      </c>
      <c r="E11" s="22"/>
      <c r="F11" s="41">
        <f>IF(TABELLA!B15="","",TABELLA!B15)</f>
        <v>10</v>
      </c>
      <c r="G11" s="42" t="str">
        <f>IF(TABELLA!C15="","",TABELLA!C15)</f>
        <v/>
      </c>
      <c r="H11" s="206" t="str">
        <f t="shared" ref="H11:W11" si="11">IF(AND(G$3&gt;=$A11,G$3&lt;$B11),1,IF(AND(G$3&gt;=$C11,G$3&lt;$D11),1,""))</f>
        <v/>
      </c>
      <c r="I11" s="206" t="str">
        <f t="shared" si="11"/>
        <v/>
      </c>
      <c r="J11" s="206" t="str">
        <f t="shared" si="11"/>
        <v/>
      </c>
      <c r="K11" s="207" t="str">
        <f t="shared" si="11"/>
        <v/>
      </c>
      <c r="L11" s="208" t="str">
        <f t="shared" si="11"/>
        <v/>
      </c>
      <c r="M11" s="206" t="str">
        <f t="shared" si="11"/>
        <v/>
      </c>
      <c r="N11" s="206" t="str">
        <f t="shared" si="11"/>
        <v/>
      </c>
      <c r="O11" s="207" t="str">
        <f t="shared" si="11"/>
        <v/>
      </c>
      <c r="P11" s="208" t="str">
        <f t="shared" si="11"/>
        <v/>
      </c>
      <c r="Q11" s="206" t="str">
        <f t="shared" si="11"/>
        <v/>
      </c>
      <c r="R11" s="206" t="str">
        <f t="shared" si="11"/>
        <v/>
      </c>
      <c r="S11" s="207" t="str">
        <f t="shared" si="11"/>
        <v/>
      </c>
      <c r="T11" s="208" t="str">
        <f t="shared" si="11"/>
        <v/>
      </c>
      <c r="U11" s="206" t="str">
        <f t="shared" si="11"/>
        <v/>
      </c>
      <c r="V11" s="206" t="str">
        <f t="shared" si="11"/>
        <v/>
      </c>
      <c r="W11" s="207" t="str">
        <f t="shared" si="11"/>
        <v/>
      </c>
      <c r="X11" s="208" t="str">
        <f t="shared" si="3"/>
        <v/>
      </c>
      <c r="Y11" s="206" t="str">
        <f t="shared" si="3"/>
        <v/>
      </c>
      <c r="Z11" s="206" t="str">
        <f t="shared" si="3"/>
        <v/>
      </c>
      <c r="AA11" s="207" t="str">
        <f t="shared" si="3"/>
        <v/>
      </c>
      <c r="AB11" s="208" t="str">
        <f t="shared" si="3"/>
        <v/>
      </c>
      <c r="AC11" s="206" t="str">
        <f t="shared" si="3"/>
        <v/>
      </c>
      <c r="AD11" s="206" t="str">
        <f t="shared" si="3"/>
        <v/>
      </c>
      <c r="AE11" s="207" t="str">
        <f t="shared" si="3"/>
        <v/>
      </c>
      <c r="AF11" s="208" t="str">
        <f t="shared" si="3"/>
        <v/>
      </c>
      <c r="AG11" s="206" t="str">
        <f t="shared" si="3"/>
        <v/>
      </c>
      <c r="AH11" s="206" t="str">
        <f t="shared" si="3"/>
        <v/>
      </c>
      <c r="AI11" s="207" t="str">
        <f t="shared" si="3"/>
        <v/>
      </c>
      <c r="AJ11" s="208" t="str">
        <f t="shared" si="3"/>
        <v/>
      </c>
      <c r="AK11" s="206" t="str">
        <f t="shared" si="3"/>
        <v/>
      </c>
      <c r="AL11" s="206" t="str">
        <f t="shared" si="3"/>
        <v/>
      </c>
      <c r="AM11" s="207" t="str">
        <f t="shared" si="3"/>
        <v/>
      </c>
      <c r="AN11" s="208" t="str">
        <f t="shared" si="4"/>
        <v/>
      </c>
      <c r="AO11" s="206" t="str">
        <f t="shared" si="4"/>
        <v/>
      </c>
      <c r="AP11" s="206" t="str">
        <f t="shared" si="4"/>
        <v/>
      </c>
      <c r="AQ11" s="207" t="str">
        <f t="shared" si="4"/>
        <v/>
      </c>
      <c r="AR11" s="208" t="str">
        <f t="shared" si="4"/>
        <v/>
      </c>
      <c r="AS11" s="206" t="str">
        <f t="shared" si="4"/>
        <v/>
      </c>
      <c r="AT11" s="206" t="str">
        <f t="shared" si="4"/>
        <v/>
      </c>
      <c r="AU11" s="207" t="str">
        <f t="shared" si="4"/>
        <v/>
      </c>
      <c r="AV11" s="208" t="str">
        <f t="shared" si="4"/>
        <v/>
      </c>
      <c r="AW11" s="206" t="str">
        <f t="shared" si="4"/>
        <v/>
      </c>
      <c r="AX11" s="206" t="str">
        <f t="shared" si="4"/>
        <v/>
      </c>
      <c r="AY11" s="207" t="str">
        <f t="shared" si="4"/>
        <v/>
      </c>
      <c r="AZ11" s="208" t="str">
        <f t="shared" si="4"/>
        <v/>
      </c>
      <c r="BA11" s="206" t="str">
        <f t="shared" si="4"/>
        <v/>
      </c>
      <c r="BB11" s="206" t="str">
        <f t="shared" si="4"/>
        <v/>
      </c>
      <c r="BC11" s="207" t="str">
        <f t="shared" si="4"/>
        <v/>
      </c>
      <c r="BD11" s="208" t="str">
        <f t="shared" si="5"/>
        <v/>
      </c>
      <c r="BE11" s="206" t="str">
        <f t="shared" si="5"/>
        <v/>
      </c>
      <c r="BF11" s="206" t="str">
        <f t="shared" si="5"/>
        <v/>
      </c>
      <c r="BG11" s="207" t="str">
        <f t="shared" si="5"/>
        <v/>
      </c>
      <c r="BH11" s="208" t="str">
        <f t="shared" si="5"/>
        <v/>
      </c>
      <c r="BI11" s="206" t="str">
        <f t="shared" si="5"/>
        <v/>
      </c>
      <c r="BJ11" s="206" t="str">
        <f t="shared" si="5"/>
        <v/>
      </c>
      <c r="BK11" s="207" t="str">
        <f t="shared" si="5"/>
        <v/>
      </c>
      <c r="BL11" s="208" t="str">
        <f t="shared" si="5"/>
        <v/>
      </c>
      <c r="BM11" s="206" t="str">
        <f t="shared" si="5"/>
        <v/>
      </c>
      <c r="BN11" s="206" t="str">
        <f t="shared" si="5"/>
        <v/>
      </c>
      <c r="BO11" s="207" t="str">
        <f t="shared" si="5"/>
        <v/>
      </c>
      <c r="BP11" s="208" t="str">
        <f t="shared" si="6"/>
        <v/>
      </c>
      <c r="BQ11" s="206" t="str">
        <f t="shared" si="6"/>
        <v/>
      </c>
      <c r="BR11" s="206" t="str">
        <f t="shared" si="6"/>
        <v/>
      </c>
      <c r="BS11" s="207" t="str">
        <f t="shared" si="6"/>
        <v/>
      </c>
      <c r="BT11" s="208" t="str">
        <f t="shared" si="6"/>
        <v/>
      </c>
      <c r="BU11" s="206" t="str">
        <f t="shared" si="6"/>
        <v/>
      </c>
      <c r="BV11" s="206" t="str">
        <f t="shared" si="6"/>
        <v/>
      </c>
      <c r="BW11" s="207" t="str">
        <f t="shared" si="6"/>
        <v/>
      </c>
      <c r="BX11" s="208" t="str">
        <f t="shared" si="6"/>
        <v/>
      </c>
      <c r="BY11" s="206" t="str">
        <f t="shared" si="6"/>
        <v/>
      </c>
      <c r="BZ11" s="206" t="str">
        <f t="shared" si="6"/>
        <v/>
      </c>
      <c r="CA11" s="207" t="str">
        <f t="shared" si="6"/>
        <v/>
      </c>
      <c r="CB11" s="208" t="str">
        <f t="shared" si="6"/>
        <v/>
      </c>
      <c r="CC11" s="206" t="str">
        <f t="shared" si="6"/>
        <v/>
      </c>
      <c r="CD11" s="206" t="str">
        <f t="shared" si="6"/>
        <v/>
      </c>
      <c r="CE11" s="207" t="str">
        <f t="shared" si="6"/>
        <v/>
      </c>
    </row>
    <row r="12" spans="1:87" ht="18" customHeight="1">
      <c r="A12" s="22">
        <f>+TABELLA!Y16</f>
        <v>0</v>
      </c>
      <c r="B12" s="22">
        <f>+TABELLA!Z16</f>
        <v>0</v>
      </c>
      <c r="C12" s="22">
        <f>+TABELLA!AA16</f>
        <v>16.149999999999999</v>
      </c>
      <c r="D12" s="22">
        <f>+TABELLA!AB16</f>
        <v>22</v>
      </c>
      <c r="E12" s="22"/>
      <c r="F12" s="26">
        <f>IF(TABELLA!B16="","",TABELLA!B16)</f>
        <v>10</v>
      </c>
      <c r="G12" s="27" t="str">
        <f>IF(TABELLA!C16="","",TABELLA!C16)</f>
        <v>ALAM ARA</v>
      </c>
      <c r="H12" s="203" t="str">
        <f t="shared" ref="H12:W12" si="12">IF(AND(G$3&gt;=$A12,G$3&lt;$B12),1,IF(AND(G$3&gt;=$C12,G$3&lt;$D12),1,""))</f>
        <v/>
      </c>
      <c r="I12" s="203" t="str">
        <f t="shared" si="12"/>
        <v/>
      </c>
      <c r="J12" s="203" t="str">
        <f t="shared" si="12"/>
        <v/>
      </c>
      <c r="K12" s="204" t="str">
        <f t="shared" si="12"/>
        <v/>
      </c>
      <c r="L12" s="205" t="str">
        <f t="shared" si="12"/>
        <v/>
      </c>
      <c r="M12" s="203" t="str">
        <f t="shared" si="12"/>
        <v/>
      </c>
      <c r="N12" s="203" t="str">
        <f t="shared" si="12"/>
        <v/>
      </c>
      <c r="O12" s="204" t="str">
        <f t="shared" si="12"/>
        <v/>
      </c>
      <c r="P12" s="205" t="str">
        <f t="shared" si="12"/>
        <v/>
      </c>
      <c r="Q12" s="203" t="str">
        <f t="shared" si="12"/>
        <v/>
      </c>
      <c r="R12" s="203" t="str">
        <f t="shared" si="12"/>
        <v/>
      </c>
      <c r="S12" s="204" t="str">
        <f t="shared" si="12"/>
        <v/>
      </c>
      <c r="T12" s="205" t="str">
        <f t="shared" si="12"/>
        <v/>
      </c>
      <c r="U12" s="203" t="str">
        <f t="shared" si="12"/>
        <v/>
      </c>
      <c r="V12" s="203" t="str">
        <f t="shared" si="12"/>
        <v/>
      </c>
      <c r="W12" s="204" t="str">
        <f t="shared" si="12"/>
        <v/>
      </c>
      <c r="X12" s="205" t="str">
        <f t="shared" si="3"/>
        <v/>
      </c>
      <c r="Y12" s="203" t="str">
        <f t="shared" si="3"/>
        <v/>
      </c>
      <c r="Z12" s="203" t="str">
        <f t="shared" si="3"/>
        <v/>
      </c>
      <c r="AA12" s="204" t="str">
        <f t="shared" si="3"/>
        <v/>
      </c>
      <c r="AB12" s="205" t="str">
        <f t="shared" si="3"/>
        <v/>
      </c>
      <c r="AC12" s="203" t="str">
        <f t="shared" si="3"/>
        <v/>
      </c>
      <c r="AD12" s="203" t="str">
        <f t="shared" si="3"/>
        <v/>
      </c>
      <c r="AE12" s="204" t="str">
        <f t="shared" si="3"/>
        <v/>
      </c>
      <c r="AF12" s="205" t="str">
        <f t="shared" si="3"/>
        <v/>
      </c>
      <c r="AG12" s="203" t="str">
        <f t="shared" si="3"/>
        <v/>
      </c>
      <c r="AH12" s="203" t="str">
        <f t="shared" si="3"/>
        <v/>
      </c>
      <c r="AI12" s="204" t="str">
        <f t="shared" si="3"/>
        <v/>
      </c>
      <c r="AJ12" s="205" t="str">
        <f t="shared" si="3"/>
        <v/>
      </c>
      <c r="AK12" s="203" t="str">
        <f t="shared" si="3"/>
        <v/>
      </c>
      <c r="AL12" s="203" t="str">
        <f t="shared" si="3"/>
        <v/>
      </c>
      <c r="AM12" s="204" t="str">
        <f t="shared" si="3"/>
        <v/>
      </c>
      <c r="AN12" s="205" t="str">
        <f t="shared" si="4"/>
        <v/>
      </c>
      <c r="AO12" s="203" t="str">
        <f t="shared" si="4"/>
        <v/>
      </c>
      <c r="AP12" s="203" t="str">
        <f t="shared" si="4"/>
        <v/>
      </c>
      <c r="AQ12" s="204" t="str">
        <f t="shared" si="4"/>
        <v/>
      </c>
      <c r="AR12" s="205" t="str">
        <f t="shared" si="4"/>
        <v/>
      </c>
      <c r="AS12" s="203" t="str">
        <f t="shared" si="4"/>
        <v/>
      </c>
      <c r="AT12" s="203" t="str">
        <f t="shared" si="4"/>
        <v/>
      </c>
      <c r="AU12" s="204" t="str">
        <f t="shared" si="4"/>
        <v/>
      </c>
      <c r="AV12" s="205" t="str">
        <f t="shared" si="4"/>
        <v/>
      </c>
      <c r="AW12" s="203" t="str">
        <f t="shared" si="4"/>
        <v/>
      </c>
      <c r="AX12" s="203" t="str">
        <f t="shared" si="4"/>
        <v/>
      </c>
      <c r="AY12" s="204" t="str">
        <f t="shared" si="4"/>
        <v/>
      </c>
      <c r="AZ12" s="205" t="str">
        <f t="shared" si="4"/>
        <v/>
      </c>
      <c r="BA12" s="203">
        <f t="shared" si="4"/>
        <v>1</v>
      </c>
      <c r="BB12" s="203">
        <f t="shared" si="4"/>
        <v>1</v>
      </c>
      <c r="BC12" s="204">
        <f t="shared" si="4"/>
        <v>1</v>
      </c>
      <c r="BD12" s="205">
        <f t="shared" si="5"/>
        <v>1</v>
      </c>
      <c r="BE12" s="203">
        <f t="shared" si="5"/>
        <v>1</v>
      </c>
      <c r="BF12" s="203">
        <f t="shared" si="5"/>
        <v>1</v>
      </c>
      <c r="BG12" s="204">
        <f t="shared" si="5"/>
        <v>1</v>
      </c>
      <c r="BH12" s="205">
        <f t="shared" si="5"/>
        <v>1</v>
      </c>
      <c r="BI12" s="203">
        <f t="shared" si="5"/>
        <v>1</v>
      </c>
      <c r="BJ12" s="203">
        <f t="shared" si="5"/>
        <v>1</v>
      </c>
      <c r="BK12" s="204">
        <f t="shared" si="5"/>
        <v>1</v>
      </c>
      <c r="BL12" s="205">
        <f t="shared" si="5"/>
        <v>1</v>
      </c>
      <c r="BM12" s="203">
        <f t="shared" si="5"/>
        <v>1</v>
      </c>
      <c r="BN12" s="203">
        <f t="shared" si="5"/>
        <v>1</v>
      </c>
      <c r="BO12" s="204">
        <f t="shared" si="5"/>
        <v>1</v>
      </c>
      <c r="BP12" s="205">
        <f t="shared" si="6"/>
        <v>1</v>
      </c>
      <c r="BQ12" s="203">
        <f t="shared" si="6"/>
        <v>1</v>
      </c>
      <c r="BR12" s="203">
        <f t="shared" si="6"/>
        <v>1</v>
      </c>
      <c r="BS12" s="204">
        <f t="shared" si="6"/>
        <v>1</v>
      </c>
      <c r="BT12" s="205">
        <f t="shared" si="6"/>
        <v>1</v>
      </c>
      <c r="BU12" s="203">
        <f t="shared" si="6"/>
        <v>1</v>
      </c>
      <c r="BV12" s="203">
        <f t="shared" si="6"/>
        <v>1</v>
      </c>
      <c r="BW12" s="204">
        <f t="shared" si="6"/>
        <v>1</v>
      </c>
      <c r="BX12" s="205" t="str">
        <f t="shared" si="6"/>
        <v/>
      </c>
      <c r="BY12" s="203" t="str">
        <f t="shared" si="6"/>
        <v/>
      </c>
      <c r="BZ12" s="203" t="str">
        <f t="shared" si="6"/>
        <v/>
      </c>
      <c r="CA12" s="204" t="str">
        <f t="shared" si="6"/>
        <v/>
      </c>
      <c r="CB12" s="205" t="str">
        <f t="shared" si="6"/>
        <v/>
      </c>
      <c r="CC12" s="203" t="str">
        <f t="shared" si="6"/>
        <v/>
      </c>
      <c r="CD12" s="203" t="str">
        <f t="shared" si="6"/>
        <v/>
      </c>
      <c r="CE12" s="204" t="str">
        <f t="shared" si="6"/>
        <v/>
      </c>
    </row>
    <row r="13" spans="1:87" ht="18" customHeight="1">
      <c r="A13" s="22">
        <f>+TABELLA!Y17</f>
        <v>0</v>
      </c>
      <c r="B13" s="22">
        <f>+TABELLA!Z17</f>
        <v>0</v>
      </c>
      <c r="C13" s="22">
        <f>+TABELLA!AA17</f>
        <v>17</v>
      </c>
      <c r="D13" s="22">
        <f>+TABELLA!AB17</f>
        <v>22</v>
      </c>
      <c r="E13" s="22"/>
      <c r="F13" s="41">
        <f>IF(TABELLA!B17="","",TABELLA!B17)</f>
        <v>10</v>
      </c>
      <c r="G13" s="42" t="str">
        <f>IF(TABELLA!C17="","",TABELLA!C17)</f>
        <v>BONATO ANGELO</v>
      </c>
      <c r="H13" s="206" t="str">
        <f t="shared" ref="H13:W13" si="13">IF(AND(G$3&gt;=$A13,G$3&lt;$B13),1,IF(AND(G$3&gt;=$C13,G$3&lt;$D13),1,""))</f>
        <v/>
      </c>
      <c r="I13" s="206" t="str">
        <f t="shared" si="13"/>
        <v/>
      </c>
      <c r="J13" s="206" t="str">
        <f t="shared" si="13"/>
        <v/>
      </c>
      <c r="K13" s="207" t="str">
        <f t="shared" si="13"/>
        <v/>
      </c>
      <c r="L13" s="208" t="str">
        <f t="shared" si="13"/>
        <v/>
      </c>
      <c r="M13" s="206" t="str">
        <f t="shared" si="13"/>
        <v/>
      </c>
      <c r="N13" s="206" t="str">
        <f t="shared" si="13"/>
        <v/>
      </c>
      <c r="O13" s="207" t="str">
        <f t="shared" si="13"/>
        <v/>
      </c>
      <c r="P13" s="208" t="str">
        <f t="shared" si="13"/>
        <v/>
      </c>
      <c r="Q13" s="206" t="str">
        <f t="shared" si="13"/>
        <v/>
      </c>
      <c r="R13" s="206" t="str">
        <f t="shared" si="13"/>
        <v/>
      </c>
      <c r="S13" s="207" t="str">
        <f t="shared" si="13"/>
        <v/>
      </c>
      <c r="T13" s="208" t="str">
        <f t="shared" si="13"/>
        <v/>
      </c>
      <c r="U13" s="206" t="str">
        <f t="shared" si="13"/>
        <v/>
      </c>
      <c r="V13" s="206" t="str">
        <f t="shared" si="13"/>
        <v/>
      </c>
      <c r="W13" s="207" t="str">
        <f t="shared" si="13"/>
        <v/>
      </c>
      <c r="X13" s="208" t="str">
        <f t="shared" si="3"/>
        <v/>
      </c>
      <c r="Y13" s="206" t="str">
        <f t="shared" si="3"/>
        <v/>
      </c>
      <c r="Z13" s="206" t="str">
        <f t="shared" si="3"/>
        <v/>
      </c>
      <c r="AA13" s="207" t="str">
        <f t="shared" si="3"/>
        <v/>
      </c>
      <c r="AB13" s="208" t="str">
        <f t="shared" si="3"/>
        <v/>
      </c>
      <c r="AC13" s="206" t="str">
        <f t="shared" si="3"/>
        <v/>
      </c>
      <c r="AD13" s="206" t="str">
        <f t="shared" si="3"/>
        <v/>
      </c>
      <c r="AE13" s="207" t="str">
        <f t="shared" si="3"/>
        <v/>
      </c>
      <c r="AF13" s="208" t="str">
        <f t="shared" si="3"/>
        <v/>
      </c>
      <c r="AG13" s="206" t="str">
        <f t="shared" si="3"/>
        <v/>
      </c>
      <c r="AH13" s="206" t="str">
        <f t="shared" si="3"/>
        <v/>
      </c>
      <c r="AI13" s="207" t="str">
        <f t="shared" si="3"/>
        <v/>
      </c>
      <c r="AJ13" s="208" t="str">
        <f t="shared" si="3"/>
        <v/>
      </c>
      <c r="AK13" s="206" t="str">
        <f t="shared" si="3"/>
        <v/>
      </c>
      <c r="AL13" s="206" t="str">
        <f t="shared" si="3"/>
        <v/>
      </c>
      <c r="AM13" s="207" t="str">
        <f t="shared" si="3"/>
        <v/>
      </c>
      <c r="AN13" s="208" t="str">
        <f t="shared" si="4"/>
        <v/>
      </c>
      <c r="AO13" s="206" t="str">
        <f t="shared" si="4"/>
        <v/>
      </c>
      <c r="AP13" s="206" t="str">
        <f t="shared" si="4"/>
        <v/>
      </c>
      <c r="AQ13" s="207" t="str">
        <f t="shared" si="4"/>
        <v/>
      </c>
      <c r="AR13" s="208" t="str">
        <f t="shared" si="4"/>
        <v/>
      </c>
      <c r="AS13" s="206" t="str">
        <f t="shared" si="4"/>
        <v/>
      </c>
      <c r="AT13" s="206" t="str">
        <f t="shared" si="4"/>
        <v/>
      </c>
      <c r="AU13" s="207" t="str">
        <f t="shared" si="4"/>
        <v/>
      </c>
      <c r="AV13" s="208" t="str">
        <f t="shared" si="4"/>
        <v/>
      </c>
      <c r="AW13" s="206" t="str">
        <f t="shared" si="4"/>
        <v/>
      </c>
      <c r="AX13" s="206" t="str">
        <f t="shared" si="4"/>
        <v/>
      </c>
      <c r="AY13" s="207" t="str">
        <f t="shared" si="4"/>
        <v/>
      </c>
      <c r="AZ13" s="208" t="str">
        <f t="shared" si="4"/>
        <v/>
      </c>
      <c r="BA13" s="206" t="str">
        <f t="shared" si="4"/>
        <v/>
      </c>
      <c r="BB13" s="206" t="str">
        <f t="shared" si="4"/>
        <v/>
      </c>
      <c r="BC13" s="207" t="str">
        <f t="shared" si="4"/>
        <v/>
      </c>
      <c r="BD13" s="208">
        <f t="shared" si="5"/>
        <v>1</v>
      </c>
      <c r="BE13" s="206">
        <f t="shared" si="5"/>
        <v>1</v>
      </c>
      <c r="BF13" s="206">
        <f t="shared" si="5"/>
        <v>1</v>
      </c>
      <c r="BG13" s="207">
        <f t="shared" si="5"/>
        <v>1</v>
      </c>
      <c r="BH13" s="208">
        <f t="shared" si="5"/>
        <v>1</v>
      </c>
      <c r="BI13" s="206">
        <f t="shared" si="5"/>
        <v>1</v>
      </c>
      <c r="BJ13" s="206">
        <f t="shared" si="5"/>
        <v>1</v>
      </c>
      <c r="BK13" s="207">
        <f t="shared" si="5"/>
        <v>1</v>
      </c>
      <c r="BL13" s="208">
        <f t="shared" si="5"/>
        <v>1</v>
      </c>
      <c r="BM13" s="206">
        <f t="shared" si="5"/>
        <v>1</v>
      </c>
      <c r="BN13" s="206">
        <f t="shared" si="5"/>
        <v>1</v>
      </c>
      <c r="BO13" s="207">
        <f t="shared" si="5"/>
        <v>1</v>
      </c>
      <c r="BP13" s="208">
        <f t="shared" si="6"/>
        <v>1</v>
      </c>
      <c r="BQ13" s="206">
        <f t="shared" si="6"/>
        <v>1</v>
      </c>
      <c r="BR13" s="206">
        <f t="shared" si="6"/>
        <v>1</v>
      </c>
      <c r="BS13" s="207">
        <f t="shared" si="6"/>
        <v>1</v>
      </c>
      <c r="BT13" s="208">
        <f t="shared" si="6"/>
        <v>1</v>
      </c>
      <c r="BU13" s="206">
        <f t="shared" si="6"/>
        <v>1</v>
      </c>
      <c r="BV13" s="206">
        <f t="shared" si="6"/>
        <v>1</v>
      </c>
      <c r="BW13" s="207">
        <f t="shared" si="6"/>
        <v>1</v>
      </c>
      <c r="BX13" s="208" t="str">
        <f t="shared" si="6"/>
        <v/>
      </c>
      <c r="BY13" s="206" t="str">
        <f t="shared" si="6"/>
        <v/>
      </c>
      <c r="BZ13" s="206" t="str">
        <f t="shared" si="6"/>
        <v/>
      </c>
      <c r="CA13" s="207" t="str">
        <f t="shared" si="6"/>
        <v/>
      </c>
      <c r="CB13" s="208" t="str">
        <f t="shared" si="6"/>
        <v/>
      </c>
      <c r="CC13" s="206" t="str">
        <f t="shared" si="6"/>
        <v/>
      </c>
      <c r="CD13" s="206" t="str">
        <f t="shared" si="6"/>
        <v/>
      </c>
      <c r="CE13" s="207" t="str">
        <f t="shared" si="6"/>
        <v/>
      </c>
    </row>
    <row r="14" spans="1:87" ht="18" customHeight="1">
      <c r="A14" s="22">
        <f>+TABELLA!Y18</f>
        <v>8</v>
      </c>
      <c r="B14" s="22">
        <f>+TABELLA!Z18</f>
        <v>13.3</v>
      </c>
      <c r="C14" s="22">
        <f>+TABELLA!AA18</f>
        <v>0</v>
      </c>
      <c r="D14" s="22">
        <f>+TABELLA!AB18</f>
        <v>0</v>
      </c>
      <c r="E14" s="22"/>
      <c r="F14" s="26">
        <f>IF(TABELLA!B18="","",TABELLA!B18)</f>
        <v>10</v>
      </c>
      <c r="G14" s="27" t="str">
        <f>IF(TABELLA!C18="","",TABELLA!C18)</f>
        <v>SALVATO CRISTIAN</v>
      </c>
      <c r="H14" s="203" t="str">
        <f t="shared" ref="H14:W14" si="14">IF(AND(G$3&gt;=$A14,G$3&lt;$B14),1,IF(AND(G$3&gt;=$C14,G$3&lt;$D14),1,""))</f>
        <v/>
      </c>
      <c r="I14" s="203" t="str">
        <f t="shared" si="14"/>
        <v/>
      </c>
      <c r="J14" s="203" t="str">
        <f t="shared" si="14"/>
        <v/>
      </c>
      <c r="K14" s="204" t="str">
        <f t="shared" si="14"/>
        <v/>
      </c>
      <c r="L14" s="205" t="str">
        <f t="shared" si="14"/>
        <v/>
      </c>
      <c r="M14" s="203" t="str">
        <f t="shared" si="14"/>
        <v/>
      </c>
      <c r="N14" s="203" t="str">
        <f t="shared" si="14"/>
        <v/>
      </c>
      <c r="O14" s="204" t="str">
        <f t="shared" si="14"/>
        <v/>
      </c>
      <c r="P14" s="205" t="str">
        <f t="shared" si="14"/>
        <v/>
      </c>
      <c r="Q14" s="203" t="str">
        <f t="shared" si="14"/>
        <v/>
      </c>
      <c r="R14" s="203" t="str">
        <f t="shared" si="14"/>
        <v/>
      </c>
      <c r="S14" s="204" t="str">
        <f t="shared" si="14"/>
        <v/>
      </c>
      <c r="T14" s="205">
        <f t="shared" si="14"/>
        <v>1</v>
      </c>
      <c r="U14" s="203">
        <f t="shared" si="14"/>
        <v>1</v>
      </c>
      <c r="V14" s="203">
        <f t="shared" si="14"/>
        <v>1</v>
      </c>
      <c r="W14" s="204">
        <f t="shared" si="14"/>
        <v>1</v>
      </c>
      <c r="X14" s="205">
        <f t="shared" si="3"/>
        <v>1</v>
      </c>
      <c r="Y14" s="203">
        <f t="shared" si="3"/>
        <v>1</v>
      </c>
      <c r="Z14" s="203">
        <f t="shared" si="3"/>
        <v>1</v>
      </c>
      <c r="AA14" s="204">
        <f t="shared" si="3"/>
        <v>1</v>
      </c>
      <c r="AB14" s="205">
        <f t="shared" si="3"/>
        <v>1</v>
      </c>
      <c r="AC14" s="203">
        <f t="shared" si="3"/>
        <v>1</v>
      </c>
      <c r="AD14" s="203">
        <f t="shared" si="3"/>
        <v>1</v>
      </c>
      <c r="AE14" s="204">
        <f t="shared" si="3"/>
        <v>1</v>
      </c>
      <c r="AF14" s="205">
        <f t="shared" si="3"/>
        <v>1</v>
      </c>
      <c r="AG14" s="203">
        <f t="shared" si="3"/>
        <v>1</v>
      </c>
      <c r="AH14" s="203">
        <f t="shared" si="3"/>
        <v>1</v>
      </c>
      <c r="AI14" s="204">
        <f t="shared" si="3"/>
        <v>1</v>
      </c>
      <c r="AJ14" s="205">
        <f t="shared" si="3"/>
        <v>1</v>
      </c>
      <c r="AK14" s="203">
        <f t="shared" si="3"/>
        <v>1</v>
      </c>
      <c r="AL14" s="203">
        <f t="shared" si="3"/>
        <v>1</v>
      </c>
      <c r="AM14" s="204">
        <f t="shared" si="3"/>
        <v>1</v>
      </c>
      <c r="AN14" s="205">
        <f t="shared" si="4"/>
        <v>1</v>
      </c>
      <c r="AO14" s="203">
        <f t="shared" si="4"/>
        <v>1</v>
      </c>
      <c r="AP14" s="203" t="str">
        <f t="shared" si="4"/>
        <v/>
      </c>
      <c r="AQ14" s="204" t="str">
        <f t="shared" si="4"/>
        <v/>
      </c>
      <c r="AR14" s="205" t="str">
        <f t="shared" si="4"/>
        <v/>
      </c>
      <c r="AS14" s="203" t="str">
        <f t="shared" si="4"/>
        <v/>
      </c>
      <c r="AT14" s="203" t="str">
        <f t="shared" si="4"/>
        <v/>
      </c>
      <c r="AU14" s="204" t="str">
        <f t="shared" si="4"/>
        <v/>
      </c>
      <c r="AV14" s="205" t="str">
        <f t="shared" si="4"/>
        <v/>
      </c>
      <c r="AW14" s="203" t="str">
        <f t="shared" si="4"/>
        <v/>
      </c>
      <c r="AX14" s="203" t="str">
        <f t="shared" si="4"/>
        <v/>
      </c>
      <c r="AY14" s="204" t="str">
        <f t="shared" si="4"/>
        <v/>
      </c>
      <c r="AZ14" s="205" t="str">
        <f t="shared" si="4"/>
        <v/>
      </c>
      <c r="BA14" s="203" t="str">
        <f t="shared" si="4"/>
        <v/>
      </c>
      <c r="BB14" s="203" t="str">
        <f t="shared" si="4"/>
        <v/>
      </c>
      <c r="BC14" s="204" t="str">
        <f t="shared" si="4"/>
        <v/>
      </c>
      <c r="BD14" s="205" t="str">
        <f t="shared" si="5"/>
        <v/>
      </c>
      <c r="BE14" s="203" t="str">
        <f t="shared" si="5"/>
        <v/>
      </c>
      <c r="BF14" s="203" t="str">
        <f t="shared" si="5"/>
        <v/>
      </c>
      <c r="BG14" s="204" t="str">
        <f t="shared" si="5"/>
        <v/>
      </c>
      <c r="BH14" s="205" t="str">
        <f t="shared" si="5"/>
        <v/>
      </c>
      <c r="BI14" s="203" t="str">
        <f t="shared" si="5"/>
        <v/>
      </c>
      <c r="BJ14" s="203" t="str">
        <f t="shared" si="5"/>
        <v/>
      </c>
      <c r="BK14" s="204" t="str">
        <f t="shared" si="5"/>
        <v/>
      </c>
      <c r="BL14" s="205" t="str">
        <f t="shared" si="5"/>
        <v/>
      </c>
      <c r="BM14" s="203" t="str">
        <f t="shared" si="5"/>
        <v/>
      </c>
      <c r="BN14" s="203" t="str">
        <f t="shared" si="5"/>
        <v/>
      </c>
      <c r="BO14" s="204" t="str">
        <f t="shared" si="5"/>
        <v/>
      </c>
      <c r="BP14" s="205" t="str">
        <f t="shared" si="6"/>
        <v/>
      </c>
      <c r="BQ14" s="203" t="str">
        <f t="shared" si="6"/>
        <v/>
      </c>
      <c r="BR14" s="203" t="str">
        <f t="shared" si="6"/>
        <v/>
      </c>
      <c r="BS14" s="204" t="str">
        <f t="shared" si="6"/>
        <v/>
      </c>
      <c r="BT14" s="205" t="str">
        <f t="shared" si="6"/>
        <v/>
      </c>
      <c r="BU14" s="203" t="str">
        <f t="shared" si="6"/>
        <v/>
      </c>
      <c r="BV14" s="203" t="str">
        <f t="shared" si="6"/>
        <v/>
      </c>
      <c r="BW14" s="204" t="str">
        <f t="shared" si="6"/>
        <v/>
      </c>
      <c r="BX14" s="205" t="str">
        <f t="shared" si="6"/>
        <v/>
      </c>
      <c r="BY14" s="203" t="str">
        <f t="shared" si="6"/>
        <v/>
      </c>
      <c r="BZ14" s="203" t="str">
        <f t="shared" si="6"/>
        <v/>
      </c>
      <c r="CA14" s="204" t="str">
        <f t="shared" si="6"/>
        <v/>
      </c>
      <c r="CB14" s="205" t="str">
        <f t="shared" si="6"/>
        <v/>
      </c>
      <c r="CC14" s="203" t="str">
        <f t="shared" si="6"/>
        <v/>
      </c>
      <c r="CD14" s="203" t="str">
        <f t="shared" si="6"/>
        <v/>
      </c>
      <c r="CE14" s="204" t="str">
        <f t="shared" si="6"/>
        <v/>
      </c>
    </row>
    <row r="15" spans="1:87" ht="18" customHeight="1">
      <c r="A15" s="22">
        <f>+TABELLA!Y19</f>
        <v>13</v>
      </c>
      <c r="B15" s="22">
        <f>+TABELLA!Z19</f>
        <v>16.3</v>
      </c>
      <c r="C15" s="22">
        <f>+TABELLA!AA19</f>
        <v>0</v>
      </c>
      <c r="D15" s="22">
        <f>+TABELLA!AB19</f>
        <v>0</v>
      </c>
      <c r="E15" s="22"/>
      <c r="F15" s="41">
        <f>IF(TABELLA!B19="","",TABELLA!B19)</f>
        <v>10</v>
      </c>
      <c r="G15" s="42" t="str">
        <f>IF(TABELLA!C19="","",TABELLA!C19)</f>
        <v>VALENTINI TAMARA</v>
      </c>
      <c r="H15" s="206" t="str">
        <f t="shared" ref="H15:W15" si="15">IF(AND(G$3&gt;=$A15,G$3&lt;$B15),1,IF(AND(G$3&gt;=$C15,G$3&lt;$D15),1,""))</f>
        <v/>
      </c>
      <c r="I15" s="206" t="str">
        <f t="shared" si="15"/>
        <v/>
      </c>
      <c r="J15" s="206" t="str">
        <f t="shared" si="15"/>
        <v/>
      </c>
      <c r="K15" s="207" t="str">
        <f t="shared" si="15"/>
        <v/>
      </c>
      <c r="L15" s="208" t="str">
        <f t="shared" si="15"/>
        <v/>
      </c>
      <c r="M15" s="206" t="str">
        <f t="shared" si="15"/>
        <v/>
      </c>
      <c r="N15" s="206" t="str">
        <f t="shared" si="15"/>
        <v/>
      </c>
      <c r="O15" s="207" t="str">
        <f t="shared" si="15"/>
        <v/>
      </c>
      <c r="P15" s="208" t="str">
        <f t="shared" si="15"/>
        <v/>
      </c>
      <c r="Q15" s="206" t="str">
        <f t="shared" si="15"/>
        <v/>
      </c>
      <c r="R15" s="206" t="str">
        <f t="shared" si="15"/>
        <v/>
      </c>
      <c r="S15" s="207" t="str">
        <f t="shared" si="15"/>
        <v/>
      </c>
      <c r="T15" s="208" t="str">
        <f t="shared" si="15"/>
        <v/>
      </c>
      <c r="U15" s="206" t="str">
        <f t="shared" si="15"/>
        <v/>
      </c>
      <c r="V15" s="206" t="str">
        <f t="shared" si="15"/>
        <v/>
      </c>
      <c r="W15" s="207" t="str">
        <f t="shared" si="15"/>
        <v/>
      </c>
      <c r="X15" s="208" t="str">
        <f t="shared" si="3"/>
        <v/>
      </c>
      <c r="Y15" s="206" t="str">
        <f t="shared" si="3"/>
        <v/>
      </c>
      <c r="Z15" s="206" t="str">
        <f t="shared" si="3"/>
        <v/>
      </c>
      <c r="AA15" s="207" t="str">
        <f t="shared" si="3"/>
        <v/>
      </c>
      <c r="AB15" s="208" t="str">
        <f t="shared" si="3"/>
        <v/>
      </c>
      <c r="AC15" s="206" t="str">
        <f t="shared" si="3"/>
        <v/>
      </c>
      <c r="AD15" s="206" t="str">
        <f t="shared" si="3"/>
        <v/>
      </c>
      <c r="AE15" s="207" t="str">
        <f t="shared" si="3"/>
        <v/>
      </c>
      <c r="AF15" s="208" t="str">
        <f t="shared" si="3"/>
        <v/>
      </c>
      <c r="AG15" s="206" t="str">
        <f t="shared" si="3"/>
        <v/>
      </c>
      <c r="AH15" s="206" t="str">
        <f t="shared" si="3"/>
        <v/>
      </c>
      <c r="AI15" s="207" t="str">
        <f t="shared" si="3"/>
        <v/>
      </c>
      <c r="AJ15" s="208" t="str">
        <f t="shared" si="3"/>
        <v/>
      </c>
      <c r="AK15" s="206" t="str">
        <f t="shared" si="3"/>
        <v/>
      </c>
      <c r="AL15" s="206" t="str">
        <f t="shared" si="3"/>
        <v/>
      </c>
      <c r="AM15" s="207" t="str">
        <f t="shared" si="3"/>
        <v/>
      </c>
      <c r="AN15" s="208">
        <f t="shared" si="4"/>
        <v>1</v>
      </c>
      <c r="AO15" s="206">
        <f t="shared" si="4"/>
        <v>1</v>
      </c>
      <c r="AP15" s="206">
        <f t="shared" si="4"/>
        <v>1</v>
      </c>
      <c r="AQ15" s="207">
        <f t="shared" si="4"/>
        <v>1</v>
      </c>
      <c r="AR15" s="208">
        <f t="shared" si="4"/>
        <v>1</v>
      </c>
      <c r="AS15" s="206">
        <f t="shared" si="4"/>
        <v>1</v>
      </c>
      <c r="AT15" s="206">
        <f t="shared" si="4"/>
        <v>1</v>
      </c>
      <c r="AU15" s="207">
        <f t="shared" si="4"/>
        <v>1</v>
      </c>
      <c r="AV15" s="208">
        <f t="shared" si="4"/>
        <v>1</v>
      </c>
      <c r="AW15" s="206">
        <f t="shared" si="4"/>
        <v>1</v>
      </c>
      <c r="AX15" s="206">
        <f t="shared" si="4"/>
        <v>1</v>
      </c>
      <c r="AY15" s="207">
        <f t="shared" si="4"/>
        <v>1</v>
      </c>
      <c r="AZ15" s="208">
        <f t="shared" si="4"/>
        <v>1</v>
      </c>
      <c r="BA15" s="206">
        <f t="shared" si="4"/>
        <v>1</v>
      </c>
      <c r="BB15" s="206" t="str">
        <f t="shared" si="4"/>
        <v/>
      </c>
      <c r="BC15" s="207" t="str">
        <f t="shared" si="4"/>
        <v/>
      </c>
      <c r="BD15" s="208" t="str">
        <f t="shared" si="5"/>
        <v/>
      </c>
      <c r="BE15" s="206" t="str">
        <f t="shared" si="5"/>
        <v/>
      </c>
      <c r="BF15" s="206" t="str">
        <f t="shared" si="5"/>
        <v/>
      </c>
      <c r="BG15" s="207" t="str">
        <f t="shared" si="5"/>
        <v/>
      </c>
      <c r="BH15" s="208" t="str">
        <f t="shared" si="5"/>
        <v/>
      </c>
      <c r="BI15" s="206" t="str">
        <f t="shared" si="5"/>
        <v/>
      </c>
      <c r="BJ15" s="206" t="str">
        <f t="shared" si="5"/>
        <v/>
      </c>
      <c r="BK15" s="207" t="str">
        <f t="shared" si="5"/>
        <v/>
      </c>
      <c r="BL15" s="208" t="str">
        <f t="shared" si="5"/>
        <v/>
      </c>
      <c r="BM15" s="206" t="str">
        <f t="shared" si="5"/>
        <v/>
      </c>
      <c r="BN15" s="206" t="str">
        <f t="shared" si="5"/>
        <v/>
      </c>
      <c r="BO15" s="207" t="str">
        <f t="shared" si="5"/>
        <v/>
      </c>
      <c r="BP15" s="208" t="str">
        <f t="shared" si="6"/>
        <v/>
      </c>
      <c r="BQ15" s="206" t="str">
        <f t="shared" si="6"/>
        <v/>
      </c>
      <c r="BR15" s="206" t="str">
        <f t="shared" si="6"/>
        <v/>
      </c>
      <c r="BS15" s="207" t="str">
        <f t="shared" si="6"/>
        <v/>
      </c>
      <c r="BT15" s="208" t="str">
        <f t="shared" si="6"/>
        <v/>
      </c>
      <c r="BU15" s="206" t="str">
        <f t="shared" si="6"/>
        <v/>
      </c>
      <c r="BV15" s="206" t="str">
        <f t="shared" si="6"/>
        <v/>
      </c>
      <c r="BW15" s="207" t="str">
        <f t="shared" si="6"/>
        <v/>
      </c>
      <c r="BX15" s="208" t="str">
        <f t="shared" si="6"/>
        <v/>
      </c>
      <c r="BY15" s="206" t="str">
        <f t="shared" si="6"/>
        <v/>
      </c>
      <c r="BZ15" s="206" t="str">
        <f t="shared" si="6"/>
        <v/>
      </c>
      <c r="CA15" s="207" t="str">
        <f t="shared" si="6"/>
        <v/>
      </c>
      <c r="CB15" s="208" t="str">
        <f t="shared" si="6"/>
        <v/>
      </c>
      <c r="CC15" s="206" t="str">
        <f t="shared" si="6"/>
        <v/>
      </c>
      <c r="CD15" s="206" t="str">
        <f t="shared" si="6"/>
        <v/>
      </c>
      <c r="CE15" s="207" t="str">
        <f t="shared" si="6"/>
        <v/>
      </c>
    </row>
    <row r="16" spans="1:87" ht="18" customHeight="1">
      <c r="A16" s="22">
        <f>+TABELLA!Y20</f>
        <v>12.15</v>
      </c>
      <c r="B16" s="22">
        <f>+TABELLA!Z20</f>
        <v>16.149999999999999</v>
      </c>
      <c r="C16" s="22">
        <f>+TABELLA!AA20</f>
        <v>0</v>
      </c>
      <c r="D16" s="22">
        <f>+TABELLA!AB20</f>
        <v>0</v>
      </c>
      <c r="E16" s="22"/>
      <c r="F16" s="26">
        <f>IF(TABELLA!B20="","",TABELLA!B20)</f>
        <v>10</v>
      </c>
      <c r="G16" s="27" t="str">
        <f>IF(TABELLA!C20="","",TABELLA!C20)</f>
        <v>ALESSANDRO</v>
      </c>
      <c r="H16" s="203" t="str">
        <f t="shared" ref="H16:W16" si="16">IF(AND(G$3&gt;=$A16,G$3&lt;$B16),1,IF(AND(G$3&gt;=$C16,G$3&lt;$D16),1,""))</f>
        <v/>
      </c>
      <c r="I16" s="203" t="str">
        <f t="shared" si="16"/>
        <v/>
      </c>
      <c r="J16" s="203" t="str">
        <f t="shared" si="16"/>
        <v/>
      </c>
      <c r="K16" s="204" t="str">
        <f t="shared" si="16"/>
        <v/>
      </c>
      <c r="L16" s="205" t="str">
        <f t="shared" si="16"/>
        <v/>
      </c>
      <c r="M16" s="203" t="str">
        <f t="shared" si="16"/>
        <v/>
      </c>
      <c r="N16" s="203" t="str">
        <f t="shared" si="16"/>
        <v/>
      </c>
      <c r="O16" s="204" t="str">
        <f t="shared" si="16"/>
        <v/>
      </c>
      <c r="P16" s="205" t="str">
        <f t="shared" si="16"/>
        <v/>
      </c>
      <c r="Q16" s="203" t="str">
        <f t="shared" si="16"/>
        <v/>
      </c>
      <c r="R16" s="203" t="str">
        <f t="shared" si="16"/>
        <v/>
      </c>
      <c r="S16" s="204" t="str">
        <f t="shared" si="16"/>
        <v/>
      </c>
      <c r="T16" s="205" t="str">
        <f t="shared" si="16"/>
        <v/>
      </c>
      <c r="U16" s="203" t="str">
        <f t="shared" si="16"/>
        <v/>
      </c>
      <c r="V16" s="203" t="str">
        <f t="shared" si="16"/>
        <v/>
      </c>
      <c r="W16" s="204" t="str">
        <f t="shared" si="16"/>
        <v/>
      </c>
      <c r="X16" s="205" t="str">
        <f t="shared" si="3"/>
        <v/>
      </c>
      <c r="Y16" s="203" t="str">
        <f t="shared" si="3"/>
        <v/>
      </c>
      <c r="Z16" s="203" t="str">
        <f t="shared" si="3"/>
        <v/>
      </c>
      <c r="AA16" s="204" t="str">
        <f t="shared" si="3"/>
        <v/>
      </c>
      <c r="AB16" s="205" t="str">
        <f t="shared" si="3"/>
        <v/>
      </c>
      <c r="AC16" s="203" t="str">
        <f t="shared" si="3"/>
        <v/>
      </c>
      <c r="AD16" s="203" t="str">
        <f t="shared" si="3"/>
        <v/>
      </c>
      <c r="AE16" s="204" t="str">
        <f t="shared" si="3"/>
        <v/>
      </c>
      <c r="AF16" s="205" t="str">
        <f t="shared" si="3"/>
        <v/>
      </c>
      <c r="AG16" s="203" t="str">
        <f t="shared" si="3"/>
        <v/>
      </c>
      <c r="AH16" s="203" t="str">
        <f t="shared" si="3"/>
        <v/>
      </c>
      <c r="AI16" s="204" t="str">
        <f t="shared" si="3"/>
        <v/>
      </c>
      <c r="AJ16" s="205" t="str">
        <f t="shared" si="3"/>
        <v/>
      </c>
      <c r="AK16" s="203">
        <f t="shared" si="3"/>
        <v>1</v>
      </c>
      <c r="AL16" s="203">
        <f t="shared" si="3"/>
        <v>1</v>
      </c>
      <c r="AM16" s="204">
        <f t="shared" si="3"/>
        <v>1</v>
      </c>
      <c r="AN16" s="205">
        <f t="shared" si="4"/>
        <v>1</v>
      </c>
      <c r="AO16" s="203">
        <f t="shared" si="4"/>
        <v>1</v>
      </c>
      <c r="AP16" s="203">
        <f t="shared" si="4"/>
        <v>1</v>
      </c>
      <c r="AQ16" s="204">
        <f t="shared" si="4"/>
        <v>1</v>
      </c>
      <c r="AR16" s="205">
        <f t="shared" si="4"/>
        <v>1</v>
      </c>
      <c r="AS16" s="203">
        <f t="shared" si="4"/>
        <v>1</v>
      </c>
      <c r="AT16" s="203">
        <f t="shared" si="4"/>
        <v>1</v>
      </c>
      <c r="AU16" s="204">
        <f t="shared" si="4"/>
        <v>1</v>
      </c>
      <c r="AV16" s="205">
        <f t="shared" si="4"/>
        <v>1</v>
      </c>
      <c r="AW16" s="203">
        <f t="shared" si="4"/>
        <v>1</v>
      </c>
      <c r="AX16" s="203">
        <f t="shared" si="4"/>
        <v>1</v>
      </c>
      <c r="AY16" s="204">
        <f t="shared" si="4"/>
        <v>1</v>
      </c>
      <c r="AZ16" s="205">
        <f t="shared" si="4"/>
        <v>1</v>
      </c>
      <c r="BA16" s="203" t="str">
        <f t="shared" si="4"/>
        <v/>
      </c>
      <c r="BB16" s="203" t="str">
        <f t="shared" si="4"/>
        <v/>
      </c>
      <c r="BC16" s="204" t="str">
        <f t="shared" si="4"/>
        <v/>
      </c>
      <c r="BD16" s="205" t="str">
        <f t="shared" si="5"/>
        <v/>
      </c>
      <c r="BE16" s="203" t="str">
        <f t="shared" si="5"/>
        <v/>
      </c>
      <c r="BF16" s="203" t="str">
        <f t="shared" si="5"/>
        <v/>
      </c>
      <c r="BG16" s="204" t="str">
        <f t="shared" si="5"/>
        <v/>
      </c>
      <c r="BH16" s="205" t="str">
        <f t="shared" si="5"/>
        <v/>
      </c>
      <c r="BI16" s="203" t="str">
        <f t="shared" si="5"/>
        <v/>
      </c>
      <c r="BJ16" s="203" t="str">
        <f t="shared" si="5"/>
        <v/>
      </c>
      <c r="BK16" s="204" t="str">
        <f t="shared" si="5"/>
        <v/>
      </c>
      <c r="BL16" s="205" t="str">
        <f t="shared" si="5"/>
        <v/>
      </c>
      <c r="BM16" s="203" t="str">
        <f t="shared" si="5"/>
        <v/>
      </c>
      <c r="BN16" s="203" t="str">
        <f t="shared" si="5"/>
        <v/>
      </c>
      <c r="BO16" s="204" t="str">
        <f t="shared" si="5"/>
        <v/>
      </c>
      <c r="BP16" s="205" t="str">
        <f t="shared" si="6"/>
        <v/>
      </c>
      <c r="BQ16" s="203" t="str">
        <f t="shared" si="6"/>
        <v/>
      </c>
      <c r="BR16" s="203" t="str">
        <f t="shared" si="6"/>
        <v/>
      </c>
      <c r="BS16" s="204" t="str">
        <f t="shared" si="6"/>
        <v/>
      </c>
      <c r="BT16" s="205" t="str">
        <f t="shared" si="6"/>
        <v/>
      </c>
      <c r="BU16" s="203" t="str">
        <f t="shared" si="6"/>
        <v/>
      </c>
      <c r="BV16" s="203" t="str">
        <f t="shared" si="6"/>
        <v/>
      </c>
      <c r="BW16" s="204" t="str">
        <f t="shared" si="6"/>
        <v/>
      </c>
      <c r="BX16" s="205" t="str">
        <f t="shared" si="6"/>
        <v/>
      </c>
      <c r="BY16" s="203" t="str">
        <f t="shared" si="6"/>
        <v/>
      </c>
      <c r="BZ16" s="203" t="str">
        <f t="shared" si="6"/>
        <v/>
      </c>
      <c r="CA16" s="204" t="str">
        <f t="shared" si="6"/>
        <v/>
      </c>
      <c r="CB16" s="205" t="str">
        <f t="shared" si="6"/>
        <v/>
      </c>
      <c r="CC16" s="203" t="str">
        <f t="shared" si="6"/>
        <v/>
      </c>
      <c r="CD16" s="203" t="str">
        <f t="shared" si="6"/>
        <v/>
      </c>
      <c r="CE16" s="204" t="str">
        <f t="shared" si="6"/>
        <v/>
      </c>
    </row>
    <row r="17" spans="1:83" ht="18" customHeight="1">
      <c r="A17" s="22">
        <f>+TABELLA!Y21</f>
        <v>0</v>
      </c>
      <c r="B17" s="22">
        <f>+TABELLA!Z21</f>
        <v>0</v>
      </c>
      <c r="C17" s="22">
        <f>+TABELLA!AA21</f>
        <v>0</v>
      </c>
      <c r="D17" s="22">
        <f>+TABELLA!AB21</f>
        <v>0</v>
      </c>
      <c r="E17" s="22"/>
      <c r="F17" s="41">
        <f>IF(TABELLA!B21="","",TABELLA!B21)</f>
        <v>1</v>
      </c>
      <c r="G17" s="42" t="str">
        <f>IF(TABELLA!C21="","",TABELLA!C21)</f>
        <v/>
      </c>
      <c r="H17" s="206" t="str">
        <f t="shared" ref="H17:W17" si="17">IF(AND(G$3&gt;=$A17,G$3&lt;$B17),1,IF(AND(G$3&gt;=$C17,G$3&lt;$D17),1,""))</f>
        <v/>
      </c>
      <c r="I17" s="206" t="str">
        <f t="shared" si="17"/>
        <v/>
      </c>
      <c r="J17" s="206" t="str">
        <f t="shared" si="17"/>
        <v/>
      </c>
      <c r="K17" s="207" t="str">
        <f t="shared" si="17"/>
        <v/>
      </c>
      <c r="L17" s="208" t="str">
        <f t="shared" si="17"/>
        <v/>
      </c>
      <c r="M17" s="206" t="str">
        <f t="shared" si="17"/>
        <v/>
      </c>
      <c r="N17" s="206" t="str">
        <f t="shared" si="17"/>
        <v/>
      </c>
      <c r="O17" s="207" t="str">
        <f t="shared" si="17"/>
        <v/>
      </c>
      <c r="P17" s="208" t="str">
        <f t="shared" si="17"/>
        <v/>
      </c>
      <c r="Q17" s="206" t="str">
        <f t="shared" si="17"/>
        <v/>
      </c>
      <c r="R17" s="206" t="str">
        <f t="shared" si="17"/>
        <v/>
      </c>
      <c r="S17" s="207" t="str">
        <f t="shared" si="17"/>
        <v/>
      </c>
      <c r="T17" s="208" t="str">
        <f t="shared" si="17"/>
        <v/>
      </c>
      <c r="U17" s="206" t="str">
        <f t="shared" si="17"/>
        <v/>
      </c>
      <c r="V17" s="206" t="str">
        <f t="shared" si="17"/>
        <v/>
      </c>
      <c r="W17" s="207" t="str">
        <f t="shared" si="17"/>
        <v/>
      </c>
      <c r="X17" s="208" t="str">
        <f t="shared" si="3"/>
        <v/>
      </c>
      <c r="Y17" s="206" t="str">
        <f t="shared" si="3"/>
        <v/>
      </c>
      <c r="Z17" s="206" t="str">
        <f t="shared" si="3"/>
        <v/>
      </c>
      <c r="AA17" s="207" t="str">
        <f t="shared" si="3"/>
        <v/>
      </c>
      <c r="AB17" s="208" t="str">
        <f t="shared" si="3"/>
        <v/>
      </c>
      <c r="AC17" s="206" t="str">
        <f t="shared" si="3"/>
        <v/>
      </c>
      <c r="AD17" s="206" t="str">
        <f t="shared" si="3"/>
        <v/>
      </c>
      <c r="AE17" s="207" t="str">
        <f t="shared" si="3"/>
        <v/>
      </c>
      <c r="AF17" s="208" t="str">
        <f t="shared" si="3"/>
        <v/>
      </c>
      <c r="AG17" s="206" t="str">
        <f t="shared" si="3"/>
        <v/>
      </c>
      <c r="AH17" s="206" t="str">
        <f t="shared" si="3"/>
        <v/>
      </c>
      <c r="AI17" s="207" t="str">
        <f t="shared" si="3"/>
        <v/>
      </c>
      <c r="AJ17" s="208" t="str">
        <f t="shared" si="3"/>
        <v/>
      </c>
      <c r="AK17" s="206" t="str">
        <f t="shared" si="3"/>
        <v/>
      </c>
      <c r="AL17" s="206" t="str">
        <f t="shared" si="3"/>
        <v/>
      </c>
      <c r="AM17" s="207" t="str">
        <f t="shared" si="3"/>
        <v/>
      </c>
      <c r="AN17" s="208" t="str">
        <f t="shared" si="4"/>
        <v/>
      </c>
      <c r="AO17" s="206" t="str">
        <f t="shared" si="4"/>
        <v/>
      </c>
      <c r="AP17" s="206" t="str">
        <f t="shared" si="4"/>
        <v/>
      </c>
      <c r="AQ17" s="207" t="str">
        <f t="shared" si="4"/>
        <v/>
      </c>
      <c r="AR17" s="208" t="str">
        <f t="shared" si="4"/>
        <v/>
      </c>
      <c r="AS17" s="206" t="str">
        <f t="shared" si="4"/>
        <v/>
      </c>
      <c r="AT17" s="206" t="str">
        <f t="shared" si="4"/>
        <v/>
      </c>
      <c r="AU17" s="207" t="str">
        <f t="shared" si="4"/>
        <v/>
      </c>
      <c r="AV17" s="208" t="str">
        <f t="shared" si="4"/>
        <v/>
      </c>
      <c r="AW17" s="206" t="str">
        <f t="shared" si="4"/>
        <v/>
      </c>
      <c r="AX17" s="206" t="str">
        <f t="shared" si="4"/>
        <v/>
      </c>
      <c r="AY17" s="207" t="str">
        <f t="shared" si="4"/>
        <v/>
      </c>
      <c r="AZ17" s="208" t="str">
        <f t="shared" si="4"/>
        <v/>
      </c>
      <c r="BA17" s="206" t="str">
        <f t="shared" si="4"/>
        <v/>
      </c>
      <c r="BB17" s="206" t="str">
        <f t="shared" si="4"/>
        <v/>
      </c>
      <c r="BC17" s="207" t="str">
        <f t="shared" si="4"/>
        <v/>
      </c>
      <c r="BD17" s="208" t="str">
        <f t="shared" si="5"/>
        <v/>
      </c>
      <c r="BE17" s="206" t="str">
        <f t="shared" si="5"/>
        <v/>
      </c>
      <c r="BF17" s="206" t="str">
        <f t="shared" si="5"/>
        <v/>
      </c>
      <c r="BG17" s="207" t="str">
        <f t="shared" si="5"/>
        <v/>
      </c>
      <c r="BH17" s="208" t="str">
        <f t="shared" si="5"/>
        <v/>
      </c>
      <c r="BI17" s="206" t="str">
        <f t="shared" si="5"/>
        <v/>
      </c>
      <c r="BJ17" s="206" t="str">
        <f t="shared" si="5"/>
        <v/>
      </c>
      <c r="BK17" s="207" t="str">
        <f t="shared" si="5"/>
        <v/>
      </c>
      <c r="BL17" s="208" t="str">
        <f t="shared" si="5"/>
        <v/>
      </c>
      <c r="BM17" s="206" t="str">
        <f t="shared" si="5"/>
        <v/>
      </c>
      <c r="BN17" s="206" t="str">
        <f t="shared" si="5"/>
        <v/>
      </c>
      <c r="BO17" s="207" t="str">
        <f t="shared" si="5"/>
        <v/>
      </c>
      <c r="BP17" s="208" t="str">
        <f t="shared" si="6"/>
        <v/>
      </c>
      <c r="BQ17" s="206" t="str">
        <f t="shared" si="6"/>
        <v/>
      </c>
      <c r="BR17" s="206" t="str">
        <f t="shared" si="6"/>
        <v/>
      </c>
      <c r="BS17" s="207" t="str">
        <f t="shared" si="6"/>
        <v/>
      </c>
      <c r="BT17" s="208" t="str">
        <f t="shared" si="6"/>
        <v/>
      </c>
      <c r="BU17" s="206" t="str">
        <f t="shared" si="6"/>
        <v/>
      </c>
      <c r="BV17" s="206" t="str">
        <f t="shared" si="6"/>
        <v/>
      </c>
      <c r="BW17" s="207" t="str">
        <f t="shared" si="6"/>
        <v/>
      </c>
      <c r="BX17" s="208" t="str">
        <f t="shared" si="6"/>
        <v/>
      </c>
      <c r="BY17" s="206" t="str">
        <f t="shared" si="6"/>
        <v/>
      </c>
      <c r="BZ17" s="206" t="str">
        <f t="shared" si="6"/>
        <v/>
      </c>
      <c r="CA17" s="207" t="str">
        <f t="shared" si="6"/>
        <v/>
      </c>
      <c r="CB17" s="208" t="str">
        <f t="shared" si="6"/>
        <v/>
      </c>
      <c r="CC17" s="206" t="str">
        <f t="shared" si="6"/>
        <v/>
      </c>
      <c r="CD17" s="206" t="str">
        <f t="shared" si="6"/>
        <v/>
      </c>
      <c r="CE17" s="207" t="str">
        <f t="shared" si="6"/>
        <v/>
      </c>
    </row>
    <row r="18" spans="1:83" ht="18" customHeight="1">
      <c r="A18" s="22">
        <f>+TABELLA!Y22</f>
        <v>0</v>
      </c>
      <c r="B18" s="22">
        <f>+TABELLA!Z22</f>
        <v>0</v>
      </c>
      <c r="C18" s="22">
        <f>+TABELLA!AA22</f>
        <v>0</v>
      </c>
      <c r="D18" s="22">
        <f>+TABELLA!AB22</f>
        <v>0</v>
      </c>
      <c r="E18" s="22"/>
      <c r="F18" s="26">
        <f>IF(TABELLA!B22="","",TABELLA!B22)</f>
        <v>1</v>
      </c>
      <c r="G18" s="27" t="str">
        <f>IF(TABELLA!C22="","",TABELLA!C22)</f>
        <v/>
      </c>
      <c r="H18" s="203" t="str">
        <f t="shared" ref="H18:W18" si="18">IF(AND(G$3&gt;=$A18,G$3&lt;$B18),1,IF(AND(G$3&gt;=$C18,G$3&lt;$D18),1,""))</f>
        <v/>
      </c>
      <c r="I18" s="203" t="str">
        <f t="shared" si="18"/>
        <v/>
      </c>
      <c r="J18" s="203" t="str">
        <f t="shared" si="18"/>
        <v/>
      </c>
      <c r="K18" s="204" t="str">
        <f t="shared" si="18"/>
        <v/>
      </c>
      <c r="L18" s="205" t="str">
        <f t="shared" si="18"/>
        <v/>
      </c>
      <c r="M18" s="203" t="str">
        <f t="shared" si="18"/>
        <v/>
      </c>
      <c r="N18" s="203" t="str">
        <f t="shared" si="18"/>
        <v/>
      </c>
      <c r="O18" s="204" t="str">
        <f t="shared" si="18"/>
        <v/>
      </c>
      <c r="P18" s="205" t="str">
        <f t="shared" si="18"/>
        <v/>
      </c>
      <c r="Q18" s="203" t="str">
        <f t="shared" si="18"/>
        <v/>
      </c>
      <c r="R18" s="203" t="str">
        <f t="shared" si="18"/>
        <v/>
      </c>
      <c r="S18" s="204" t="str">
        <f t="shared" si="18"/>
        <v/>
      </c>
      <c r="T18" s="205" t="str">
        <f t="shared" si="18"/>
        <v/>
      </c>
      <c r="U18" s="203" t="str">
        <f t="shared" si="18"/>
        <v/>
      </c>
      <c r="V18" s="203" t="str">
        <f t="shared" si="18"/>
        <v/>
      </c>
      <c r="W18" s="204" t="str">
        <f t="shared" si="18"/>
        <v/>
      </c>
      <c r="X18" s="205" t="str">
        <f t="shared" si="3"/>
        <v/>
      </c>
      <c r="Y18" s="203" t="str">
        <f t="shared" si="3"/>
        <v/>
      </c>
      <c r="Z18" s="203" t="str">
        <f t="shared" si="3"/>
        <v/>
      </c>
      <c r="AA18" s="204" t="str">
        <f t="shared" si="3"/>
        <v/>
      </c>
      <c r="AB18" s="205" t="str">
        <f t="shared" si="3"/>
        <v/>
      </c>
      <c r="AC18" s="203" t="str">
        <f t="shared" si="3"/>
        <v/>
      </c>
      <c r="AD18" s="203" t="str">
        <f t="shared" si="3"/>
        <v/>
      </c>
      <c r="AE18" s="204" t="str">
        <f t="shared" si="3"/>
        <v/>
      </c>
      <c r="AF18" s="205" t="str">
        <f t="shared" si="3"/>
        <v/>
      </c>
      <c r="AG18" s="203" t="str">
        <f t="shared" si="3"/>
        <v/>
      </c>
      <c r="AH18" s="203" t="str">
        <f t="shared" si="3"/>
        <v/>
      </c>
      <c r="AI18" s="204" t="str">
        <f t="shared" si="3"/>
        <v/>
      </c>
      <c r="AJ18" s="205" t="str">
        <f t="shared" si="3"/>
        <v/>
      </c>
      <c r="AK18" s="203" t="str">
        <f t="shared" si="3"/>
        <v/>
      </c>
      <c r="AL18" s="203" t="str">
        <f t="shared" si="3"/>
        <v/>
      </c>
      <c r="AM18" s="204" t="str">
        <f t="shared" si="3"/>
        <v/>
      </c>
      <c r="AN18" s="205" t="str">
        <f t="shared" si="4"/>
        <v/>
      </c>
      <c r="AO18" s="203" t="str">
        <f t="shared" si="4"/>
        <v/>
      </c>
      <c r="AP18" s="203" t="str">
        <f t="shared" si="4"/>
        <v/>
      </c>
      <c r="AQ18" s="204" t="str">
        <f t="shared" si="4"/>
        <v/>
      </c>
      <c r="AR18" s="205" t="str">
        <f t="shared" si="4"/>
        <v/>
      </c>
      <c r="AS18" s="203" t="str">
        <f t="shared" si="4"/>
        <v/>
      </c>
      <c r="AT18" s="203" t="str">
        <f t="shared" si="4"/>
        <v/>
      </c>
      <c r="AU18" s="204" t="str">
        <f t="shared" si="4"/>
        <v/>
      </c>
      <c r="AV18" s="205" t="str">
        <f t="shared" si="4"/>
        <v/>
      </c>
      <c r="AW18" s="203" t="str">
        <f t="shared" si="4"/>
        <v/>
      </c>
      <c r="AX18" s="203" t="str">
        <f t="shared" si="4"/>
        <v/>
      </c>
      <c r="AY18" s="204" t="str">
        <f t="shared" si="4"/>
        <v/>
      </c>
      <c r="AZ18" s="205" t="str">
        <f t="shared" si="4"/>
        <v/>
      </c>
      <c r="BA18" s="203" t="str">
        <f t="shared" si="4"/>
        <v/>
      </c>
      <c r="BB18" s="203" t="str">
        <f t="shared" si="4"/>
        <v/>
      </c>
      <c r="BC18" s="204" t="str">
        <f t="shared" si="4"/>
        <v/>
      </c>
      <c r="BD18" s="205" t="str">
        <f t="shared" si="5"/>
        <v/>
      </c>
      <c r="BE18" s="203" t="str">
        <f t="shared" si="5"/>
        <v/>
      </c>
      <c r="BF18" s="203" t="str">
        <f t="shared" si="5"/>
        <v/>
      </c>
      <c r="BG18" s="204" t="str">
        <f t="shared" si="5"/>
        <v/>
      </c>
      <c r="BH18" s="205" t="str">
        <f t="shared" si="5"/>
        <v/>
      </c>
      <c r="BI18" s="203" t="str">
        <f t="shared" si="5"/>
        <v/>
      </c>
      <c r="BJ18" s="203" t="str">
        <f t="shared" si="5"/>
        <v/>
      </c>
      <c r="BK18" s="204" t="str">
        <f t="shared" si="5"/>
        <v/>
      </c>
      <c r="BL18" s="205" t="str">
        <f t="shared" si="5"/>
        <v/>
      </c>
      <c r="BM18" s="203" t="str">
        <f t="shared" si="5"/>
        <v/>
      </c>
      <c r="BN18" s="203" t="str">
        <f t="shared" si="5"/>
        <v/>
      </c>
      <c r="BO18" s="204" t="str">
        <f t="shared" si="5"/>
        <v/>
      </c>
      <c r="BP18" s="205" t="str">
        <f t="shared" si="6"/>
        <v/>
      </c>
      <c r="BQ18" s="203" t="str">
        <f t="shared" si="6"/>
        <v/>
      </c>
      <c r="BR18" s="203" t="str">
        <f t="shared" si="6"/>
        <v/>
      </c>
      <c r="BS18" s="204" t="str">
        <f t="shared" si="6"/>
        <v/>
      </c>
      <c r="BT18" s="205" t="str">
        <f t="shared" si="6"/>
        <v/>
      </c>
      <c r="BU18" s="203" t="str">
        <f t="shared" si="6"/>
        <v/>
      </c>
      <c r="BV18" s="203" t="str">
        <f t="shared" si="6"/>
        <v/>
      </c>
      <c r="BW18" s="204" t="str">
        <f t="shared" si="6"/>
        <v/>
      </c>
      <c r="BX18" s="205" t="str">
        <f t="shared" si="6"/>
        <v/>
      </c>
      <c r="BY18" s="203" t="str">
        <f t="shared" si="6"/>
        <v/>
      </c>
      <c r="BZ18" s="203" t="str">
        <f t="shared" si="6"/>
        <v/>
      </c>
      <c r="CA18" s="204" t="str">
        <f t="shared" si="6"/>
        <v/>
      </c>
      <c r="CB18" s="205" t="str">
        <f t="shared" si="6"/>
        <v/>
      </c>
      <c r="CC18" s="203" t="str">
        <f t="shared" si="6"/>
        <v/>
      </c>
      <c r="CD18" s="203" t="str">
        <f t="shared" si="6"/>
        <v/>
      </c>
      <c r="CE18" s="204" t="str">
        <f t="shared" si="6"/>
        <v/>
      </c>
    </row>
    <row r="19" spans="1:83" ht="18" customHeight="1">
      <c r="A19" s="22">
        <f>+TABELLA!Y23</f>
        <v>0</v>
      </c>
      <c r="B19" s="22">
        <f>+TABELLA!Z23</f>
        <v>0</v>
      </c>
      <c r="C19" s="22">
        <f>+TABELLA!AA23</f>
        <v>0</v>
      </c>
      <c r="D19" s="22">
        <f>+TABELLA!AB23</f>
        <v>0</v>
      </c>
      <c r="E19" s="22"/>
      <c r="F19" s="41">
        <f>IF(TABELLA!B23="","",TABELLA!B23)</f>
        <v>1</v>
      </c>
      <c r="G19" s="42" t="str">
        <f>IF(TABELLA!C23="","",TABELLA!C23)</f>
        <v>BALDAZZI ENRICO</v>
      </c>
      <c r="H19" s="206" t="str">
        <f t="shared" ref="H19:W19" si="19">IF(AND(G$3&gt;=$A19,G$3&lt;$B19),1,IF(AND(G$3&gt;=$C19,G$3&lt;$D19),1,""))</f>
        <v/>
      </c>
      <c r="I19" s="206" t="str">
        <f t="shared" si="19"/>
        <v/>
      </c>
      <c r="J19" s="206" t="str">
        <f t="shared" si="19"/>
        <v/>
      </c>
      <c r="K19" s="207" t="str">
        <f t="shared" si="19"/>
        <v/>
      </c>
      <c r="L19" s="208" t="str">
        <f t="shared" si="19"/>
        <v/>
      </c>
      <c r="M19" s="206" t="str">
        <f t="shared" si="19"/>
        <v/>
      </c>
      <c r="N19" s="206" t="str">
        <f t="shared" si="19"/>
        <v/>
      </c>
      <c r="O19" s="207" t="str">
        <f t="shared" si="19"/>
        <v/>
      </c>
      <c r="P19" s="208" t="str">
        <f t="shared" si="19"/>
        <v/>
      </c>
      <c r="Q19" s="206" t="str">
        <f t="shared" si="19"/>
        <v/>
      </c>
      <c r="R19" s="206" t="str">
        <f t="shared" si="19"/>
        <v/>
      </c>
      <c r="S19" s="207" t="str">
        <f t="shared" si="19"/>
        <v/>
      </c>
      <c r="T19" s="208" t="str">
        <f t="shared" si="19"/>
        <v/>
      </c>
      <c r="U19" s="206" t="str">
        <f t="shared" si="19"/>
        <v/>
      </c>
      <c r="V19" s="206" t="str">
        <f t="shared" si="19"/>
        <v/>
      </c>
      <c r="W19" s="207" t="str">
        <f t="shared" si="19"/>
        <v/>
      </c>
      <c r="X19" s="208" t="str">
        <f t="shared" si="3"/>
        <v/>
      </c>
      <c r="Y19" s="206" t="str">
        <f t="shared" si="3"/>
        <v/>
      </c>
      <c r="Z19" s="206" t="str">
        <f t="shared" si="3"/>
        <v/>
      </c>
      <c r="AA19" s="207" t="str">
        <f t="shared" si="3"/>
        <v/>
      </c>
      <c r="AB19" s="208" t="str">
        <f t="shared" si="3"/>
        <v/>
      </c>
      <c r="AC19" s="206" t="str">
        <f t="shared" si="3"/>
        <v/>
      </c>
      <c r="AD19" s="206" t="str">
        <f t="shared" si="3"/>
        <v/>
      </c>
      <c r="AE19" s="207" t="str">
        <f t="shared" si="3"/>
        <v/>
      </c>
      <c r="AF19" s="208" t="str">
        <f t="shared" si="3"/>
        <v/>
      </c>
      <c r="AG19" s="206" t="str">
        <f t="shared" si="3"/>
        <v/>
      </c>
      <c r="AH19" s="206" t="str">
        <f t="shared" si="3"/>
        <v/>
      </c>
      <c r="AI19" s="207" t="str">
        <f t="shared" si="3"/>
        <v/>
      </c>
      <c r="AJ19" s="208" t="str">
        <f t="shared" si="3"/>
        <v/>
      </c>
      <c r="AK19" s="206" t="str">
        <f t="shared" si="3"/>
        <v/>
      </c>
      <c r="AL19" s="206" t="str">
        <f t="shared" si="3"/>
        <v/>
      </c>
      <c r="AM19" s="207" t="str">
        <f t="shared" si="3"/>
        <v/>
      </c>
      <c r="AN19" s="208" t="str">
        <f t="shared" si="4"/>
        <v/>
      </c>
      <c r="AO19" s="206" t="str">
        <f t="shared" si="4"/>
        <v/>
      </c>
      <c r="AP19" s="206" t="str">
        <f t="shared" si="4"/>
        <v/>
      </c>
      <c r="AQ19" s="207" t="str">
        <f t="shared" si="4"/>
        <v/>
      </c>
      <c r="AR19" s="208" t="str">
        <f t="shared" si="4"/>
        <v/>
      </c>
      <c r="AS19" s="206" t="str">
        <f t="shared" si="4"/>
        <v/>
      </c>
      <c r="AT19" s="206" t="str">
        <f t="shared" si="4"/>
        <v/>
      </c>
      <c r="AU19" s="207" t="str">
        <f t="shared" si="4"/>
        <v/>
      </c>
      <c r="AV19" s="208" t="str">
        <f t="shared" si="4"/>
        <v/>
      </c>
      <c r="AW19" s="206" t="str">
        <f t="shared" si="4"/>
        <v/>
      </c>
      <c r="AX19" s="206" t="str">
        <f t="shared" si="4"/>
        <v/>
      </c>
      <c r="AY19" s="207" t="str">
        <f t="shared" si="4"/>
        <v/>
      </c>
      <c r="AZ19" s="208" t="str">
        <f t="shared" si="4"/>
        <v/>
      </c>
      <c r="BA19" s="206" t="str">
        <f t="shared" si="4"/>
        <v/>
      </c>
      <c r="BB19" s="206" t="str">
        <f t="shared" si="4"/>
        <v/>
      </c>
      <c r="BC19" s="207" t="str">
        <f t="shared" si="4"/>
        <v/>
      </c>
      <c r="BD19" s="208" t="str">
        <f t="shared" si="5"/>
        <v/>
      </c>
      <c r="BE19" s="206" t="str">
        <f t="shared" si="5"/>
        <v/>
      </c>
      <c r="BF19" s="206" t="str">
        <f t="shared" si="5"/>
        <v/>
      </c>
      <c r="BG19" s="207" t="str">
        <f t="shared" si="5"/>
        <v/>
      </c>
      <c r="BH19" s="208" t="str">
        <f t="shared" si="5"/>
        <v/>
      </c>
      <c r="BI19" s="206" t="str">
        <f t="shared" si="5"/>
        <v/>
      </c>
      <c r="BJ19" s="206" t="str">
        <f t="shared" si="5"/>
        <v/>
      </c>
      <c r="BK19" s="207" t="str">
        <f t="shared" si="5"/>
        <v/>
      </c>
      <c r="BL19" s="208" t="str">
        <f t="shared" si="5"/>
        <v/>
      </c>
      <c r="BM19" s="206" t="str">
        <f t="shared" si="5"/>
        <v/>
      </c>
      <c r="BN19" s="206" t="str">
        <f t="shared" si="5"/>
        <v/>
      </c>
      <c r="BO19" s="207" t="str">
        <f t="shared" si="5"/>
        <v/>
      </c>
      <c r="BP19" s="208" t="str">
        <f t="shared" si="6"/>
        <v/>
      </c>
      <c r="BQ19" s="206" t="str">
        <f t="shared" si="6"/>
        <v/>
      </c>
      <c r="BR19" s="206" t="str">
        <f t="shared" si="6"/>
        <v/>
      </c>
      <c r="BS19" s="207" t="str">
        <f t="shared" si="6"/>
        <v/>
      </c>
      <c r="BT19" s="208" t="str">
        <f t="shared" si="6"/>
        <v/>
      </c>
      <c r="BU19" s="206" t="str">
        <f t="shared" si="6"/>
        <v/>
      </c>
      <c r="BV19" s="206" t="str">
        <f t="shared" si="6"/>
        <v/>
      </c>
      <c r="BW19" s="207" t="str">
        <f t="shared" si="6"/>
        <v/>
      </c>
      <c r="BX19" s="208" t="str">
        <f t="shared" si="6"/>
        <v/>
      </c>
      <c r="BY19" s="206" t="str">
        <f t="shared" si="6"/>
        <v/>
      </c>
      <c r="BZ19" s="206" t="str">
        <f t="shared" si="6"/>
        <v/>
      </c>
      <c r="CA19" s="207" t="str">
        <f t="shared" si="6"/>
        <v/>
      </c>
      <c r="CB19" s="208" t="str">
        <f t="shared" si="6"/>
        <v/>
      </c>
      <c r="CC19" s="206" t="str">
        <f t="shared" si="6"/>
        <v/>
      </c>
      <c r="CD19" s="206" t="str">
        <f t="shared" si="6"/>
        <v/>
      </c>
      <c r="CE19" s="207" t="str">
        <f t="shared" si="6"/>
        <v/>
      </c>
    </row>
    <row r="20" spans="1:83" ht="18" customHeight="1">
      <c r="A20" s="22">
        <f>+TABELLA!Y24</f>
        <v>0</v>
      </c>
      <c r="B20" s="22">
        <f>+TABELLA!Z24</f>
        <v>0</v>
      </c>
      <c r="C20" s="22">
        <f>+TABELLA!AA24</f>
        <v>0</v>
      </c>
      <c r="D20" s="22">
        <f>+TABELLA!AB24</f>
        <v>0</v>
      </c>
      <c r="E20" s="22"/>
      <c r="F20" s="26">
        <f>IF(TABELLA!B24="","",TABELLA!B24)</f>
        <v>12</v>
      </c>
      <c r="G20" s="27" t="str">
        <f>IF(TABELLA!C24="","",TABELLA!C24)</f>
        <v>xx</v>
      </c>
      <c r="H20" s="203" t="str">
        <f t="shared" ref="H20:W20" si="20">IF(AND(G$3&gt;=$A20,G$3&lt;$B20),1,IF(AND(G$3&gt;=$C20,G$3&lt;$D20),1,""))</f>
        <v/>
      </c>
      <c r="I20" s="203" t="str">
        <f t="shared" si="20"/>
        <v/>
      </c>
      <c r="J20" s="203" t="str">
        <f t="shared" si="20"/>
        <v/>
      </c>
      <c r="K20" s="204" t="str">
        <f t="shared" si="20"/>
        <v/>
      </c>
      <c r="L20" s="205" t="str">
        <f t="shared" si="20"/>
        <v/>
      </c>
      <c r="M20" s="203" t="str">
        <f t="shared" si="20"/>
        <v/>
      </c>
      <c r="N20" s="203" t="str">
        <f t="shared" si="20"/>
        <v/>
      </c>
      <c r="O20" s="204" t="str">
        <f t="shared" si="20"/>
        <v/>
      </c>
      <c r="P20" s="205" t="str">
        <f t="shared" si="20"/>
        <v/>
      </c>
      <c r="Q20" s="203" t="str">
        <f t="shared" si="20"/>
        <v/>
      </c>
      <c r="R20" s="203" t="str">
        <f t="shared" si="20"/>
        <v/>
      </c>
      <c r="S20" s="204" t="str">
        <f t="shared" si="20"/>
        <v/>
      </c>
      <c r="T20" s="205" t="str">
        <f t="shared" si="20"/>
        <v/>
      </c>
      <c r="U20" s="203" t="str">
        <f t="shared" si="20"/>
        <v/>
      </c>
      <c r="V20" s="203" t="str">
        <f t="shared" si="20"/>
        <v/>
      </c>
      <c r="W20" s="204" t="str">
        <f t="shared" si="20"/>
        <v/>
      </c>
      <c r="X20" s="205" t="str">
        <f t="shared" si="3"/>
        <v/>
      </c>
      <c r="Y20" s="203" t="str">
        <f t="shared" si="3"/>
        <v/>
      </c>
      <c r="Z20" s="203" t="str">
        <f t="shared" si="3"/>
        <v/>
      </c>
      <c r="AA20" s="204" t="str">
        <f t="shared" si="3"/>
        <v/>
      </c>
      <c r="AB20" s="205" t="str">
        <f t="shared" si="3"/>
        <v/>
      </c>
      <c r="AC20" s="203" t="str">
        <f t="shared" si="3"/>
        <v/>
      </c>
      <c r="AD20" s="203" t="str">
        <f t="shared" si="3"/>
        <v/>
      </c>
      <c r="AE20" s="204" t="str">
        <f t="shared" si="3"/>
        <v/>
      </c>
      <c r="AF20" s="205" t="str">
        <f t="shared" si="3"/>
        <v/>
      </c>
      <c r="AG20" s="203" t="str">
        <f t="shared" si="3"/>
        <v/>
      </c>
      <c r="AH20" s="203" t="str">
        <f t="shared" si="3"/>
        <v/>
      </c>
      <c r="AI20" s="204" t="str">
        <f t="shared" si="3"/>
        <v/>
      </c>
      <c r="AJ20" s="205" t="str">
        <f t="shared" si="3"/>
        <v/>
      </c>
      <c r="AK20" s="203" t="str">
        <f t="shared" si="3"/>
        <v/>
      </c>
      <c r="AL20" s="203" t="str">
        <f t="shared" si="3"/>
        <v/>
      </c>
      <c r="AM20" s="204" t="str">
        <f t="shared" si="3"/>
        <v/>
      </c>
      <c r="AN20" s="205" t="str">
        <f t="shared" si="4"/>
        <v/>
      </c>
      <c r="AO20" s="203" t="str">
        <f t="shared" si="4"/>
        <v/>
      </c>
      <c r="AP20" s="203" t="str">
        <f t="shared" si="4"/>
        <v/>
      </c>
      <c r="AQ20" s="204" t="str">
        <f t="shared" si="4"/>
        <v/>
      </c>
      <c r="AR20" s="205" t="str">
        <f t="shared" si="4"/>
        <v/>
      </c>
      <c r="AS20" s="203" t="str">
        <f t="shared" si="4"/>
        <v/>
      </c>
      <c r="AT20" s="203" t="str">
        <f t="shared" si="4"/>
        <v/>
      </c>
      <c r="AU20" s="204" t="str">
        <f t="shared" si="4"/>
        <v/>
      </c>
      <c r="AV20" s="205" t="str">
        <f t="shared" si="4"/>
        <v/>
      </c>
      <c r="AW20" s="203" t="str">
        <f t="shared" si="4"/>
        <v/>
      </c>
      <c r="AX20" s="203" t="str">
        <f t="shared" si="4"/>
        <v/>
      </c>
      <c r="AY20" s="204" t="str">
        <f t="shared" si="4"/>
        <v/>
      </c>
      <c r="AZ20" s="205" t="str">
        <f t="shared" si="4"/>
        <v/>
      </c>
      <c r="BA20" s="203" t="str">
        <f t="shared" si="4"/>
        <v/>
      </c>
      <c r="BB20" s="203" t="str">
        <f t="shared" si="4"/>
        <v/>
      </c>
      <c r="BC20" s="204" t="str">
        <f t="shared" si="4"/>
        <v/>
      </c>
      <c r="BD20" s="205" t="str">
        <f t="shared" si="5"/>
        <v/>
      </c>
      <c r="BE20" s="203" t="str">
        <f t="shared" si="5"/>
        <v/>
      </c>
      <c r="BF20" s="203" t="str">
        <f t="shared" si="5"/>
        <v/>
      </c>
      <c r="BG20" s="204" t="str">
        <f t="shared" si="5"/>
        <v/>
      </c>
      <c r="BH20" s="205" t="str">
        <f t="shared" si="5"/>
        <v/>
      </c>
      <c r="BI20" s="203" t="str">
        <f t="shared" si="5"/>
        <v/>
      </c>
      <c r="BJ20" s="203" t="str">
        <f t="shared" si="5"/>
        <v/>
      </c>
      <c r="BK20" s="204" t="str">
        <f t="shared" si="5"/>
        <v/>
      </c>
      <c r="BL20" s="205" t="str">
        <f t="shared" si="5"/>
        <v/>
      </c>
      <c r="BM20" s="203" t="str">
        <f t="shared" si="5"/>
        <v/>
      </c>
      <c r="BN20" s="203" t="str">
        <f t="shared" si="5"/>
        <v/>
      </c>
      <c r="BO20" s="204" t="str">
        <f t="shared" si="5"/>
        <v/>
      </c>
      <c r="BP20" s="205" t="str">
        <f t="shared" si="6"/>
        <v/>
      </c>
      <c r="BQ20" s="203" t="str">
        <f t="shared" si="6"/>
        <v/>
      </c>
      <c r="BR20" s="203" t="str">
        <f t="shared" si="6"/>
        <v/>
      </c>
      <c r="BS20" s="204" t="str">
        <f t="shared" si="6"/>
        <v/>
      </c>
      <c r="BT20" s="205" t="str">
        <f t="shared" si="6"/>
        <v/>
      </c>
      <c r="BU20" s="203" t="str">
        <f t="shared" si="6"/>
        <v/>
      </c>
      <c r="BV20" s="203" t="str">
        <f t="shared" si="6"/>
        <v/>
      </c>
      <c r="BW20" s="204" t="str">
        <f t="shared" si="6"/>
        <v/>
      </c>
      <c r="BX20" s="205" t="str">
        <f t="shared" si="6"/>
        <v/>
      </c>
      <c r="BY20" s="203" t="str">
        <f t="shared" si="6"/>
        <v/>
      </c>
      <c r="BZ20" s="203" t="str">
        <f t="shared" si="6"/>
        <v/>
      </c>
      <c r="CA20" s="204" t="str">
        <f t="shared" si="6"/>
        <v/>
      </c>
      <c r="CB20" s="205" t="str">
        <f t="shared" si="6"/>
        <v/>
      </c>
      <c r="CC20" s="203" t="str">
        <f t="shared" si="6"/>
        <v/>
      </c>
      <c r="CD20" s="203" t="str">
        <f t="shared" si="6"/>
        <v/>
      </c>
      <c r="CE20" s="204" t="str">
        <f t="shared" si="6"/>
        <v/>
      </c>
    </row>
    <row r="21" spans="1:83" ht="18" customHeight="1">
      <c r="A21" s="22">
        <f>+TABELLA!Y25</f>
        <v>0</v>
      </c>
      <c r="B21" s="22">
        <f>+TABELLA!Z25</f>
        <v>0</v>
      </c>
      <c r="C21" s="22">
        <f>+TABELLA!AA25</f>
        <v>0</v>
      </c>
      <c r="D21" s="22">
        <f>+TABELLA!AB25</f>
        <v>0</v>
      </c>
      <c r="E21" s="22"/>
      <c r="F21" s="41">
        <f>IF(TABELLA!B25="","",TABELLA!B25)</f>
        <v>1</v>
      </c>
      <c r="G21" s="42" t="str">
        <f>IF(TABELLA!C25="","",TABELLA!C25)</f>
        <v/>
      </c>
      <c r="H21" s="206" t="str">
        <f t="shared" ref="H21:V21" si="21">IF(AND(G$3&gt;=$A21,G$3&lt;$B21),1,IF(AND(G$3&gt;=$C21,G$3&lt;$D21),1,""))</f>
        <v/>
      </c>
      <c r="I21" s="206" t="str">
        <f t="shared" si="21"/>
        <v/>
      </c>
      <c r="J21" s="206" t="str">
        <f t="shared" si="21"/>
        <v/>
      </c>
      <c r="K21" s="207" t="str">
        <f t="shared" si="21"/>
        <v/>
      </c>
      <c r="L21" s="208" t="str">
        <f t="shared" si="21"/>
        <v/>
      </c>
      <c r="M21" s="206" t="str">
        <f t="shared" si="21"/>
        <v/>
      </c>
      <c r="N21" s="206" t="str">
        <f t="shared" si="21"/>
        <v/>
      </c>
      <c r="O21" s="207" t="str">
        <f t="shared" si="21"/>
        <v/>
      </c>
      <c r="P21" s="208" t="str">
        <f t="shared" si="21"/>
        <v/>
      </c>
      <c r="Q21" s="206" t="str">
        <f t="shared" si="21"/>
        <v/>
      </c>
      <c r="R21" s="206" t="str">
        <f t="shared" si="21"/>
        <v/>
      </c>
      <c r="S21" s="207" t="str">
        <f t="shared" si="21"/>
        <v/>
      </c>
      <c r="T21" s="208" t="str">
        <f t="shared" si="21"/>
        <v/>
      </c>
      <c r="U21" s="206" t="str">
        <f t="shared" si="21"/>
        <v/>
      </c>
      <c r="V21" s="206" t="str">
        <f t="shared" si="21"/>
        <v/>
      </c>
      <c r="W21" s="207" t="str">
        <f t="shared" ref="W21:AL36" si="22">IF(AND(V$3&gt;=$A21,V$3&lt;$B21),1,IF(AND(V$3&gt;=$C21,V$3&lt;$D21),1,""))</f>
        <v/>
      </c>
      <c r="X21" s="208" t="str">
        <f t="shared" si="22"/>
        <v/>
      </c>
      <c r="Y21" s="206" t="str">
        <f t="shared" si="22"/>
        <v/>
      </c>
      <c r="Z21" s="206" t="str">
        <f t="shared" si="22"/>
        <v/>
      </c>
      <c r="AA21" s="207" t="str">
        <f t="shared" si="22"/>
        <v/>
      </c>
      <c r="AB21" s="208" t="str">
        <f t="shared" si="22"/>
        <v/>
      </c>
      <c r="AC21" s="206" t="str">
        <f t="shared" si="22"/>
        <v/>
      </c>
      <c r="AD21" s="206" t="str">
        <f t="shared" si="22"/>
        <v/>
      </c>
      <c r="AE21" s="207" t="str">
        <f t="shared" si="22"/>
        <v/>
      </c>
      <c r="AF21" s="208" t="str">
        <f t="shared" si="22"/>
        <v/>
      </c>
      <c r="AG21" s="206" t="str">
        <f t="shared" si="22"/>
        <v/>
      </c>
      <c r="AH21" s="206" t="str">
        <f t="shared" si="22"/>
        <v/>
      </c>
      <c r="AI21" s="207" t="str">
        <f t="shared" si="22"/>
        <v/>
      </c>
      <c r="AJ21" s="208" t="str">
        <f t="shared" si="22"/>
        <v/>
      </c>
      <c r="AK21" s="206" t="str">
        <f t="shared" si="22"/>
        <v/>
      </c>
      <c r="AL21" s="206" t="str">
        <f t="shared" si="22"/>
        <v/>
      </c>
      <c r="AM21" s="207" t="str">
        <f t="shared" si="3"/>
        <v/>
      </c>
      <c r="AN21" s="208" t="str">
        <f t="shared" si="4"/>
        <v/>
      </c>
      <c r="AO21" s="206" t="str">
        <f t="shared" si="4"/>
        <v/>
      </c>
      <c r="AP21" s="206" t="str">
        <f t="shared" si="4"/>
        <v/>
      </c>
      <c r="AQ21" s="207" t="str">
        <f t="shared" si="4"/>
        <v/>
      </c>
      <c r="AR21" s="208" t="str">
        <f t="shared" si="4"/>
        <v/>
      </c>
      <c r="AS21" s="206" t="str">
        <f t="shared" si="4"/>
        <v/>
      </c>
      <c r="AT21" s="206" t="str">
        <f t="shared" si="4"/>
        <v/>
      </c>
      <c r="AU21" s="207" t="str">
        <f t="shared" si="4"/>
        <v/>
      </c>
      <c r="AV21" s="208" t="str">
        <f t="shared" si="4"/>
        <v/>
      </c>
      <c r="AW21" s="206" t="str">
        <f t="shared" si="4"/>
        <v/>
      </c>
      <c r="AX21" s="206" t="str">
        <f t="shared" si="4"/>
        <v/>
      </c>
      <c r="AY21" s="207" t="str">
        <f t="shared" si="4"/>
        <v/>
      </c>
      <c r="AZ21" s="208" t="str">
        <f t="shared" si="4"/>
        <v/>
      </c>
      <c r="BA21" s="206" t="str">
        <f t="shared" si="4"/>
        <v/>
      </c>
      <c r="BB21" s="206" t="str">
        <f t="shared" si="4"/>
        <v/>
      </c>
      <c r="BC21" s="207" t="str">
        <f t="shared" ref="BC21:BR36" si="23">IF(AND(BB$3&gt;=$A21,BB$3&lt;$B21),1,IF(AND(BB$3&gt;=$C21,BB$3&lt;$D21),1,""))</f>
        <v/>
      </c>
      <c r="BD21" s="208" t="str">
        <f t="shared" si="23"/>
        <v/>
      </c>
      <c r="BE21" s="206" t="str">
        <f t="shared" si="23"/>
        <v/>
      </c>
      <c r="BF21" s="206" t="str">
        <f t="shared" si="23"/>
        <v/>
      </c>
      <c r="BG21" s="207" t="str">
        <f t="shared" si="23"/>
        <v/>
      </c>
      <c r="BH21" s="208" t="str">
        <f t="shared" si="23"/>
        <v/>
      </c>
      <c r="BI21" s="206" t="str">
        <f t="shared" si="23"/>
        <v/>
      </c>
      <c r="BJ21" s="206" t="str">
        <f t="shared" si="23"/>
        <v/>
      </c>
      <c r="BK21" s="207" t="str">
        <f t="shared" si="23"/>
        <v/>
      </c>
      <c r="BL21" s="208" t="str">
        <f t="shared" si="23"/>
        <v/>
      </c>
      <c r="BM21" s="206" t="str">
        <f t="shared" si="23"/>
        <v/>
      </c>
      <c r="BN21" s="206" t="str">
        <f t="shared" si="23"/>
        <v/>
      </c>
      <c r="BO21" s="207" t="str">
        <f t="shared" si="23"/>
        <v/>
      </c>
      <c r="BP21" s="208" t="str">
        <f t="shared" si="6"/>
        <v/>
      </c>
      <c r="BQ21" s="206" t="str">
        <f t="shared" si="6"/>
        <v/>
      </c>
      <c r="BR21" s="206" t="str">
        <f t="shared" si="6"/>
        <v/>
      </c>
      <c r="BS21" s="207" t="str">
        <f t="shared" si="6"/>
        <v/>
      </c>
      <c r="BT21" s="208" t="str">
        <f t="shared" si="6"/>
        <v/>
      </c>
      <c r="BU21" s="206" t="str">
        <f t="shared" si="6"/>
        <v/>
      </c>
      <c r="BV21" s="206" t="str">
        <f t="shared" si="6"/>
        <v/>
      </c>
      <c r="BW21" s="207" t="str">
        <f t="shared" si="6"/>
        <v/>
      </c>
      <c r="BX21" s="208" t="str">
        <f t="shared" si="6"/>
        <v/>
      </c>
      <c r="BY21" s="206" t="str">
        <f t="shared" si="6"/>
        <v/>
      </c>
      <c r="BZ21" s="206" t="str">
        <f t="shared" si="6"/>
        <v/>
      </c>
      <c r="CA21" s="207" t="str">
        <f t="shared" si="6"/>
        <v/>
      </c>
      <c r="CB21" s="208" t="str">
        <f t="shared" si="6"/>
        <v/>
      </c>
      <c r="CC21" s="206" t="str">
        <f t="shared" si="6"/>
        <v/>
      </c>
      <c r="CD21" s="206" t="str">
        <f t="shared" si="6"/>
        <v/>
      </c>
      <c r="CE21" s="207" t="str">
        <f t="shared" si="6"/>
        <v/>
      </c>
    </row>
    <row r="22" spans="1:83" ht="18" customHeight="1">
      <c r="A22" s="22">
        <f>+TABELLA!Y26</f>
        <v>0</v>
      </c>
      <c r="B22" s="22">
        <f>+TABELLA!Z26</f>
        <v>0</v>
      </c>
      <c r="C22" s="22">
        <f>+TABELLA!AA26</f>
        <v>0</v>
      </c>
      <c r="D22" s="22">
        <f>+TABELLA!AB26</f>
        <v>0</v>
      </c>
      <c r="E22" s="22"/>
      <c r="F22" s="26">
        <f>IF(TABELLA!B26="","",TABELLA!B26)</f>
        <v>1</v>
      </c>
      <c r="G22" s="27" t="str">
        <f>IF(TABELLA!C26="","",TABELLA!C26)</f>
        <v/>
      </c>
      <c r="H22" s="203" t="str">
        <f t="shared" ref="H22:V22" si="24">IF(AND(G$3&gt;=$A22,G$3&lt;$B22),1,IF(AND(G$3&gt;=$C22,G$3&lt;$D22),1,""))</f>
        <v/>
      </c>
      <c r="I22" s="203" t="str">
        <f t="shared" si="24"/>
        <v/>
      </c>
      <c r="J22" s="203" t="str">
        <f t="shared" si="24"/>
        <v/>
      </c>
      <c r="K22" s="204" t="str">
        <f t="shared" si="24"/>
        <v/>
      </c>
      <c r="L22" s="205" t="str">
        <f t="shared" si="24"/>
        <v/>
      </c>
      <c r="M22" s="203" t="str">
        <f t="shared" si="24"/>
        <v/>
      </c>
      <c r="N22" s="203" t="str">
        <f t="shared" si="24"/>
        <v/>
      </c>
      <c r="O22" s="204" t="str">
        <f t="shared" si="24"/>
        <v/>
      </c>
      <c r="P22" s="205" t="str">
        <f t="shared" si="24"/>
        <v/>
      </c>
      <c r="Q22" s="203" t="str">
        <f t="shared" si="24"/>
        <v/>
      </c>
      <c r="R22" s="203" t="str">
        <f t="shared" si="24"/>
        <v/>
      </c>
      <c r="S22" s="204" t="str">
        <f t="shared" si="24"/>
        <v/>
      </c>
      <c r="T22" s="205" t="str">
        <f t="shared" si="24"/>
        <v/>
      </c>
      <c r="U22" s="203" t="str">
        <f t="shared" si="24"/>
        <v/>
      </c>
      <c r="V22" s="203" t="str">
        <f t="shared" si="24"/>
        <v/>
      </c>
      <c r="W22" s="204" t="str">
        <f t="shared" ref="W22:W36" si="25">IF(AND(V$3&gt;=$A22,V$3&lt;$B22),1,IF(AND(V$3&gt;=$C22,V$3&lt;$D22),1,""))</f>
        <v/>
      </c>
      <c r="X22" s="205" t="str">
        <f t="shared" si="22"/>
        <v/>
      </c>
      <c r="Y22" s="203" t="str">
        <f t="shared" si="22"/>
        <v/>
      </c>
      <c r="Z22" s="203" t="str">
        <f t="shared" si="22"/>
        <v/>
      </c>
      <c r="AA22" s="204" t="str">
        <f t="shared" si="22"/>
        <v/>
      </c>
      <c r="AB22" s="205" t="str">
        <f t="shared" si="22"/>
        <v/>
      </c>
      <c r="AC22" s="203" t="str">
        <f t="shared" si="22"/>
        <v/>
      </c>
      <c r="AD22" s="203" t="str">
        <f t="shared" si="22"/>
        <v/>
      </c>
      <c r="AE22" s="204" t="str">
        <f t="shared" si="22"/>
        <v/>
      </c>
      <c r="AF22" s="205" t="str">
        <f t="shared" si="22"/>
        <v/>
      </c>
      <c r="AG22" s="203" t="str">
        <f t="shared" si="22"/>
        <v/>
      </c>
      <c r="AH22" s="203" t="str">
        <f t="shared" si="22"/>
        <v/>
      </c>
      <c r="AI22" s="204" t="str">
        <f t="shared" si="22"/>
        <v/>
      </c>
      <c r="AJ22" s="205" t="str">
        <f t="shared" si="22"/>
        <v/>
      </c>
      <c r="AK22" s="203" t="str">
        <f t="shared" si="22"/>
        <v/>
      </c>
      <c r="AL22" s="203" t="str">
        <f t="shared" si="22"/>
        <v/>
      </c>
      <c r="AM22" s="204" t="str">
        <f t="shared" ref="AM22:BB37" si="26">IF(AND(AL$3&gt;=$A22,AL$3&lt;$B22),1,IF(AND(AL$3&gt;=$C22,AL$3&lt;$D22),1,""))</f>
        <v/>
      </c>
      <c r="AN22" s="205" t="str">
        <f t="shared" si="26"/>
        <v/>
      </c>
      <c r="AO22" s="203" t="str">
        <f t="shared" si="26"/>
        <v/>
      </c>
      <c r="AP22" s="203" t="str">
        <f t="shared" si="26"/>
        <v/>
      </c>
      <c r="AQ22" s="204" t="str">
        <f t="shared" si="26"/>
        <v/>
      </c>
      <c r="AR22" s="205" t="str">
        <f t="shared" si="26"/>
        <v/>
      </c>
      <c r="AS22" s="203" t="str">
        <f t="shared" si="26"/>
        <v/>
      </c>
      <c r="AT22" s="203" t="str">
        <f t="shared" si="26"/>
        <v/>
      </c>
      <c r="AU22" s="204" t="str">
        <f t="shared" si="26"/>
        <v/>
      </c>
      <c r="AV22" s="205" t="str">
        <f t="shared" si="26"/>
        <v/>
      </c>
      <c r="AW22" s="203" t="str">
        <f t="shared" si="26"/>
        <v/>
      </c>
      <c r="AX22" s="203" t="str">
        <f t="shared" si="26"/>
        <v/>
      </c>
      <c r="AY22" s="204" t="str">
        <f t="shared" si="26"/>
        <v/>
      </c>
      <c r="AZ22" s="205" t="str">
        <f t="shared" si="26"/>
        <v/>
      </c>
      <c r="BA22" s="203" t="str">
        <f t="shared" si="26"/>
        <v/>
      </c>
      <c r="BB22" s="203" t="str">
        <f t="shared" si="26"/>
        <v/>
      </c>
      <c r="BC22" s="204" t="str">
        <f t="shared" si="23"/>
        <v/>
      </c>
      <c r="BD22" s="205" t="str">
        <f t="shared" si="23"/>
        <v/>
      </c>
      <c r="BE22" s="203" t="str">
        <f t="shared" si="23"/>
        <v/>
      </c>
      <c r="BF22" s="203" t="str">
        <f t="shared" si="23"/>
        <v/>
      </c>
      <c r="BG22" s="204" t="str">
        <f t="shared" si="23"/>
        <v/>
      </c>
      <c r="BH22" s="205" t="str">
        <f t="shared" si="23"/>
        <v/>
      </c>
      <c r="BI22" s="203" t="str">
        <f t="shared" si="23"/>
        <v/>
      </c>
      <c r="BJ22" s="203" t="str">
        <f t="shared" si="23"/>
        <v/>
      </c>
      <c r="BK22" s="204" t="str">
        <f t="shared" si="23"/>
        <v/>
      </c>
      <c r="BL22" s="205" t="str">
        <f t="shared" si="23"/>
        <v/>
      </c>
      <c r="BM22" s="203" t="str">
        <f t="shared" si="23"/>
        <v/>
      </c>
      <c r="BN22" s="203" t="str">
        <f t="shared" si="23"/>
        <v/>
      </c>
      <c r="BO22" s="204" t="str">
        <f t="shared" si="23"/>
        <v/>
      </c>
      <c r="BP22" s="205" t="str">
        <f t="shared" si="23"/>
        <v/>
      </c>
      <c r="BQ22" s="203" t="str">
        <f t="shared" si="23"/>
        <v/>
      </c>
      <c r="BR22" s="203" t="str">
        <f t="shared" si="23"/>
        <v/>
      </c>
      <c r="BS22" s="204" t="str">
        <f t="shared" ref="BP22:CE37" si="27">IF(AND(BR$3&gt;=$A22,BR$3&lt;$B22),1,IF(AND(BR$3&gt;=$C22,BR$3&lt;$D22),1,""))</f>
        <v/>
      </c>
      <c r="BT22" s="205" t="str">
        <f t="shared" si="27"/>
        <v/>
      </c>
      <c r="BU22" s="203" t="str">
        <f t="shared" si="27"/>
        <v/>
      </c>
      <c r="BV22" s="203" t="str">
        <f t="shared" si="27"/>
        <v/>
      </c>
      <c r="BW22" s="204" t="str">
        <f t="shared" si="27"/>
        <v/>
      </c>
      <c r="BX22" s="205" t="str">
        <f t="shared" si="27"/>
        <v/>
      </c>
      <c r="BY22" s="203" t="str">
        <f t="shared" si="27"/>
        <v/>
      </c>
      <c r="BZ22" s="203" t="str">
        <f t="shared" si="27"/>
        <v/>
      </c>
      <c r="CA22" s="204" t="str">
        <f t="shared" si="27"/>
        <v/>
      </c>
      <c r="CB22" s="205" t="str">
        <f t="shared" si="27"/>
        <v/>
      </c>
      <c r="CC22" s="203" t="str">
        <f t="shared" si="27"/>
        <v/>
      </c>
      <c r="CD22" s="203" t="str">
        <f t="shared" si="27"/>
        <v/>
      </c>
      <c r="CE22" s="204" t="str">
        <f t="shared" si="27"/>
        <v/>
      </c>
    </row>
    <row r="23" spans="1:83" ht="18" customHeight="1">
      <c r="A23" s="22">
        <f>+TABELLA!Y27</f>
        <v>0</v>
      </c>
      <c r="B23" s="22">
        <f>+TABELLA!Z27</f>
        <v>0</v>
      </c>
      <c r="C23" s="22">
        <f>+TABELLA!AA27</f>
        <v>0</v>
      </c>
      <c r="D23" s="22">
        <f>+TABELLA!AB27</f>
        <v>0</v>
      </c>
      <c r="E23" s="22"/>
      <c r="F23" s="41" t="str">
        <f>IF(TABELLA!B27="","",TABELLA!B27)</f>
        <v/>
      </c>
      <c r="G23" s="42" t="str">
        <f>IF(TABELLA!C27="","",TABELLA!C27)</f>
        <v/>
      </c>
      <c r="H23" s="206" t="str">
        <f t="shared" ref="H23:V23" si="28">IF(AND(G$3&gt;=$A23,G$3&lt;$B23),1,IF(AND(G$3&gt;=$C23,G$3&lt;$D23),1,""))</f>
        <v/>
      </c>
      <c r="I23" s="206" t="str">
        <f t="shared" si="28"/>
        <v/>
      </c>
      <c r="J23" s="206" t="str">
        <f t="shared" si="28"/>
        <v/>
      </c>
      <c r="K23" s="207" t="str">
        <f t="shared" si="28"/>
        <v/>
      </c>
      <c r="L23" s="208" t="str">
        <f t="shared" si="28"/>
        <v/>
      </c>
      <c r="M23" s="206" t="str">
        <f t="shared" si="28"/>
        <v/>
      </c>
      <c r="N23" s="206" t="str">
        <f t="shared" si="28"/>
        <v/>
      </c>
      <c r="O23" s="207" t="str">
        <f t="shared" si="28"/>
        <v/>
      </c>
      <c r="P23" s="208" t="str">
        <f t="shared" si="28"/>
        <v/>
      </c>
      <c r="Q23" s="206" t="str">
        <f t="shared" si="28"/>
        <v/>
      </c>
      <c r="R23" s="206" t="str">
        <f t="shared" si="28"/>
        <v/>
      </c>
      <c r="S23" s="207" t="str">
        <f t="shared" si="28"/>
        <v/>
      </c>
      <c r="T23" s="208" t="str">
        <f t="shared" si="28"/>
        <v/>
      </c>
      <c r="U23" s="206" t="str">
        <f t="shared" si="28"/>
        <v/>
      </c>
      <c r="V23" s="206" t="str">
        <f t="shared" si="28"/>
        <v/>
      </c>
      <c r="W23" s="207" t="str">
        <f t="shared" si="25"/>
        <v/>
      </c>
      <c r="X23" s="208" t="str">
        <f t="shared" si="22"/>
        <v/>
      </c>
      <c r="Y23" s="206" t="str">
        <f t="shared" si="22"/>
        <v/>
      </c>
      <c r="Z23" s="206" t="str">
        <f t="shared" si="22"/>
        <v/>
      </c>
      <c r="AA23" s="207" t="str">
        <f t="shared" si="22"/>
        <v/>
      </c>
      <c r="AB23" s="208" t="str">
        <f t="shared" si="22"/>
        <v/>
      </c>
      <c r="AC23" s="206" t="str">
        <f t="shared" si="22"/>
        <v/>
      </c>
      <c r="AD23" s="206" t="str">
        <f t="shared" si="22"/>
        <v/>
      </c>
      <c r="AE23" s="207" t="str">
        <f t="shared" si="22"/>
        <v/>
      </c>
      <c r="AF23" s="208" t="str">
        <f t="shared" si="22"/>
        <v/>
      </c>
      <c r="AG23" s="206" t="str">
        <f t="shared" si="22"/>
        <v/>
      </c>
      <c r="AH23" s="206" t="str">
        <f t="shared" si="22"/>
        <v/>
      </c>
      <c r="AI23" s="207" t="str">
        <f t="shared" si="22"/>
        <v/>
      </c>
      <c r="AJ23" s="208" t="str">
        <f t="shared" si="22"/>
        <v/>
      </c>
      <c r="AK23" s="206" t="str">
        <f t="shared" si="22"/>
        <v/>
      </c>
      <c r="AL23" s="206" t="str">
        <f t="shared" si="22"/>
        <v/>
      </c>
      <c r="AM23" s="207" t="str">
        <f t="shared" si="26"/>
        <v/>
      </c>
      <c r="AN23" s="208" t="str">
        <f t="shared" si="26"/>
        <v/>
      </c>
      <c r="AO23" s="206" t="str">
        <f t="shared" si="26"/>
        <v/>
      </c>
      <c r="AP23" s="206" t="str">
        <f t="shared" si="26"/>
        <v/>
      </c>
      <c r="AQ23" s="207" t="str">
        <f t="shared" si="26"/>
        <v/>
      </c>
      <c r="AR23" s="208" t="str">
        <f t="shared" si="26"/>
        <v/>
      </c>
      <c r="AS23" s="206" t="str">
        <f t="shared" si="26"/>
        <v/>
      </c>
      <c r="AT23" s="206" t="str">
        <f t="shared" si="26"/>
        <v/>
      </c>
      <c r="AU23" s="207" t="str">
        <f t="shared" si="26"/>
        <v/>
      </c>
      <c r="AV23" s="208" t="str">
        <f t="shared" si="26"/>
        <v/>
      </c>
      <c r="AW23" s="206" t="str">
        <f t="shared" si="26"/>
        <v/>
      </c>
      <c r="AX23" s="206" t="str">
        <f t="shared" si="26"/>
        <v/>
      </c>
      <c r="AY23" s="207" t="str">
        <f t="shared" si="26"/>
        <v/>
      </c>
      <c r="AZ23" s="208" t="str">
        <f t="shared" si="26"/>
        <v/>
      </c>
      <c r="BA23" s="206" t="str">
        <f t="shared" si="26"/>
        <v/>
      </c>
      <c r="BB23" s="206" t="str">
        <f t="shared" si="26"/>
        <v/>
      </c>
      <c r="BC23" s="207" t="str">
        <f t="shared" si="23"/>
        <v/>
      </c>
      <c r="BD23" s="208" t="str">
        <f t="shared" si="23"/>
        <v/>
      </c>
      <c r="BE23" s="206" t="str">
        <f t="shared" si="23"/>
        <v/>
      </c>
      <c r="BF23" s="206" t="str">
        <f t="shared" si="23"/>
        <v/>
      </c>
      <c r="BG23" s="207" t="str">
        <f t="shared" si="23"/>
        <v/>
      </c>
      <c r="BH23" s="208" t="str">
        <f t="shared" si="23"/>
        <v/>
      </c>
      <c r="BI23" s="206" t="str">
        <f t="shared" si="23"/>
        <v/>
      </c>
      <c r="BJ23" s="206" t="str">
        <f t="shared" si="23"/>
        <v/>
      </c>
      <c r="BK23" s="207" t="str">
        <f t="shared" si="23"/>
        <v/>
      </c>
      <c r="BL23" s="208" t="str">
        <f t="shared" si="23"/>
        <v/>
      </c>
      <c r="BM23" s="206" t="str">
        <f t="shared" si="23"/>
        <v/>
      </c>
      <c r="BN23" s="206" t="str">
        <f t="shared" si="23"/>
        <v/>
      </c>
      <c r="BO23" s="207" t="str">
        <f t="shared" si="23"/>
        <v/>
      </c>
      <c r="BP23" s="208" t="str">
        <f t="shared" si="27"/>
        <v/>
      </c>
      <c r="BQ23" s="206" t="str">
        <f t="shared" si="27"/>
        <v/>
      </c>
      <c r="BR23" s="206" t="str">
        <f t="shared" si="27"/>
        <v/>
      </c>
      <c r="BS23" s="207" t="str">
        <f t="shared" si="27"/>
        <v/>
      </c>
      <c r="BT23" s="208" t="str">
        <f t="shared" si="27"/>
        <v/>
      </c>
      <c r="BU23" s="206" t="str">
        <f t="shared" si="27"/>
        <v/>
      </c>
      <c r="BV23" s="206" t="str">
        <f t="shared" si="27"/>
        <v/>
      </c>
      <c r="BW23" s="207" t="str">
        <f t="shared" si="27"/>
        <v/>
      </c>
      <c r="BX23" s="208" t="str">
        <f t="shared" si="27"/>
        <v/>
      </c>
      <c r="BY23" s="206" t="str">
        <f t="shared" si="27"/>
        <v/>
      </c>
      <c r="BZ23" s="206" t="str">
        <f t="shared" si="27"/>
        <v/>
      </c>
      <c r="CA23" s="207" t="str">
        <f t="shared" si="27"/>
        <v/>
      </c>
      <c r="CB23" s="208" t="str">
        <f t="shared" si="27"/>
        <v/>
      </c>
      <c r="CC23" s="206" t="str">
        <f t="shared" si="27"/>
        <v/>
      </c>
      <c r="CD23" s="206" t="str">
        <f t="shared" si="27"/>
        <v/>
      </c>
      <c r="CE23" s="207" t="str">
        <f t="shared" si="27"/>
        <v/>
      </c>
    </row>
    <row r="24" spans="1:83" ht="18" customHeight="1">
      <c r="A24" s="22">
        <f>+TABELLA!Y28</f>
        <v>0</v>
      </c>
      <c r="B24" s="22">
        <f>+TABELLA!Z28</f>
        <v>0</v>
      </c>
      <c r="C24" s="22">
        <f>+TABELLA!AA28</f>
        <v>0</v>
      </c>
      <c r="D24" s="22">
        <f>+TABELLA!AB28</f>
        <v>0</v>
      </c>
      <c r="E24" s="22"/>
      <c r="F24" s="26">
        <f>IF(TABELLA!B28="","",TABELLA!B28)</f>
        <v>3</v>
      </c>
      <c r="G24" s="27" t="str">
        <f>IF(TABELLA!C28="","",TABELLA!C28)</f>
        <v>SARTORATO TATIANA</v>
      </c>
      <c r="H24" s="203" t="str">
        <f t="shared" ref="H24:V24" si="29">IF(AND(G$3&gt;=$A24,G$3&lt;$B24),1,IF(AND(G$3&gt;=$C24,G$3&lt;$D24),1,""))</f>
        <v/>
      </c>
      <c r="I24" s="203" t="str">
        <f t="shared" si="29"/>
        <v/>
      </c>
      <c r="J24" s="203" t="str">
        <f t="shared" si="29"/>
        <v/>
      </c>
      <c r="K24" s="204" t="str">
        <f t="shared" si="29"/>
        <v/>
      </c>
      <c r="L24" s="205" t="str">
        <f t="shared" si="29"/>
        <v/>
      </c>
      <c r="M24" s="203" t="str">
        <f t="shared" si="29"/>
        <v/>
      </c>
      <c r="N24" s="203" t="str">
        <f t="shared" si="29"/>
        <v/>
      </c>
      <c r="O24" s="204" t="str">
        <f t="shared" si="29"/>
        <v/>
      </c>
      <c r="P24" s="205" t="str">
        <f t="shared" si="29"/>
        <v/>
      </c>
      <c r="Q24" s="203" t="str">
        <f t="shared" si="29"/>
        <v/>
      </c>
      <c r="R24" s="203" t="str">
        <f t="shared" si="29"/>
        <v/>
      </c>
      <c r="S24" s="204" t="str">
        <f t="shared" si="29"/>
        <v/>
      </c>
      <c r="T24" s="205" t="str">
        <f t="shared" si="29"/>
        <v/>
      </c>
      <c r="U24" s="203" t="str">
        <f t="shared" si="29"/>
        <v/>
      </c>
      <c r="V24" s="203" t="str">
        <f t="shared" si="29"/>
        <v/>
      </c>
      <c r="W24" s="204" t="str">
        <f t="shared" si="25"/>
        <v/>
      </c>
      <c r="X24" s="205" t="str">
        <f t="shared" si="22"/>
        <v/>
      </c>
      <c r="Y24" s="203" t="str">
        <f t="shared" si="22"/>
        <v/>
      </c>
      <c r="Z24" s="203" t="str">
        <f t="shared" si="22"/>
        <v/>
      </c>
      <c r="AA24" s="204" t="str">
        <f t="shared" si="22"/>
        <v/>
      </c>
      <c r="AB24" s="205" t="str">
        <f t="shared" si="22"/>
        <v/>
      </c>
      <c r="AC24" s="203" t="str">
        <f t="shared" si="22"/>
        <v/>
      </c>
      <c r="AD24" s="203" t="str">
        <f t="shared" si="22"/>
        <v/>
      </c>
      <c r="AE24" s="204" t="str">
        <f t="shared" si="22"/>
        <v/>
      </c>
      <c r="AF24" s="205" t="str">
        <f t="shared" si="22"/>
        <v/>
      </c>
      <c r="AG24" s="203" t="str">
        <f t="shared" si="22"/>
        <v/>
      </c>
      <c r="AH24" s="203" t="str">
        <f t="shared" si="22"/>
        <v/>
      </c>
      <c r="AI24" s="204" t="str">
        <f t="shared" si="22"/>
        <v/>
      </c>
      <c r="AJ24" s="205" t="str">
        <f t="shared" si="22"/>
        <v/>
      </c>
      <c r="AK24" s="203" t="str">
        <f t="shared" si="22"/>
        <v/>
      </c>
      <c r="AL24" s="203" t="str">
        <f t="shared" si="22"/>
        <v/>
      </c>
      <c r="AM24" s="204" t="str">
        <f t="shared" si="26"/>
        <v/>
      </c>
      <c r="AN24" s="205" t="str">
        <f t="shared" si="26"/>
        <v/>
      </c>
      <c r="AO24" s="203" t="str">
        <f t="shared" si="26"/>
        <v/>
      </c>
      <c r="AP24" s="203" t="str">
        <f t="shared" si="26"/>
        <v/>
      </c>
      <c r="AQ24" s="204" t="str">
        <f t="shared" si="26"/>
        <v/>
      </c>
      <c r="AR24" s="205" t="str">
        <f t="shared" si="26"/>
        <v/>
      </c>
      <c r="AS24" s="203" t="str">
        <f t="shared" si="26"/>
        <v/>
      </c>
      <c r="AT24" s="203" t="str">
        <f t="shared" si="26"/>
        <v/>
      </c>
      <c r="AU24" s="204" t="str">
        <f t="shared" si="26"/>
        <v/>
      </c>
      <c r="AV24" s="205" t="str">
        <f t="shared" si="26"/>
        <v/>
      </c>
      <c r="AW24" s="203" t="str">
        <f t="shared" si="26"/>
        <v/>
      </c>
      <c r="AX24" s="203" t="str">
        <f t="shared" si="26"/>
        <v/>
      </c>
      <c r="AY24" s="204" t="str">
        <f t="shared" si="26"/>
        <v/>
      </c>
      <c r="AZ24" s="205" t="str">
        <f t="shared" si="26"/>
        <v/>
      </c>
      <c r="BA24" s="203" t="str">
        <f t="shared" si="26"/>
        <v/>
      </c>
      <c r="BB24" s="203" t="str">
        <f t="shared" si="26"/>
        <v/>
      </c>
      <c r="BC24" s="204" t="str">
        <f t="shared" si="23"/>
        <v/>
      </c>
      <c r="BD24" s="205" t="str">
        <f t="shared" si="23"/>
        <v/>
      </c>
      <c r="BE24" s="203" t="str">
        <f t="shared" si="23"/>
        <v/>
      </c>
      <c r="BF24" s="203" t="str">
        <f t="shared" si="23"/>
        <v/>
      </c>
      <c r="BG24" s="204" t="str">
        <f t="shared" si="23"/>
        <v/>
      </c>
      <c r="BH24" s="205" t="str">
        <f t="shared" si="23"/>
        <v/>
      </c>
      <c r="BI24" s="203" t="str">
        <f t="shared" si="23"/>
        <v/>
      </c>
      <c r="BJ24" s="203" t="str">
        <f t="shared" si="23"/>
        <v/>
      </c>
      <c r="BK24" s="204" t="str">
        <f t="shared" si="23"/>
        <v/>
      </c>
      <c r="BL24" s="205" t="str">
        <f t="shared" si="23"/>
        <v/>
      </c>
      <c r="BM24" s="203" t="str">
        <f t="shared" si="23"/>
        <v/>
      </c>
      <c r="BN24" s="203" t="str">
        <f t="shared" si="23"/>
        <v/>
      </c>
      <c r="BO24" s="204" t="str">
        <f t="shared" si="23"/>
        <v/>
      </c>
      <c r="BP24" s="205" t="str">
        <f t="shared" si="27"/>
        <v/>
      </c>
      <c r="BQ24" s="203" t="str">
        <f t="shared" si="27"/>
        <v/>
      </c>
      <c r="BR24" s="203" t="str">
        <f t="shared" si="27"/>
        <v/>
      </c>
      <c r="BS24" s="204" t="str">
        <f t="shared" si="27"/>
        <v/>
      </c>
      <c r="BT24" s="205" t="str">
        <f t="shared" si="27"/>
        <v/>
      </c>
      <c r="BU24" s="203" t="str">
        <f t="shared" si="27"/>
        <v/>
      </c>
      <c r="BV24" s="203" t="str">
        <f t="shared" si="27"/>
        <v/>
      </c>
      <c r="BW24" s="204" t="str">
        <f t="shared" si="27"/>
        <v/>
      </c>
      <c r="BX24" s="205" t="str">
        <f t="shared" si="27"/>
        <v/>
      </c>
      <c r="BY24" s="203" t="str">
        <f t="shared" si="27"/>
        <v/>
      </c>
      <c r="BZ24" s="203" t="str">
        <f t="shared" si="27"/>
        <v/>
      </c>
      <c r="CA24" s="204" t="str">
        <f t="shared" si="27"/>
        <v/>
      </c>
      <c r="CB24" s="205" t="str">
        <f t="shared" si="27"/>
        <v/>
      </c>
      <c r="CC24" s="203" t="str">
        <f t="shared" si="27"/>
        <v/>
      </c>
      <c r="CD24" s="203" t="str">
        <f t="shared" si="27"/>
        <v/>
      </c>
      <c r="CE24" s="204" t="str">
        <f t="shared" si="27"/>
        <v/>
      </c>
    </row>
    <row r="25" spans="1:83" ht="18" customHeight="1">
      <c r="A25" s="22">
        <f>+TABELLA!Y29</f>
        <v>0</v>
      </c>
      <c r="B25" s="22">
        <f>+TABELLA!Z29</f>
        <v>0</v>
      </c>
      <c r="C25" s="22">
        <f>+TABELLA!AA29</f>
        <v>0</v>
      </c>
      <c r="D25" s="22">
        <f>+TABELLA!AB29</f>
        <v>0</v>
      </c>
      <c r="E25" s="22"/>
      <c r="F25" s="41">
        <f>IF(TABELLA!B29="","",TABELLA!B29)</f>
        <v>3</v>
      </c>
      <c r="G25" s="42" t="str">
        <f>IF(TABELLA!C29="","",TABELLA!C29)</f>
        <v>CATALDO MARIKA</v>
      </c>
      <c r="H25" s="206" t="str">
        <f t="shared" ref="H25:V25" si="30">IF(AND(G$3&gt;=$A25,G$3&lt;$B25),1,IF(AND(G$3&gt;=$C25,G$3&lt;$D25),1,""))</f>
        <v/>
      </c>
      <c r="I25" s="206" t="str">
        <f t="shared" si="30"/>
        <v/>
      </c>
      <c r="J25" s="206" t="str">
        <f t="shared" si="30"/>
        <v/>
      </c>
      <c r="K25" s="207" t="str">
        <f t="shared" si="30"/>
        <v/>
      </c>
      <c r="L25" s="208" t="str">
        <f t="shared" si="30"/>
        <v/>
      </c>
      <c r="M25" s="206" t="str">
        <f t="shared" si="30"/>
        <v/>
      </c>
      <c r="N25" s="206" t="str">
        <f t="shared" si="30"/>
        <v/>
      </c>
      <c r="O25" s="207" t="str">
        <f t="shared" si="30"/>
        <v/>
      </c>
      <c r="P25" s="208" t="str">
        <f t="shared" si="30"/>
        <v/>
      </c>
      <c r="Q25" s="206" t="str">
        <f t="shared" si="30"/>
        <v/>
      </c>
      <c r="R25" s="206" t="str">
        <f t="shared" si="30"/>
        <v/>
      </c>
      <c r="S25" s="207" t="str">
        <f t="shared" si="30"/>
        <v/>
      </c>
      <c r="T25" s="208" t="str">
        <f t="shared" si="30"/>
        <v/>
      </c>
      <c r="U25" s="206" t="str">
        <f t="shared" si="30"/>
        <v/>
      </c>
      <c r="V25" s="206" t="str">
        <f t="shared" si="30"/>
        <v/>
      </c>
      <c r="W25" s="207" t="str">
        <f t="shared" si="25"/>
        <v/>
      </c>
      <c r="X25" s="208" t="str">
        <f t="shared" si="22"/>
        <v/>
      </c>
      <c r="Y25" s="206" t="str">
        <f t="shared" si="22"/>
        <v/>
      </c>
      <c r="Z25" s="206" t="str">
        <f t="shared" si="22"/>
        <v/>
      </c>
      <c r="AA25" s="207" t="str">
        <f t="shared" si="22"/>
        <v/>
      </c>
      <c r="AB25" s="208" t="str">
        <f t="shared" si="22"/>
        <v/>
      </c>
      <c r="AC25" s="206" t="str">
        <f t="shared" si="22"/>
        <v/>
      </c>
      <c r="AD25" s="206" t="str">
        <f t="shared" si="22"/>
        <v/>
      </c>
      <c r="AE25" s="207" t="str">
        <f t="shared" si="22"/>
        <v/>
      </c>
      <c r="AF25" s="208" t="str">
        <f t="shared" si="22"/>
        <v/>
      </c>
      <c r="AG25" s="206" t="str">
        <f t="shared" si="22"/>
        <v/>
      </c>
      <c r="AH25" s="206" t="str">
        <f t="shared" si="22"/>
        <v/>
      </c>
      <c r="AI25" s="207" t="str">
        <f t="shared" si="22"/>
        <v/>
      </c>
      <c r="AJ25" s="208" t="str">
        <f t="shared" si="22"/>
        <v/>
      </c>
      <c r="AK25" s="206" t="str">
        <f t="shared" si="22"/>
        <v/>
      </c>
      <c r="AL25" s="206" t="str">
        <f t="shared" si="22"/>
        <v/>
      </c>
      <c r="AM25" s="207" t="str">
        <f t="shared" si="26"/>
        <v/>
      </c>
      <c r="AN25" s="208" t="str">
        <f t="shared" si="26"/>
        <v/>
      </c>
      <c r="AO25" s="206" t="str">
        <f t="shared" si="26"/>
        <v/>
      </c>
      <c r="AP25" s="206" t="str">
        <f t="shared" si="26"/>
        <v/>
      </c>
      <c r="AQ25" s="207" t="str">
        <f t="shared" si="26"/>
        <v/>
      </c>
      <c r="AR25" s="208" t="str">
        <f t="shared" si="26"/>
        <v/>
      </c>
      <c r="AS25" s="206" t="str">
        <f t="shared" si="26"/>
        <v/>
      </c>
      <c r="AT25" s="206" t="str">
        <f t="shared" si="26"/>
        <v/>
      </c>
      <c r="AU25" s="207" t="str">
        <f t="shared" si="26"/>
        <v/>
      </c>
      <c r="AV25" s="208" t="str">
        <f t="shared" si="26"/>
        <v/>
      </c>
      <c r="AW25" s="206" t="str">
        <f t="shared" si="26"/>
        <v/>
      </c>
      <c r="AX25" s="206" t="str">
        <f t="shared" si="26"/>
        <v/>
      </c>
      <c r="AY25" s="207" t="str">
        <f t="shared" si="26"/>
        <v/>
      </c>
      <c r="AZ25" s="208" t="str">
        <f t="shared" si="26"/>
        <v/>
      </c>
      <c r="BA25" s="206" t="str">
        <f t="shared" si="26"/>
        <v/>
      </c>
      <c r="BB25" s="206" t="str">
        <f t="shared" si="26"/>
        <v/>
      </c>
      <c r="BC25" s="207" t="str">
        <f t="shared" si="23"/>
        <v/>
      </c>
      <c r="BD25" s="208" t="str">
        <f t="shared" si="23"/>
        <v/>
      </c>
      <c r="BE25" s="206" t="str">
        <f t="shared" si="23"/>
        <v/>
      </c>
      <c r="BF25" s="206" t="str">
        <f t="shared" si="23"/>
        <v/>
      </c>
      <c r="BG25" s="207" t="str">
        <f t="shared" si="23"/>
        <v/>
      </c>
      <c r="BH25" s="208" t="str">
        <f t="shared" si="23"/>
        <v/>
      </c>
      <c r="BI25" s="206" t="str">
        <f t="shared" si="23"/>
        <v/>
      </c>
      <c r="BJ25" s="206" t="str">
        <f t="shared" si="23"/>
        <v/>
      </c>
      <c r="BK25" s="207" t="str">
        <f t="shared" si="23"/>
        <v/>
      </c>
      <c r="BL25" s="208" t="str">
        <f t="shared" si="23"/>
        <v/>
      </c>
      <c r="BM25" s="206" t="str">
        <f t="shared" si="23"/>
        <v/>
      </c>
      <c r="BN25" s="206" t="str">
        <f t="shared" si="23"/>
        <v/>
      </c>
      <c r="BO25" s="207" t="str">
        <f t="shared" si="23"/>
        <v/>
      </c>
      <c r="BP25" s="208" t="str">
        <f t="shared" si="27"/>
        <v/>
      </c>
      <c r="BQ25" s="206" t="str">
        <f t="shared" si="27"/>
        <v/>
      </c>
      <c r="BR25" s="206" t="str">
        <f t="shared" si="27"/>
        <v/>
      </c>
      <c r="BS25" s="207" t="str">
        <f t="shared" si="27"/>
        <v/>
      </c>
      <c r="BT25" s="208" t="str">
        <f t="shared" si="27"/>
        <v/>
      </c>
      <c r="BU25" s="206" t="str">
        <f t="shared" si="27"/>
        <v/>
      </c>
      <c r="BV25" s="206" t="str">
        <f t="shared" si="27"/>
        <v/>
      </c>
      <c r="BW25" s="207" t="str">
        <f t="shared" si="27"/>
        <v/>
      </c>
      <c r="BX25" s="208" t="str">
        <f t="shared" si="27"/>
        <v/>
      </c>
      <c r="BY25" s="206" t="str">
        <f t="shared" si="27"/>
        <v/>
      </c>
      <c r="BZ25" s="206" t="str">
        <f t="shared" si="27"/>
        <v/>
      </c>
      <c r="CA25" s="207" t="str">
        <f t="shared" si="27"/>
        <v/>
      </c>
      <c r="CB25" s="208" t="str">
        <f t="shared" si="27"/>
        <v/>
      </c>
      <c r="CC25" s="206" t="str">
        <f t="shared" si="27"/>
        <v/>
      </c>
      <c r="CD25" s="206" t="str">
        <f t="shared" si="27"/>
        <v/>
      </c>
      <c r="CE25" s="207" t="str">
        <f t="shared" si="27"/>
        <v/>
      </c>
    </row>
    <row r="26" spans="1:83" ht="18" customHeight="1">
      <c r="A26" s="22">
        <f>+TABELLA!Y30</f>
        <v>0</v>
      </c>
      <c r="B26" s="22">
        <f>+TABELLA!Z30</f>
        <v>0</v>
      </c>
      <c r="C26" s="22">
        <f>+TABELLA!AA30</f>
        <v>0</v>
      </c>
      <c r="D26" s="22">
        <f>+TABELLA!AB30</f>
        <v>0</v>
      </c>
      <c r="E26" s="22"/>
      <c r="F26" s="26">
        <f>IF(TABELLA!B30="","",TABELLA!B30)</f>
        <v>3</v>
      </c>
      <c r="G26" s="27" t="str">
        <f>IF(TABELLA!C30="","",TABELLA!C30)</f>
        <v>ALDARWISH HASSAN</v>
      </c>
      <c r="H26" s="203" t="str">
        <f t="shared" ref="H26:V26" si="31">IF(AND(G$3&gt;=$A26,G$3&lt;$B26),1,IF(AND(G$3&gt;=$C26,G$3&lt;$D26),1,""))</f>
        <v/>
      </c>
      <c r="I26" s="203" t="str">
        <f t="shared" si="31"/>
        <v/>
      </c>
      <c r="J26" s="203" t="str">
        <f t="shared" si="31"/>
        <v/>
      </c>
      <c r="K26" s="204" t="str">
        <f t="shared" si="31"/>
        <v/>
      </c>
      <c r="L26" s="205" t="str">
        <f t="shared" si="31"/>
        <v/>
      </c>
      <c r="M26" s="203" t="str">
        <f t="shared" si="31"/>
        <v/>
      </c>
      <c r="N26" s="203" t="str">
        <f t="shared" si="31"/>
        <v/>
      </c>
      <c r="O26" s="204" t="str">
        <f t="shared" si="31"/>
        <v/>
      </c>
      <c r="P26" s="205" t="str">
        <f t="shared" si="31"/>
        <v/>
      </c>
      <c r="Q26" s="203" t="str">
        <f t="shared" si="31"/>
        <v/>
      </c>
      <c r="R26" s="203" t="str">
        <f t="shared" si="31"/>
        <v/>
      </c>
      <c r="S26" s="204" t="str">
        <f t="shared" si="31"/>
        <v/>
      </c>
      <c r="T26" s="205" t="str">
        <f t="shared" si="31"/>
        <v/>
      </c>
      <c r="U26" s="203" t="str">
        <f t="shared" si="31"/>
        <v/>
      </c>
      <c r="V26" s="203" t="str">
        <f t="shared" si="31"/>
        <v/>
      </c>
      <c r="W26" s="204" t="str">
        <f t="shared" si="25"/>
        <v/>
      </c>
      <c r="X26" s="205" t="str">
        <f t="shared" si="22"/>
        <v/>
      </c>
      <c r="Y26" s="203" t="str">
        <f t="shared" si="22"/>
        <v/>
      </c>
      <c r="Z26" s="203" t="str">
        <f t="shared" si="22"/>
        <v/>
      </c>
      <c r="AA26" s="204" t="str">
        <f t="shared" si="22"/>
        <v/>
      </c>
      <c r="AB26" s="205" t="str">
        <f t="shared" si="22"/>
        <v/>
      </c>
      <c r="AC26" s="203" t="str">
        <f t="shared" si="22"/>
        <v/>
      </c>
      <c r="AD26" s="203" t="str">
        <f t="shared" si="22"/>
        <v/>
      </c>
      <c r="AE26" s="204" t="str">
        <f t="shared" si="22"/>
        <v/>
      </c>
      <c r="AF26" s="205" t="str">
        <f t="shared" si="22"/>
        <v/>
      </c>
      <c r="AG26" s="203" t="str">
        <f t="shared" si="22"/>
        <v/>
      </c>
      <c r="AH26" s="203" t="str">
        <f t="shared" si="22"/>
        <v/>
      </c>
      <c r="AI26" s="204" t="str">
        <f t="shared" si="22"/>
        <v/>
      </c>
      <c r="AJ26" s="205" t="str">
        <f t="shared" si="22"/>
        <v/>
      </c>
      <c r="AK26" s="203" t="str">
        <f t="shared" si="22"/>
        <v/>
      </c>
      <c r="AL26" s="203" t="str">
        <f t="shared" si="22"/>
        <v/>
      </c>
      <c r="AM26" s="204" t="str">
        <f t="shared" si="26"/>
        <v/>
      </c>
      <c r="AN26" s="205" t="str">
        <f t="shared" si="26"/>
        <v/>
      </c>
      <c r="AO26" s="203" t="str">
        <f t="shared" si="26"/>
        <v/>
      </c>
      <c r="AP26" s="203" t="str">
        <f t="shared" si="26"/>
        <v/>
      </c>
      <c r="AQ26" s="204" t="str">
        <f t="shared" si="26"/>
        <v/>
      </c>
      <c r="AR26" s="205" t="str">
        <f t="shared" si="26"/>
        <v/>
      </c>
      <c r="AS26" s="203" t="str">
        <f t="shared" si="26"/>
        <v/>
      </c>
      <c r="AT26" s="203" t="str">
        <f t="shared" si="26"/>
        <v/>
      </c>
      <c r="AU26" s="204" t="str">
        <f t="shared" si="26"/>
        <v/>
      </c>
      <c r="AV26" s="205" t="str">
        <f t="shared" si="26"/>
        <v/>
      </c>
      <c r="AW26" s="203" t="str">
        <f t="shared" si="26"/>
        <v/>
      </c>
      <c r="AX26" s="203" t="str">
        <f t="shared" si="26"/>
        <v/>
      </c>
      <c r="AY26" s="204" t="str">
        <f t="shared" si="26"/>
        <v/>
      </c>
      <c r="AZ26" s="205" t="str">
        <f t="shared" si="26"/>
        <v/>
      </c>
      <c r="BA26" s="203" t="str">
        <f t="shared" si="26"/>
        <v/>
      </c>
      <c r="BB26" s="203" t="str">
        <f t="shared" si="26"/>
        <v/>
      </c>
      <c r="BC26" s="204" t="str">
        <f t="shared" si="23"/>
        <v/>
      </c>
      <c r="BD26" s="205" t="str">
        <f t="shared" si="23"/>
        <v/>
      </c>
      <c r="BE26" s="203" t="str">
        <f t="shared" si="23"/>
        <v/>
      </c>
      <c r="BF26" s="203" t="str">
        <f t="shared" si="23"/>
        <v/>
      </c>
      <c r="BG26" s="204" t="str">
        <f t="shared" si="23"/>
        <v/>
      </c>
      <c r="BH26" s="205" t="str">
        <f t="shared" si="23"/>
        <v/>
      </c>
      <c r="BI26" s="203" t="str">
        <f t="shared" si="23"/>
        <v/>
      </c>
      <c r="BJ26" s="203" t="str">
        <f t="shared" si="23"/>
        <v/>
      </c>
      <c r="BK26" s="204" t="str">
        <f t="shared" si="23"/>
        <v/>
      </c>
      <c r="BL26" s="205" t="str">
        <f t="shared" si="23"/>
        <v/>
      </c>
      <c r="BM26" s="203" t="str">
        <f t="shared" si="23"/>
        <v/>
      </c>
      <c r="BN26" s="203" t="str">
        <f t="shared" si="23"/>
        <v/>
      </c>
      <c r="BO26" s="204" t="str">
        <f t="shared" si="23"/>
        <v/>
      </c>
      <c r="BP26" s="205" t="str">
        <f t="shared" si="27"/>
        <v/>
      </c>
      <c r="BQ26" s="203" t="str">
        <f t="shared" si="27"/>
        <v/>
      </c>
      <c r="BR26" s="203" t="str">
        <f t="shared" si="27"/>
        <v/>
      </c>
      <c r="BS26" s="204" t="str">
        <f t="shared" si="27"/>
        <v/>
      </c>
      <c r="BT26" s="205" t="str">
        <f t="shared" si="27"/>
        <v/>
      </c>
      <c r="BU26" s="203" t="str">
        <f t="shared" si="27"/>
        <v/>
      </c>
      <c r="BV26" s="203" t="str">
        <f t="shared" si="27"/>
        <v/>
      </c>
      <c r="BW26" s="204" t="str">
        <f t="shared" si="27"/>
        <v/>
      </c>
      <c r="BX26" s="205" t="str">
        <f t="shared" si="27"/>
        <v/>
      </c>
      <c r="BY26" s="203" t="str">
        <f t="shared" si="27"/>
        <v/>
      </c>
      <c r="BZ26" s="203" t="str">
        <f t="shared" si="27"/>
        <v/>
      </c>
      <c r="CA26" s="204" t="str">
        <f t="shared" si="27"/>
        <v/>
      </c>
      <c r="CB26" s="205" t="str">
        <f t="shared" si="27"/>
        <v/>
      </c>
      <c r="CC26" s="203" t="str">
        <f t="shared" si="27"/>
        <v/>
      </c>
      <c r="CD26" s="203" t="str">
        <f t="shared" si="27"/>
        <v/>
      </c>
      <c r="CE26" s="204" t="str">
        <f t="shared" si="27"/>
        <v/>
      </c>
    </row>
    <row r="27" spans="1:83" ht="18" customHeight="1">
      <c r="A27" s="22">
        <f>+TABELLA!Y31</f>
        <v>0</v>
      </c>
      <c r="B27" s="22">
        <f>+TABELLA!Z31</f>
        <v>0</v>
      </c>
      <c r="C27" s="22">
        <f>+TABELLA!AA31</f>
        <v>0</v>
      </c>
      <c r="D27" s="22">
        <f>+TABELLA!AB31</f>
        <v>0</v>
      </c>
      <c r="E27" s="22"/>
      <c r="F27" s="41" t="str">
        <f>IF(TABELLA!B31="","",TABELLA!B31)</f>
        <v/>
      </c>
      <c r="G27" s="42" t="str">
        <f>IF(TABELLA!C31="","",TABELLA!C31)</f>
        <v/>
      </c>
      <c r="H27" s="206" t="str">
        <f t="shared" ref="H27:V27" si="32">IF(AND(G$3&gt;=$A27,G$3&lt;$B27),1,IF(AND(G$3&gt;=$C27,G$3&lt;$D27),1,""))</f>
        <v/>
      </c>
      <c r="I27" s="206" t="str">
        <f t="shared" si="32"/>
        <v/>
      </c>
      <c r="J27" s="206" t="str">
        <f t="shared" si="32"/>
        <v/>
      </c>
      <c r="K27" s="207" t="str">
        <f t="shared" si="32"/>
        <v/>
      </c>
      <c r="L27" s="208" t="str">
        <f t="shared" si="32"/>
        <v/>
      </c>
      <c r="M27" s="206" t="str">
        <f t="shared" si="32"/>
        <v/>
      </c>
      <c r="N27" s="206" t="str">
        <f t="shared" si="32"/>
        <v/>
      </c>
      <c r="O27" s="207" t="str">
        <f t="shared" si="32"/>
        <v/>
      </c>
      <c r="P27" s="208" t="str">
        <f t="shared" si="32"/>
        <v/>
      </c>
      <c r="Q27" s="206" t="str">
        <f t="shared" si="32"/>
        <v/>
      </c>
      <c r="R27" s="206" t="str">
        <f t="shared" si="32"/>
        <v/>
      </c>
      <c r="S27" s="207" t="str">
        <f t="shared" si="32"/>
        <v/>
      </c>
      <c r="T27" s="208" t="str">
        <f t="shared" si="32"/>
        <v/>
      </c>
      <c r="U27" s="206" t="str">
        <f t="shared" si="32"/>
        <v/>
      </c>
      <c r="V27" s="206" t="str">
        <f t="shared" si="32"/>
        <v/>
      </c>
      <c r="W27" s="207" t="str">
        <f t="shared" si="25"/>
        <v/>
      </c>
      <c r="X27" s="208" t="str">
        <f t="shared" si="22"/>
        <v/>
      </c>
      <c r="Y27" s="206" t="str">
        <f t="shared" si="22"/>
        <v/>
      </c>
      <c r="Z27" s="206" t="str">
        <f t="shared" si="22"/>
        <v/>
      </c>
      <c r="AA27" s="207" t="str">
        <f t="shared" si="22"/>
        <v/>
      </c>
      <c r="AB27" s="208" t="str">
        <f t="shared" si="22"/>
        <v/>
      </c>
      <c r="AC27" s="206" t="str">
        <f t="shared" si="22"/>
        <v/>
      </c>
      <c r="AD27" s="206" t="str">
        <f t="shared" si="22"/>
        <v/>
      </c>
      <c r="AE27" s="207" t="str">
        <f t="shared" si="22"/>
        <v/>
      </c>
      <c r="AF27" s="208" t="str">
        <f t="shared" si="22"/>
        <v/>
      </c>
      <c r="AG27" s="206" t="str">
        <f t="shared" si="22"/>
        <v/>
      </c>
      <c r="AH27" s="206" t="str">
        <f t="shared" si="22"/>
        <v/>
      </c>
      <c r="AI27" s="207" t="str">
        <f t="shared" si="22"/>
        <v/>
      </c>
      <c r="AJ27" s="208" t="str">
        <f t="shared" si="22"/>
        <v/>
      </c>
      <c r="AK27" s="206" t="str">
        <f t="shared" si="22"/>
        <v/>
      </c>
      <c r="AL27" s="206" t="str">
        <f t="shared" si="22"/>
        <v/>
      </c>
      <c r="AM27" s="207" t="str">
        <f t="shared" si="26"/>
        <v/>
      </c>
      <c r="AN27" s="208" t="str">
        <f t="shared" si="26"/>
        <v/>
      </c>
      <c r="AO27" s="206" t="str">
        <f t="shared" si="26"/>
        <v/>
      </c>
      <c r="AP27" s="206" t="str">
        <f t="shared" si="26"/>
        <v/>
      </c>
      <c r="AQ27" s="207" t="str">
        <f t="shared" si="26"/>
        <v/>
      </c>
      <c r="AR27" s="208" t="str">
        <f t="shared" si="26"/>
        <v/>
      </c>
      <c r="AS27" s="206" t="str">
        <f t="shared" si="26"/>
        <v/>
      </c>
      <c r="AT27" s="206" t="str">
        <f t="shared" si="26"/>
        <v/>
      </c>
      <c r="AU27" s="207" t="str">
        <f t="shared" si="26"/>
        <v/>
      </c>
      <c r="AV27" s="208" t="str">
        <f t="shared" si="26"/>
        <v/>
      </c>
      <c r="AW27" s="206" t="str">
        <f t="shared" si="26"/>
        <v/>
      </c>
      <c r="AX27" s="206" t="str">
        <f t="shared" si="26"/>
        <v/>
      </c>
      <c r="AY27" s="207" t="str">
        <f t="shared" si="26"/>
        <v/>
      </c>
      <c r="AZ27" s="208" t="str">
        <f t="shared" si="26"/>
        <v/>
      </c>
      <c r="BA27" s="206" t="str">
        <f t="shared" si="26"/>
        <v/>
      </c>
      <c r="BB27" s="206" t="str">
        <f t="shared" si="26"/>
        <v/>
      </c>
      <c r="BC27" s="207" t="str">
        <f t="shared" si="23"/>
        <v/>
      </c>
      <c r="BD27" s="208" t="str">
        <f t="shared" si="23"/>
        <v/>
      </c>
      <c r="BE27" s="206" t="str">
        <f t="shared" si="23"/>
        <v/>
      </c>
      <c r="BF27" s="206" t="str">
        <f t="shared" si="23"/>
        <v/>
      </c>
      <c r="BG27" s="207" t="str">
        <f t="shared" si="23"/>
        <v/>
      </c>
      <c r="BH27" s="208" t="str">
        <f t="shared" si="23"/>
        <v/>
      </c>
      <c r="BI27" s="206" t="str">
        <f t="shared" si="23"/>
        <v/>
      </c>
      <c r="BJ27" s="206" t="str">
        <f t="shared" si="23"/>
        <v/>
      </c>
      <c r="BK27" s="207" t="str">
        <f t="shared" si="23"/>
        <v/>
      </c>
      <c r="BL27" s="208" t="str">
        <f t="shared" si="23"/>
        <v/>
      </c>
      <c r="BM27" s="206" t="str">
        <f t="shared" si="23"/>
        <v/>
      </c>
      <c r="BN27" s="206" t="str">
        <f t="shared" si="23"/>
        <v/>
      </c>
      <c r="BO27" s="207" t="str">
        <f t="shared" si="23"/>
        <v/>
      </c>
      <c r="BP27" s="208" t="str">
        <f t="shared" si="27"/>
        <v/>
      </c>
      <c r="BQ27" s="206" t="str">
        <f t="shared" si="27"/>
        <v/>
      </c>
      <c r="BR27" s="206" t="str">
        <f t="shared" si="27"/>
        <v/>
      </c>
      <c r="BS27" s="207" t="str">
        <f t="shared" si="27"/>
        <v/>
      </c>
      <c r="BT27" s="208" t="str">
        <f t="shared" si="27"/>
        <v/>
      </c>
      <c r="BU27" s="206" t="str">
        <f t="shared" si="27"/>
        <v/>
      </c>
      <c r="BV27" s="206" t="str">
        <f t="shared" si="27"/>
        <v/>
      </c>
      <c r="BW27" s="207" t="str">
        <f t="shared" si="27"/>
        <v/>
      </c>
      <c r="BX27" s="208" t="str">
        <f t="shared" si="27"/>
        <v/>
      </c>
      <c r="BY27" s="206" t="str">
        <f t="shared" si="27"/>
        <v/>
      </c>
      <c r="BZ27" s="206" t="str">
        <f t="shared" si="27"/>
        <v/>
      </c>
      <c r="CA27" s="207" t="str">
        <f t="shared" si="27"/>
        <v/>
      </c>
      <c r="CB27" s="208" t="str">
        <f t="shared" si="27"/>
        <v/>
      </c>
      <c r="CC27" s="206" t="str">
        <f t="shared" si="27"/>
        <v/>
      </c>
      <c r="CD27" s="206" t="str">
        <f t="shared" si="27"/>
        <v/>
      </c>
      <c r="CE27" s="207" t="str">
        <f t="shared" si="27"/>
        <v/>
      </c>
    </row>
    <row r="28" spans="1:83" ht="18" customHeight="1">
      <c r="A28" s="22">
        <f>+TABELLA!Y32</f>
        <v>0</v>
      </c>
      <c r="B28" s="22">
        <f>+TABELLA!Z32</f>
        <v>0</v>
      </c>
      <c r="C28" s="22">
        <f>+TABELLA!AA32</f>
        <v>0</v>
      </c>
      <c r="D28" s="22">
        <f>+TABELLA!AB32</f>
        <v>0</v>
      </c>
      <c r="E28" s="22"/>
      <c r="F28" s="26">
        <f>IF(TABELLA!B32="","",TABELLA!B32)</f>
        <v>2</v>
      </c>
      <c r="G28" s="27" t="str">
        <f>IF(TABELLA!C32="","",TABELLA!C32)</f>
        <v/>
      </c>
      <c r="H28" s="203" t="str">
        <f t="shared" ref="H28:V28" si="33">IF(AND(G$3&gt;=$A28,G$3&lt;$B28),1,IF(AND(G$3&gt;=$C28,G$3&lt;$D28),1,""))</f>
        <v/>
      </c>
      <c r="I28" s="203" t="str">
        <f t="shared" si="33"/>
        <v/>
      </c>
      <c r="J28" s="203" t="str">
        <f t="shared" si="33"/>
        <v/>
      </c>
      <c r="K28" s="204" t="str">
        <f t="shared" si="33"/>
        <v/>
      </c>
      <c r="L28" s="205" t="str">
        <f t="shared" si="33"/>
        <v/>
      </c>
      <c r="M28" s="203" t="str">
        <f t="shared" si="33"/>
        <v/>
      </c>
      <c r="N28" s="203" t="str">
        <f t="shared" si="33"/>
        <v/>
      </c>
      <c r="O28" s="204" t="str">
        <f t="shared" si="33"/>
        <v/>
      </c>
      <c r="P28" s="205" t="str">
        <f t="shared" si="33"/>
        <v/>
      </c>
      <c r="Q28" s="203" t="str">
        <f t="shared" si="33"/>
        <v/>
      </c>
      <c r="R28" s="203" t="str">
        <f t="shared" si="33"/>
        <v/>
      </c>
      <c r="S28" s="204" t="str">
        <f t="shared" si="33"/>
        <v/>
      </c>
      <c r="T28" s="205" t="str">
        <f t="shared" si="33"/>
        <v/>
      </c>
      <c r="U28" s="203" t="str">
        <f t="shared" si="33"/>
        <v/>
      </c>
      <c r="V28" s="203" t="str">
        <f t="shared" si="33"/>
        <v/>
      </c>
      <c r="W28" s="204" t="str">
        <f t="shared" si="25"/>
        <v/>
      </c>
      <c r="X28" s="205" t="str">
        <f t="shared" si="22"/>
        <v/>
      </c>
      <c r="Y28" s="203" t="str">
        <f t="shared" si="22"/>
        <v/>
      </c>
      <c r="Z28" s="203" t="str">
        <f t="shared" si="22"/>
        <v/>
      </c>
      <c r="AA28" s="204" t="str">
        <f t="shared" si="22"/>
        <v/>
      </c>
      <c r="AB28" s="205" t="str">
        <f t="shared" si="22"/>
        <v/>
      </c>
      <c r="AC28" s="203" t="str">
        <f t="shared" si="22"/>
        <v/>
      </c>
      <c r="AD28" s="203" t="str">
        <f t="shared" si="22"/>
        <v/>
      </c>
      <c r="AE28" s="204" t="str">
        <f t="shared" si="22"/>
        <v/>
      </c>
      <c r="AF28" s="205" t="str">
        <f t="shared" si="22"/>
        <v/>
      </c>
      <c r="AG28" s="203" t="str">
        <f t="shared" si="22"/>
        <v/>
      </c>
      <c r="AH28" s="203" t="str">
        <f t="shared" si="22"/>
        <v/>
      </c>
      <c r="AI28" s="204" t="str">
        <f t="shared" si="22"/>
        <v/>
      </c>
      <c r="AJ28" s="205" t="str">
        <f t="shared" si="22"/>
        <v/>
      </c>
      <c r="AK28" s="203" t="str">
        <f t="shared" si="22"/>
        <v/>
      </c>
      <c r="AL28" s="203" t="str">
        <f t="shared" si="22"/>
        <v/>
      </c>
      <c r="AM28" s="204" t="str">
        <f t="shared" si="26"/>
        <v/>
      </c>
      <c r="AN28" s="205" t="str">
        <f t="shared" si="26"/>
        <v/>
      </c>
      <c r="AO28" s="203" t="str">
        <f t="shared" si="26"/>
        <v/>
      </c>
      <c r="AP28" s="203" t="str">
        <f t="shared" si="26"/>
        <v/>
      </c>
      <c r="AQ28" s="204" t="str">
        <f t="shared" si="26"/>
        <v/>
      </c>
      <c r="AR28" s="205" t="str">
        <f t="shared" si="26"/>
        <v/>
      </c>
      <c r="AS28" s="203" t="str">
        <f t="shared" si="26"/>
        <v/>
      </c>
      <c r="AT28" s="203" t="str">
        <f t="shared" si="26"/>
        <v/>
      </c>
      <c r="AU28" s="204" t="str">
        <f t="shared" si="26"/>
        <v/>
      </c>
      <c r="AV28" s="205" t="str">
        <f t="shared" si="26"/>
        <v/>
      </c>
      <c r="AW28" s="203" t="str">
        <f t="shared" si="26"/>
        <v/>
      </c>
      <c r="AX28" s="203" t="str">
        <f t="shared" si="26"/>
        <v/>
      </c>
      <c r="AY28" s="204" t="str">
        <f t="shared" si="26"/>
        <v/>
      </c>
      <c r="AZ28" s="205" t="str">
        <f t="shared" si="26"/>
        <v/>
      </c>
      <c r="BA28" s="203" t="str">
        <f t="shared" si="26"/>
        <v/>
      </c>
      <c r="BB28" s="203" t="str">
        <f t="shared" si="26"/>
        <v/>
      </c>
      <c r="BC28" s="204" t="str">
        <f t="shared" si="23"/>
        <v/>
      </c>
      <c r="BD28" s="205" t="str">
        <f t="shared" si="23"/>
        <v/>
      </c>
      <c r="BE28" s="203" t="str">
        <f t="shared" si="23"/>
        <v/>
      </c>
      <c r="BF28" s="203" t="str">
        <f t="shared" si="23"/>
        <v/>
      </c>
      <c r="BG28" s="204" t="str">
        <f t="shared" si="23"/>
        <v/>
      </c>
      <c r="BH28" s="205" t="str">
        <f t="shared" si="23"/>
        <v/>
      </c>
      <c r="BI28" s="203" t="str">
        <f t="shared" si="23"/>
        <v/>
      </c>
      <c r="BJ28" s="203" t="str">
        <f t="shared" si="23"/>
        <v/>
      </c>
      <c r="BK28" s="204" t="str">
        <f t="shared" si="23"/>
        <v/>
      </c>
      <c r="BL28" s="205" t="str">
        <f t="shared" si="23"/>
        <v/>
      </c>
      <c r="BM28" s="203" t="str">
        <f t="shared" si="23"/>
        <v/>
      </c>
      <c r="BN28" s="203" t="str">
        <f t="shared" si="23"/>
        <v/>
      </c>
      <c r="BO28" s="204" t="str">
        <f t="shared" si="23"/>
        <v/>
      </c>
      <c r="BP28" s="205" t="str">
        <f t="shared" si="27"/>
        <v/>
      </c>
      <c r="BQ28" s="203" t="str">
        <f t="shared" si="27"/>
        <v/>
      </c>
      <c r="BR28" s="203" t="str">
        <f t="shared" si="27"/>
        <v/>
      </c>
      <c r="BS28" s="204" t="str">
        <f t="shared" si="27"/>
        <v/>
      </c>
      <c r="BT28" s="205" t="str">
        <f t="shared" si="27"/>
        <v/>
      </c>
      <c r="BU28" s="203" t="str">
        <f t="shared" si="27"/>
        <v/>
      </c>
      <c r="BV28" s="203" t="str">
        <f t="shared" si="27"/>
        <v/>
      </c>
      <c r="BW28" s="204" t="str">
        <f t="shared" si="27"/>
        <v/>
      </c>
      <c r="BX28" s="205" t="str">
        <f t="shared" si="27"/>
        <v/>
      </c>
      <c r="BY28" s="203" t="str">
        <f t="shared" si="27"/>
        <v/>
      </c>
      <c r="BZ28" s="203" t="str">
        <f t="shared" si="27"/>
        <v/>
      </c>
      <c r="CA28" s="204" t="str">
        <f t="shared" si="27"/>
        <v/>
      </c>
      <c r="CB28" s="205" t="str">
        <f t="shared" si="27"/>
        <v/>
      </c>
      <c r="CC28" s="203" t="str">
        <f t="shared" si="27"/>
        <v/>
      </c>
      <c r="CD28" s="203" t="str">
        <f t="shared" si="27"/>
        <v/>
      </c>
      <c r="CE28" s="204" t="str">
        <f t="shared" si="27"/>
        <v/>
      </c>
    </row>
    <row r="29" spans="1:83" ht="18" customHeight="1">
      <c r="A29" s="22">
        <f>+TABELLA!Y33</f>
        <v>0</v>
      </c>
      <c r="B29" s="22">
        <f>+TABELLA!Z33</f>
        <v>0</v>
      </c>
      <c r="C29" s="22">
        <f>+TABELLA!AA33</f>
        <v>0</v>
      </c>
      <c r="D29" s="22">
        <f>+TABELLA!AB33</f>
        <v>0</v>
      </c>
      <c r="E29" s="22"/>
      <c r="F29" s="41" t="str">
        <f>IF(TABELLA!B33="","",TABELLA!B33)</f>
        <v/>
      </c>
      <c r="G29" s="42" t="str">
        <f>IF(TABELLA!C33="","",TABELLA!C33)</f>
        <v/>
      </c>
      <c r="H29" s="206" t="str">
        <f t="shared" ref="H29:V29" si="34">IF(AND(G$3&gt;=$A29,G$3&lt;$B29),1,IF(AND(G$3&gt;=$C29,G$3&lt;$D29),1,""))</f>
        <v/>
      </c>
      <c r="I29" s="206" t="str">
        <f t="shared" si="34"/>
        <v/>
      </c>
      <c r="J29" s="206" t="str">
        <f t="shared" si="34"/>
        <v/>
      </c>
      <c r="K29" s="207" t="str">
        <f t="shared" si="34"/>
        <v/>
      </c>
      <c r="L29" s="208" t="str">
        <f t="shared" si="34"/>
        <v/>
      </c>
      <c r="M29" s="206" t="str">
        <f t="shared" si="34"/>
        <v/>
      </c>
      <c r="N29" s="206" t="str">
        <f t="shared" si="34"/>
        <v/>
      </c>
      <c r="O29" s="207" t="str">
        <f t="shared" si="34"/>
        <v/>
      </c>
      <c r="P29" s="208" t="str">
        <f t="shared" si="34"/>
        <v/>
      </c>
      <c r="Q29" s="206" t="str">
        <f t="shared" si="34"/>
        <v/>
      </c>
      <c r="R29" s="206" t="str">
        <f t="shared" si="34"/>
        <v/>
      </c>
      <c r="S29" s="207" t="str">
        <f t="shared" si="34"/>
        <v/>
      </c>
      <c r="T29" s="208" t="str">
        <f t="shared" si="34"/>
        <v/>
      </c>
      <c r="U29" s="206" t="str">
        <f t="shared" si="34"/>
        <v/>
      </c>
      <c r="V29" s="206" t="str">
        <f t="shared" si="34"/>
        <v/>
      </c>
      <c r="W29" s="207" t="str">
        <f t="shared" si="25"/>
        <v/>
      </c>
      <c r="X29" s="208" t="str">
        <f t="shared" si="22"/>
        <v/>
      </c>
      <c r="Y29" s="206" t="str">
        <f t="shared" si="22"/>
        <v/>
      </c>
      <c r="Z29" s="206" t="str">
        <f t="shared" si="22"/>
        <v/>
      </c>
      <c r="AA29" s="207" t="str">
        <f t="shared" si="22"/>
        <v/>
      </c>
      <c r="AB29" s="208" t="str">
        <f t="shared" si="22"/>
        <v/>
      </c>
      <c r="AC29" s="206" t="str">
        <f t="shared" si="22"/>
        <v/>
      </c>
      <c r="AD29" s="206" t="str">
        <f t="shared" si="22"/>
        <v/>
      </c>
      <c r="AE29" s="207" t="str">
        <f t="shared" si="22"/>
        <v/>
      </c>
      <c r="AF29" s="208" t="str">
        <f t="shared" si="22"/>
        <v/>
      </c>
      <c r="AG29" s="206" t="str">
        <f t="shared" si="22"/>
        <v/>
      </c>
      <c r="AH29" s="206" t="str">
        <f t="shared" si="22"/>
        <v/>
      </c>
      <c r="AI29" s="207" t="str">
        <f t="shared" si="22"/>
        <v/>
      </c>
      <c r="AJ29" s="208" t="str">
        <f t="shared" si="22"/>
        <v/>
      </c>
      <c r="AK29" s="206" t="str">
        <f t="shared" si="22"/>
        <v/>
      </c>
      <c r="AL29" s="206" t="str">
        <f t="shared" si="22"/>
        <v/>
      </c>
      <c r="AM29" s="207" t="str">
        <f t="shared" si="26"/>
        <v/>
      </c>
      <c r="AN29" s="208" t="str">
        <f t="shared" si="26"/>
        <v/>
      </c>
      <c r="AO29" s="206" t="str">
        <f t="shared" si="26"/>
        <v/>
      </c>
      <c r="AP29" s="206" t="str">
        <f t="shared" si="26"/>
        <v/>
      </c>
      <c r="AQ29" s="207" t="str">
        <f t="shared" si="26"/>
        <v/>
      </c>
      <c r="AR29" s="208" t="str">
        <f t="shared" si="26"/>
        <v/>
      </c>
      <c r="AS29" s="206" t="str">
        <f t="shared" si="26"/>
        <v/>
      </c>
      <c r="AT29" s="206" t="str">
        <f t="shared" si="26"/>
        <v/>
      </c>
      <c r="AU29" s="207" t="str">
        <f t="shared" si="26"/>
        <v/>
      </c>
      <c r="AV29" s="208" t="str">
        <f t="shared" si="26"/>
        <v/>
      </c>
      <c r="AW29" s="206" t="str">
        <f t="shared" si="26"/>
        <v/>
      </c>
      <c r="AX29" s="206" t="str">
        <f t="shared" si="26"/>
        <v/>
      </c>
      <c r="AY29" s="207" t="str">
        <f t="shared" si="26"/>
        <v/>
      </c>
      <c r="AZ29" s="208" t="str">
        <f t="shared" si="26"/>
        <v/>
      </c>
      <c r="BA29" s="206" t="str">
        <f t="shared" si="26"/>
        <v/>
      </c>
      <c r="BB29" s="206" t="str">
        <f t="shared" si="26"/>
        <v/>
      </c>
      <c r="BC29" s="207" t="str">
        <f t="shared" si="23"/>
        <v/>
      </c>
      <c r="BD29" s="208" t="str">
        <f t="shared" si="23"/>
        <v/>
      </c>
      <c r="BE29" s="206" t="str">
        <f t="shared" si="23"/>
        <v/>
      </c>
      <c r="BF29" s="206" t="str">
        <f t="shared" si="23"/>
        <v/>
      </c>
      <c r="BG29" s="207" t="str">
        <f t="shared" si="23"/>
        <v/>
      </c>
      <c r="BH29" s="208" t="str">
        <f t="shared" si="23"/>
        <v/>
      </c>
      <c r="BI29" s="206" t="str">
        <f t="shared" si="23"/>
        <v/>
      </c>
      <c r="BJ29" s="206" t="str">
        <f t="shared" si="23"/>
        <v/>
      </c>
      <c r="BK29" s="207" t="str">
        <f t="shared" si="23"/>
        <v/>
      </c>
      <c r="BL29" s="208" t="str">
        <f t="shared" si="23"/>
        <v/>
      </c>
      <c r="BM29" s="206" t="str">
        <f t="shared" si="23"/>
        <v/>
      </c>
      <c r="BN29" s="206" t="str">
        <f t="shared" si="23"/>
        <v/>
      </c>
      <c r="BO29" s="207" t="str">
        <f t="shared" si="23"/>
        <v/>
      </c>
      <c r="BP29" s="208" t="str">
        <f t="shared" si="27"/>
        <v/>
      </c>
      <c r="BQ29" s="206" t="str">
        <f t="shared" si="27"/>
        <v/>
      </c>
      <c r="BR29" s="206" t="str">
        <f t="shared" si="27"/>
        <v/>
      </c>
      <c r="BS29" s="207" t="str">
        <f t="shared" si="27"/>
        <v/>
      </c>
      <c r="BT29" s="208" t="str">
        <f t="shared" si="27"/>
        <v/>
      </c>
      <c r="BU29" s="206" t="str">
        <f t="shared" si="27"/>
        <v/>
      </c>
      <c r="BV29" s="206" t="str">
        <f t="shared" si="27"/>
        <v/>
      </c>
      <c r="BW29" s="207" t="str">
        <f t="shared" si="27"/>
        <v/>
      </c>
      <c r="BX29" s="208" t="str">
        <f t="shared" si="27"/>
        <v/>
      </c>
      <c r="BY29" s="206" t="str">
        <f t="shared" si="27"/>
        <v/>
      </c>
      <c r="BZ29" s="206" t="str">
        <f t="shared" si="27"/>
        <v/>
      </c>
      <c r="CA29" s="207" t="str">
        <f t="shared" si="27"/>
        <v/>
      </c>
      <c r="CB29" s="208" t="str">
        <f t="shared" si="27"/>
        <v/>
      </c>
      <c r="CC29" s="206" t="str">
        <f t="shared" si="27"/>
        <v/>
      </c>
      <c r="CD29" s="206" t="str">
        <f t="shared" si="27"/>
        <v/>
      </c>
      <c r="CE29" s="207" t="str">
        <f t="shared" si="27"/>
        <v/>
      </c>
    </row>
    <row r="30" spans="1:83" ht="18" customHeight="1">
      <c r="A30" s="22">
        <f>+TABELLA!Y34</f>
        <v>0</v>
      </c>
      <c r="B30" s="22">
        <f>+TABELLA!Z34</f>
        <v>0</v>
      </c>
      <c r="C30" s="22">
        <f>+TABELLA!AA34</f>
        <v>0</v>
      </c>
      <c r="D30" s="22">
        <f>+TABELLA!AB34</f>
        <v>0</v>
      </c>
      <c r="E30" s="22"/>
      <c r="F30" s="26">
        <f>IF(TABELLA!B34="","",TABELLA!B34)</f>
        <v>8</v>
      </c>
      <c r="G30" s="27" t="str">
        <f>IF(TABELLA!C34="","",TABELLA!C34)</f>
        <v>VALENTINI TAMARA</v>
      </c>
      <c r="H30" s="203" t="str">
        <f t="shared" ref="H30:V30" si="35">IF(AND(G$3&gt;=$A30,G$3&lt;$B30),1,IF(AND(G$3&gt;=$C30,G$3&lt;$D30),1,""))</f>
        <v/>
      </c>
      <c r="I30" s="203" t="str">
        <f t="shared" si="35"/>
        <v/>
      </c>
      <c r="J30" s="203" t="str">
        <f t="shared" si="35"/>
        <v/>
      </c>
      <c r="K30" s="204" t="str">
        <f t="shared" si="35"/>
        <v/>
      </c>
      <c r="L30" s="205" t="str">
        <f t="shared" si="35"/>
        <v/>
      </c>
      <c r="M30" s="203" t="str">
        <f t="shared" si="35"/>
        <v/>
      </c>
      <c r="N30" s="203" t="str">
        <f t="shared" si="35"/>
        <v/>
      </c>
      <c r="O30" s="204" t="str">
        <f t="shared" si="35"/>
        <v/>
      </c>
      <c r="P30" s="205" t="str">
        <f t="shared" si="35"/>
        <v/>
      </c>
      <c r="Q30" s="203" t="str">
        <f t="shared" si="35"/>
        <v/>
      </c>
      <c r="R30" s="203" t="str">
        <f t="shared" si="35"/>
        <v/>
      </c>
      <c r="S30" s="204" t="str">
        <f t="shared" si="35"/>
        <v/>
      </c>
      <c r="T30" s="205" t="str">
        <f t="shared" si="35"/>
        <v/>
      </c>
      <c r="U30" s="203" t="str">
        <f t="shared" si="35"/>
        <v/>
      </c>
      <c r="V30" s="203" t="str">
        <f t="shared" si="35"/>
        <v/>
      </c>
      <c r="W30" s="204" t="str">
        <f t="shared" si="25"/>
        <v/>
      </c>
      <c r="X30" s="205" t="str">
        <f t="shared" si="22"/>
        <v/>
      </c>
      <c r="Y30" s="203" t="str">
        <f t="shared" si="22"/>
        <v/>
      </c>
      <c r="Z30" s="203" t="str">
        <f t="shared" si="22"/>
        <v/>
      </c>
      <c r="AA30" s="204" t="str">
        <f t="shared" si="22"/>
        <v/>
      </c>
      <c r="AB30" s="205" t="str">
        <f t="shared" si="22"/>
        <v/>
      </c>
      <c r="AC30" s="203" t="str">
        <f t="shared" si="22"/>
        <v/>
      </c>
      <c r="AD30" s="203" t="str">
        <f t="shared" si="22"/>
        <v/>
      </c>
      <c r="AE30" s="204" t="str">
        <f t="shared" si="22"/>
        <v/>
      </c>
      <c r="AF30" s="205" t="str">
        <f t="shared" si="22"/>
        <v/>
      </c>
      <c r="AG30" s="203" t="str">
        <f t="shared" si="22"/>
        <v/>
      </c>
      <c r="AH30" s="203" t="str">
        <f t="shared" si="22"/>
        <v/>
      </c>
      <c r="AI30" s="204" t="str">
        <f t="shared" si="22"/>
        <v/>
      </c>
      <c r="AJ30" s="205" t="str">
        <f t="shared" si="22"/>
        <v/>
      </c>
      <c r="AK30" s="203" t="str">
        <f t="shared" si="22"/>
        <v/>
      </c>
      <c r="AL30" s="203" t="str">
        <f t="shared" si="22"/>
        <v/>
      </c>
      <c r="AM30" s="204" t="str">
        <f t="shared" si="26"/>
        <v/>
      </c>
      <c r="AN30" s="205" t="str">
        <f t="shared" si="26"/>
        <v/>
      </c>
      <c r="AO30" s="203" t="str">
        <f t="shared" si="26"/>
        <v/>
      </c>
      <c r="AP30" s="203" t="str">
        <f t="shared" si="26"/>
        <v/>
      </c>
      <c r="AQ30" s="204" t="str">
        <f t="shared" si="26"/>
        <v/>
      </c>
      <c r="AR30" s="205" t="str">
        <f t="shared" si="26"/>
        <v/>
      </c>
      <c r="AS30" s="203" t="str">
        <f t="shared" si="26"/>
        <v/>
      </c>
      <c r="AT30" s="203" t="str">
        <f t="shared" si="26"/>
        <v/>
      </c>
      <c r="AU30" s="204" t="str">
        <f t="shared" si="26"/>
        <v/>
      </c>
      <c r="AV30" s="205" t="str">
        <f t="shared" si="26"/>
        <v/>
      </c>
      <c r="AW30" s="203" t="str">
        <f t="shared" si="26"/>
        <v/>
      </c>
      <c r="AX30" s="203" t="str">
        <f t="shared" si="26"/>
        <v/>
      </c>
      <c r="AY30" s="204" t="str">
        <f t="shared" si="26"/>
        <v/>
      </c>
      <c r="AZ30" s="205" t="str">
        <f t="shared" si="26"/>
        <v/>
      </c>
      <c r="BA30" s="203" t="str">
        <f t="shared" si="26"/>
        <v/>
      </c>
      <c r="BB30" s="203" t="str">
        <f t="shared" si="26"/>
        <v/>
      </c>
      <c r="BC30" s="204" t="str">
        <f t="shared" si="23"/>
        <v/>
      </c>
      <c r="BD30" s="205" t="str">
        <f t="shared" si="23"/>
        <v/>
      </c>
      <c r="BE30" s="203" t="str">
        <f t="shared" si="23"/>
        <v/>
      </c>
      <c r="BF30" s="203" t="str">
        <f t="shared" si="23"/>
        <v/>
      </c>
      <c r="BG30" s="204" t="str">
        <f t="shared" si="23"/>
        <v/>
      </c>
      <c r="BH30" s="205" t="str">
        <f t="shared" si="23"/>
        <v/>
      </c>
      <c r="BI30" s="203" t="str">
        <f t="shared" si="23"/>
        <v/>
      </c>
      <c r="BJ30" s="203" t="str">
        <f t="shared" si="23"/>
        <v/>
      </c>
      <c r="BK30" s="204" t="str">
        <f t="shared" si="23"/>
        <v/>
      </c>
      <c r="BL30" s="205" t="str">
        <f t="shared" si="23"/>
        <v/>
      </c>
      <c r="BM30" s="203" t="str">
        <f t="shared" si="23"/>
        <v/>
      </c>
      <c r="BN30" s="203" t="str">
        <f t="shared" si="23"/>
        <v/>
      </c>
      <c r="BO30" s="204" t="str">
        <f t="shared" si="23"/>
        <v/>
      </c>
      <c r="BP30" s="205" t="str">
        <f t="shared" si="27"/>
        <v/>
      </c>
      <c r="BQ30" s="203" t="str">
        <f t="shared" si="27"/>
        <v/>
      </c>
      <c r="BR30" s="203" t="str">
        <f t="shared" si="27"/>
        <v/>
      </c>
      <c r="BS30" s="204" t="str">
        <f t="shared" si="27"/>
        <v/>
      </c>
      <c r="BT30" s="205" t="str">
        <f t="shared" si="27"/>
        <v/>
      </c>
      <c r="BU30" s="203" t="str">
        <f t="shared" si="27"/>
        <v/>
      </c>
      <c r="BV30" s="203" t="str">
        <f t="shared" si="27"/>
        <v/>
      </c>
      <c r="BW30" s="204" t="str">
        <f t="shared" si="27"/>
        <v/>
      </c>
      <c r="BX30" s="205" t="str">
        <f t="shared" si="27"/>
        <v/>
      </c>
      <c r="BY30" s="203" t="str">
        <f t="shared" si="27"/>
        <v/>
      </c>
      <c r="BZ30" s="203" t="str">
        <f t="shared" si="27"/>
        <v/>
      </c>
      <c r="CA30" s="204" t="str">
        <f t="shared" si="27"/>
        <v/>
      </c>
      <c r="CB30" s="205" t="str">
        <f t="shared" si="27"/>
        <v/>
      </c>
      <c r="CC30" s="203" t="str">
        <f t="shared" si="27"/>
        <v/>
      </c>
      <c r="CD30" s="203" t="str">
        <f t="shared" si="27"/>
        <v/>
      </c>
      <c r="CE30" s="204" t="str">
        <f t="shared" si="27"/>
        <v/>
      </c>
    </row>
    <row r="31" spans="1:83" ht="18" customHeight="1">
      <c r="A31" s="22">
        <f>+TABELLA!Y35</f>
        <v>0</v>
      </c>
      <c r="B31" s="22">
        <f>+TABELLA!Z35</f>
        <v>0</v>
      </c>
      <c r="C31" s="22">
        <f>+TABELLA!AA35</f>
        <v>0</v>
      </c>
      <c r="D31" s="22">
        <f>+TABELLA!AB35</f>
        <v>0</v>
      </c>
      <c r="E31" s="22"/>
      <c r="F31" s="41" t="str">
        <f>IF(TABELLA!B35="","",TABELLA!B35)</f>
        <v/>
      </c>
      <c r="G31" s="42" t="str">
        <f>IF(TABELLA!C35="","",TABELLA!C35)</f>
        <v/>
      </c>
      <c r="H31" s="206" t="str">
        <f t="shared" ref="H31:V31" si="36">IF(AND(G$3&gt;=$A31,G$3&lt;$B31),1,IF(AND(G$3&gt;=$C31,G$3&lt;$D31),1,""))</f>
        <v/>
      </c>
      <c r="I31" s="206" t="str">
        <f t="shared" si="36"/>
        <v/>
      </c>
      <c r="J31" s="206" t="str">
        <f t="shared" si="36"/>
        <v/>
      </c>
      <c r="K31" s="207" t="str">
        <f t="shared" si="36"/>
        <v/>
      </c>
      <c r="L31" s="208" t="str">
        <f t="shared" si="36"/>
        <v/>
      </c>
      <c r="M31" s="206" t="str">
        <f t="shared" si="36"/>
        <v/>
      </c>
      <c r="N31" s="206" t="str">
        <f t="shared" si="36"/>
        <v/>
      </c>
      <c r="O31" s="207" t="str">
        <f t="shared" si="36"/>
        <v/>
      </c>
      <c r="P31" s="208" t="str">
        <f t="shared" si="36"/>
        <v/>
      </c>
      <c r="Q31" s="206" t="str">
        <f t="shared" si="36"/>
        <v/>
      </c>
      <c r="R31" s="206" t="str">
        <f t="shared" si="36"/>
        <v/>
      </c>
      <c r="S31" s="207" t="str">
        <f t="shared" si="36"/>
        <v/>
      </c>
      <c r="T31" s="208" t="str">
        <f t="shared" si="36"/>
        <v/>
      </c>
      <c r="U31" s="206" t="str">
        <f t="shared" si="36"/>
        <v/>
      </c>
      <c r="V31" s="206" t="str">
        <f t="shared" si="36"/>
        <v/>
      </c>
      <c r="W31" s="207" t="str">
        <f t="shared" si="25"/>
        <v/>
      </c>
      <c r="X31" s="208" t="str">
        <f t="shared" si="22"/>
        <v/>
      </c>
      <c r="Y31" s="206" t="str">
        <f t="shared" si="22"/>
        <v/>
      </c>
      <c r="Z31" s="206" t="str">
        <f t="shared" si="22"/>
        <v/>
      </c>
      <c r="AA31" s="207" t="str">
        <f t="shared" si="22"/>
        <v/>
      </c>
      <c r="AB31" s="208" t="str">
        <f t="shared" si="22"/>
        <v/>
      </c>
      <c r="AC31" s="206" t="str">
        <f t="shared" si="22"/>
        <v/>
      </c>
      <c r="AD31" s="206" t="str">
        <f t="shared" si="22"/>
        <v/>
      </c>
      <c r="AE31" s="207" t="str">
        <f t="shared" si="22"/>
        <v/>
      </c>
      <c r="AF31" s="208" t="str">
        <f t="shared" si="22"/>
        <v/>
      </c>
      <c r="AG31" s="206" t="str">
        <f t="shared" si="22"/>
        <v/>
      </c>
      <c r="AH31" s="206" t="str">
        <f t="shared" si="22"/>
        <v/>
      </c>
      <c r="AI31" s="207" t="str">
        <f t="shared" si="22"/>
        <v/>
      </c>
      <c r="AJ31" s="208" t="str">
        <f t="shared" si="22"/>
        <v/>
      </c>
      <c r="AK31" s="206" t="str">
        <f t="shared" si="22"/>
        <v/>
      </c>
      <c r="AL31" s="206" t="str">
        <f t="shared" si="22"/>
        <v/>
      </c>
      <c r="AM31" s="207" t="str">
        <f t="shared" si="26"/>
        <v/>
      </c>
      <c r="AN31" s="208" t="str">
        <f t="shared" si="26"/>
        <v/>
      </c>
      <c r="AO31" s="206" t="str">
        <f t="shared" si="26"/>
        <v/>
      </c>
      <c r="AP31" s="206" t="str">
        <f t="shared" si="26"/>
        <v/>
      </c>
      <c r="AQ31" s="207" t="str">
        <f t="shared" si="26"/>
        <v/>
      </c>
      <c r="AR31" s="208" t="str">
        <f t="shared" si="26"/>
        <v/>
      </c>
      <c r="AS31" s="206" t="str">
        <f t="shared" si="26"/>
        <v/>
      </c>
      <c r="AT31" s="206" t="str">
        <f t="shared" si="26"/>
        <v/>
      </c>
      <c r="AU31" s="207" t="str">
        <f t="shared" si="26"/>
        <v/>
      </c>
      <c r="AV31" s="208" t="str">
        <f t="shared" si="26"/>
        <v/>
      </c>
      <c r="AW31" s="206" t="str">
        <f t="shared" si="26"/>
        <v/>
      </c>
      <c r="AX31" s="206" t="str">
        <f t="shared" si="26"/>
        <v/>
      </c>
      <c r="AY31" s="207" t="str">
        <f t="shared" si="26"/>
        <v/>
      </c>
      <c r="AZ31" s="208" t="str">
        <f t="shared" si="26"/>
        <v/>
      </c>
      <c r="BA31" s="206" t="str">
        <f t="shared" si="26"/>
        <v/>
      </c>
      <c r="BB31" s="206" t="str">
        <f t="shared" si="26"/>
        <v/>
      </c>
      <c r="BC31" s="207" t="str">
        <f t="shared" si="23"/>
        <v/>
      </c>
      <c r="BD31" s="208" t="str">
        <f t="shared" si="23"/>
        <v/>
      </c>
      <c r="BE31" s="206" t="str">
        <f t="shared" si="23"/>
        <v/>
      </c>
      <c r="BF31" s="206" t="str">
        <f t="shared" si="23"/>
        <v/>
      </c>
      <c r="BG31" s="207" t="str">
        <f t="shared" si="23"/>
        <v/>
      </c>
      <c r="BH31" s="208" t="str">
        <f t="shared" si="23"/>
        <v/>
      </c>
      <c r="BI31" s="206" t="str">
        <f t="shared" si="23"/>
        <v/>
      </c>
      <c r="BJ31" s="206" t="str">
        <f t="shared" si="23"/>
        <v/>
      </c>
      <c r="BK31" s="207" t="str">
        <f t="shared" si="23"/>
        <v/>
      </c>
      <c r="BL31" s="208" t="str">
        <f t="shared" si="23"/>
        <v/>
      </c>
      <c r="BM31" s="206" t="str">
        <f t="shared" si="23"/>
        <v/>
      </c>
      <c r="BN31" s="206" t="str">
        <f t="shared" si="23"/>
        <v/>
      </c>
      <c r="BO31" s="207" t="str">
        <f t="shared" si="23"/>
        <v/>
      </c>
      <c r="BP31" s="208" t="str">
        <f t="shared" si="27"/>
        <v/>
      </c>
      <c r="BQ31" s="206" t="str">
        <f t="shared" si="27"/>
        <v/>
      </c>
      <c r="BR31" s="206" t="str">
        <f t="shared" si="27"/>
        <v/>
      </c>
      <c r="BS31" s="207" t="str">
        <f t="shared" si="27"/>
        <v/>
      </c>
      <c r="BT31" s="208" t="str">
        <f t="shared" si="27"/>
        <v/>
      </c>
      <c r="BU31" s="206" t="str">
        <f t="shared" si="27"/>
        <v/>
      </c>
      <c r="BV31" s="206" t="str">
        <f t="shared" si="27"/>
        <v/>
      </c>
      <c r="BW31" s="207" t="str">
        <f t="shared" si="27"/>
        <v/>
      </c>
      <c r="BX31" s="208" t="str">
        <f t="shared" si="27"/>
        <v/>
      </c>
      <c r="BY31" s="206" t="str">
        <f t="shared" si="27"/>
        <v/>
      </c>
      <c r="BZ31" s="206" t="str">
        <f t="shared" si="27"/>
        <v/>
      </c>
      <c r="CA31" s="207" t="str">
        <f t="shared" si="27"/>
        <v/>
      </c>
      <c r="CB31" s="208" t="str">
        <f t="shared" si="27"/>
        <v/>
      </c>
      <c r="CC31" s="206" t="str">
        <f t="shared" si="27"/>
        <v/>
      </c>
      <c r="CD31" s="206" t="str">
        <f t="shared" si="27"/>
        <v/>
      </c>
      <c r="CE31" s="207" t="str">
        <f t="shared" si="27"/>
        <v/>
      </c>
    </row>
    <row r="32" spans="1:83" ht="18" customHeight="1">
      <c r="A32" s="22">
        <f>+TABELLA!Y36</f>
        <v>0</v>
      </c>
      <c r="B32" s="22">
        <f>+TABELLA!Z36</f>
        <v>0</v>
      </c>
      <c r="C32" s="22">
        <f>+TABELLA!AA36</f>
        <v>0</v>
      </c>
      <c r="D32" s="22">
        <f>+TABELLA!AB36</f>
        <v>0</v>
      </c>
      <c r="E32" s="22"/>
      <c r="F32" s="26" t="str">
        <f>IF(TABELLA!B36="","",TABELLA!B36)</f>
        <v/>
      </c>
      <c r="G32" s="27" t="str">
        <f>IF(TABELLA!C36="","",TABELLA!C36)</f>
        <v/>
      </c>
      <c r="H32" s="203" t="str">
        <f t="shared" ref="H32:V32" si="37">IF(AND(G$3&gt;=$A32,G$3&lt;$B32),1,IF(AND(G$3&gt;=$C32,G$3&lt;$D32),1,""))</f>
        <v/>
      </c>
      <c r="I32" s="203" t="str">
        <f t="shared" si="37"/>
        <v/>
      </c>
      <c r="J32" s="203" t="str">
        <f t="shared" si="37"/>
        <v/>
      </c>
      <c r="K32" s="204" t="str">
        <f t="shared" si="37"/>
        <v/>
      </c>
      <c r="L32" s="205" t="str">
        <f t="shared" si="37"/>
        <v/>
      </c>
      <c r="M32" s="203" t="str">
        <f t="shared" si="37"/>
        <v/>
      </c>
      <c r="N32" s="203" t="str">
        <f t="shared" si="37"/>
        <v/>
      </c>
      <c r="O32" s="204" t="str">
        <f t="shared" si="37"/>
        <v/>
      </c>
      <c r="P32" s="205" t="str">
        <f t="shared" si="37"/>
        <v/>
      </c>
      <c r="Q32" s="203" t="str">
        <f t="shared" si="37"/>
        <v/>
      </c>
      <c r="R32" s="203" t="str">
        <f t="shared" si="37"/>
        <v/>
      </c>
      <c r="S32" s="204" t="str">
        <f t="shared" si="37"/>
        <v/>
      </c>
      <c r="T32" s="205" t="str">
        <f t="shared" si="37"/>
        <v/>
      </c>
      <c r="U32" s="203" t="str">
        <f t="shared" si="37"/>
        <v/>
      </c>
      <c r="V32" s="203" t="str">
        <f t="shared" si="37"/>
        <v/>
      </c>
      <c r="W32" s="204" t="str">
        <f t="shared" si="25"/>
        <v/>
      </c>
      <c r="X32" s="205" t="str">
        <f t="shared" si="22"/>
        <v/>
      </c>
      <c r="Y32" s="203" t="str">
        <f t="shared" si="22"/>
        <v/>
      </c>
      <c r="Z32" s="203" t="str">
        <f t="shared" si="22"/>
        <v/>
      </c>
      <c r="AA32" s="204" t="str">
        <f t="shared" si="22"/>
        <v/>
      </c>
      <c r="AB32" s="205" t="str">
        <f t="shared" si="22"/>
        <v/>
      </c>
      <c r="AC32" s="203" t="str">
        <f t="shared" si="22"/>
        <v/>
      </c>
      <c r="AD32" s="203" t="str">
        <f t="shared" si="22"/>
        <v/>
      </c>
      <c r="AE32" s="204" t="str">
        <f t="shared" si="22"/>
        <v/>
      </c>
      <c r="AF32" s="205" t="str">
        <f t="shared" si="22"/>
        <v/>
      </c>
      <c r="AG32" s="203" t="str">
        <f t="shared" si="22"/>
        <v/>
      </c>
      <c r="AH32" s="203" t="str">
        <f t="shared" si="22"/>
        <v/>
      </c>
      <c r="AI32" s="204" t="str">
        <f t="shared" si="22"/>
        <v/>
      </c>
      <c r="AJ32" s="205" t="str">
        <f t="shared" si="22"/>
        <v/>
      </c>
      <c r="AK32" s="203" t="str">
        <f t="shared" si="22"/>
        <v/>
      </c>
      <c r="AL32" s="203" t="str">
        <f t="shared" si="22"/>
        <v/>
      </c>
      <c r="AM32" s="204" t="str">
        <f t="shared" si="26"/>
        <v/>
      </c>
      <c r="AN32" s="205" t="str">
        <f t="shared" si="26"/>
        <v/>
      </c>
      <c r="AO32" s="203" t="str">
        <f t="shared" si="26"/>
        <v/>
      </c>
      <c r="AP32" s="203" t="str">
        <f t="shared" si="26"/>
        <v/>
      </c>
      <c r="AQ32" s="204" t="str">
        <f t="shared" si="26"/>
        <v/>
      </c>
      <c r="AR32" s="205" t="str">
        <f t="shared" si="26"/>
        <v/>
      </c>
      <c r="AS32" s="203" t="str">
        <f t="shared" si="26"/>
        <v/>
      </c>
      <c r="AT32" s="203" t="str">
        <f t="shared" si="26"/>
        <v/>
      </c>
      <c r="AU32" s="204" t="str">
        <f t="shared" si="26"/>
        <v/>
      </c>
      <c r="AV32" s="205" t="str">
        <f t="shared" si="26"/>
        <v/>
      </c>
      <c r="AW32" s="203" t="str">
        <f t="shared" si="26"/>
        <v/>
      </c>
      <c r="AX32" s="203" t="str">
        <f t="shared" si="26"/>
        <v/>
      </c>
      <c r="AY32" s="204" t="str">
        <f t="shared" si="26"/>
        <v/>
      </c>
      <c r="AZ32" s="205" t="str">
        <f t="shared" si="26"/>
        <v/>
      </c>
      <c r="BA32" s="203" t="str">
        <f t="shared" si="26"/>
        <v/>
      </c>
      <c r="BB32" s="203" t="str">
        <f t="shared" si="26"/>
        <v/>
      </c>
      <c r="BC32" s="204" t="str">
        <f t="shared" si="23"/>
        <v/>
      </c>
      <c r="BD32" s="205" t="str">
        <f t="shared" si="23"/>
        <v/>
      </c>
      <c r="BE32" s="203" t="str">
        <f t="shared" si="23"/>
        <v/>
      </c>
      <c r="BF32" s="203" t="str">
        <f t="shared" si="23"/>
        <v/>
      </c>
      <c r="BG32" s="204" t="str">
        <f t="shared" si="23"/>
        <v/>
      </c>
      <c r="BH32" s="205" t="str">
        <f t="shared" si="23"/>
        <v/>
      </c>
      <c r="BI32" s="203" t="str">
        <f t="shared" si="23"/>
        <v/>
      </c>
      <c r="BJ32" s="203" t="str">
        <f t="shared" si="23"/>
        <v/>
      </c>
      <c r="BK32" s="204" t="str">
        <f t="shared" si="23"/>
        <v/>
      </c>
      <c r="BL32" s="205" t="str">
        <f t="shared" si="23"/>
        <v/>
      </c>
      <c r="BM32" s="203" t="str">
        <f t="shared" si="23"/>
        <v/>
      </c>
      <c r="BN32" s="203" t="str">
        <f t="shared" si="23"/>
        <v/>
      </c>
      <c r="BO32" s="204" t="str">
        <f t="shared" si="23"/>
        <v/>
      </c>
      <c r="BP32" s="205" t="str">
        <f t="shared" si="27"/>
        <v/>
      </c>
      <c r="BQ32" s="203" t="str">
        <f t="shared" si="27"/>
        <v/>
      </c>
      <c r="BR32" s="203" t="str">
        <f t="shared" si="27"/>
        <v/>
      </c>
      <c r="BS32" s="204" t="str">
        <f t="shared" si="27"/>
        <v/>
      </c>
      <c r="BT32" s="205" t="str">
        <f t="shared" si="27"/>
        <v/>
      </c>
      <c r="BU32" s="203" t="str">
        <f t="shared" si="27"/>
        <v/>
      </c>
      <c r="BV32" s="203" t="str">
        <f t="shared" si="27"/>
        <v/>
      </c>
      <c r="BW32" s="204" t="str">
        <f t="shared" si="27"/>
        <v/>
      </c>
      <c r="BX32" s="205" t="str">
        <f t="shared" si="27"/>
        <v/>
      </c>
      <c r="BY32" s="203" t="str">
        <f t="shared" si="27"/>
        <v/>
      </c>
      <c r="BZ32" s="203" t="str">
        <f t="shared" si="27"/>
        <v/>
      </c>
      <c r="CA32" s="204" t="str">
        <f t="shared" si="27"/>
        <v/>
      </c>
      <c r="CB32" s="205" t="str">
        <f t="shared" si="27"/>
        <v/>
      </c>
      <c r="CC32" s="203" t="str">
        <f t="shared" si="27"/>
        <v/>
      </c>
      <c r="CD32" s="203" t="str">
        <f t="shared" si="27"/>
        <v/>
      </c>
      <c r="CE32" s="204" t="str">
        <f t="shared" si="27"/>
        <v/>
      </c>
    </row>
    <row r="33" spans="1:87" ht="18" customHeight="1">
      <c r="A33" s="22">
        <f>+TABELLA!Y37</f>
        <v>0</v>
      </c>
      <c r="B33" s="22">
        <f>+TABELLA!Z37</f>
        <v>0</v>
      </c>
      <c r="C33" s="22">
        <f>+TABELLA!AA37</f>
        <v>0</v>
      </c>
      <c r="D33" s="22">
        <f>+TABELLA!AB37</f>
        <v>0</v>
      </c>
      <c r="E33" s="22"/>
      <c r="F33" s="41">
        <f>IF(TABELLA!B37="","",TABELLA!B37)</f>
        <v>4</v>
      </c>
      <c r="G33" s="42" t="str">
        <f>IF(TABELLA!C37="","",TABELLA!C37)</f>
        <v/>
      </c>
      <c r="H33" s="206" t="str">
        <f t="shared" ref="H33:V33" si="38">IF(AND(G$3&gt;=$A33,G$3&lt;$B33),1,IF(AND(G$3&gt;=$C33,G$3&lt;$D33),1,""))</f>
        <v/>
      </c>
      <c r="I33" s="206" t="str">
        <f t="shared" si="38"/>
        <v/>
      </c>
      <c r="J33" s="206" t="str">
        <f t="shared" si="38"/>
        <v/>
      </c>
      <c r="K33" s="207" t="str">
        <f t="shared" si="38"/>
        <v/>
      </c>
      <c r="L33" s="208" t="str">
        <f t="shared" si="38"/>
        <v/>
      </c>
      <c r="M33" s="206" t="str">
        <f t="shared" si="38"/>
        <v/>
      </c>
      <c r="N33" s="206" t="str">
        <f t="shared" si="38"/>
        <v/>
      </c>
      <c r="O33" s="207" t="str">
        <f t="shared" si="38"/>
        <v/>
      </c>
      <c r="P33" s="208" t="str">
        <f t="shared" si="38"/>
        <v/>
      </c>
      <c r="Q33" s="206" t="str">
        <f t="shared" si="38"/>
        <v/>
      </c>
      <c r="R33" s="206" t="str">
        <f t="shared" si="38"/>
        <v/>
      </c>
      <c r="S33" s="207" t="str">
        <f t="shared" si="38"/>
        <v/>
      </c>
      <c r="T33" s="208" t="str">
        <f t="shared" si="38"/>
        <v/>
      </c>
      <c r="U33" s="206" t="str">
        <f t="shared" si="38"/>
        <v/>
      </c>
      <c r="V33" s="206" t="str">
        <f t="shared" si="38"/>
        <v/>
      </c>
      <c r="W33" s="207" t="str">
        <f t="shared" si="25"/>
        <v/>
      </c>
      <c r="X33" s="208" t="str">
        <f t="shared" si="22"/>
        <v/>
      </c>
      <c r="Y33" s="206" t="str">
        <f t="shared" si="22"/>
        <v/>
      </c>
      <c r="Z33" s="206" t="str">
        <f t="shared" si="22"/>
        <v/>
      </c>
      <c r="AA33" s="207" t="str">
        <f t="shared" si="22"/>
        <v/>
      </c>
      <c r="AB33" s="208" t="str">
        <f t="shared" si="22"/>
        <v/>
      </c>
      <c r="AC33" s="206" t="str">
        <f t="shared" si="22"/>
        <v/>
      </c>
      <c r="AD33" s="206" t="str">
        <f t="shared" si="22"/>
        <v/>
      </c>
      <c r="AE33" s="207" t="str">
        <f t="shared" si="22"/>
        <v/>
      </c>
      <c r="AF33" s="208" t="str">
        <f t="shared" si="22"/>
        <v/>
      </c>
      <c r="AG33" s="206" t="str">
        <f t="shared" si="22"/>
        <v/>
      </c>
      <c r="AH33" s="206" t="str">
        <f t="shared" si="22"/>
        <v/>
      </c>
      <c r="AI33" s="207" t="str">
        <f t="shared" si="22"/>
        <v/>
      </c>
      <c r="AJ33" s="208" t="str">
        <f t="shared" si="22"/>
        <v/>
      </c>
      <c r="AK33" s="206" t="str">
        <f t="shared" si="22"/>
        <v/>
      </c>
      <c r="AL33" s="206" t="str">
        <f t="shared" si="22"/>
        <v/>
      </c>
      <c r="AM33" s="207" t="str">
        <f t="shared" si="26"/>
        <v/>
      </c>
      <c r="AN33" s="208" t="str">
        <f t="shared" si="26"/>
        <v/>
      </c>
      <c r="AO33" s="206" t="str">
        <f t="shared" si="26"/>
        <v/>
      </c>
      <c r="AP33" s="206" t="str">
        <f t="shared" si="26"/>
        <v/>
      </c>
      <c r="AQ33" s="207" t="str">
        <f t="shared" si="26"/>
        <v/>
      </c>
      <c r="AR33" s="208" t="str">
        <f t="shared" si="26"/>
        <v/>
      </c>
      <c r="AS33" s="206" t="str">
        <f t="shared" si="26"/>
        <v/>
      </c>
      <c r="AT33" s="206" t="str">
        <f t="shared" si="26"/>
        <v/>
      </c>
      <c r="AU33" s="207" t="str">
        <f t="shared" si="26"/>
        <v/>
      </c>
      <c r="AV33" s="208" t="str">
        <f t="shared" si="26"/>
        <v/>
      </c>
      <c r="AW33" s="206" t="str">
        <f t="shared" si="26"/>
        <v/>
      </c>
      <c r="AX33" s="206" t="str">
        <f t="shared" si="26"/>
        <v/>
      </c>
      <c r="AY33" s="207" t="str">
        <f t="shared" si="26"/>
        <v/>
      </c>
      <c r="AZ33" s="208" t="str">
        <f t="shared" si="26"/>
        <v/>
      </c>
      <c r="BA33" s="206" t="str">
        <f t="shared" si="26"/>
        <v/>
      </c>
      <c r="BB33" s="206" t="str">
        <f t="shared" si="26"/>
        <v/>
      </c>
      <c r="BC33" s="207" t="str">
        <f t="shared" si="23"/>
        <v/>
      </c>
      <c r="BD33" s="208" t="str">
        <f t="shared" si="23"/>
        <v/>
      </c>
      <c r="BE33" s="206" t="str">
        <f t="shared" si="23"/>
        <v/>
      </c>
      <c r="BF33" s="206" t="str">
        <f t="shared" si="23"/>
        <v/>
      </c>
      <c r="BG33" s="207" t="str">
        <f t="shared" si="23"/>
        <v/>
      </c>
      <c r="BH33" s="208" t="str">
        <f t="shared" si="23"/>
        <v/>
      </c>
      <c r="BI33" s="206" t="str">
        <f t="shared" si="23"/>
        <v/>
      </c>
      <c r="BJ33" s="206" t="str">
        <f t="shared" si="23"/>
        <v/>
      </c>
      <c r="BK33" s="207" t="str">
        <f t="shared" si="23"/>
        <v/>
      </c>
      <c r="BL33" s="208" t="str">
        <f t="shared" si="23"/>
        <v/>
      </c>
      <c r="BM33" s="206" t="str">
        <f t="shared" si="23"/>
        <v/>
      </c>
      <c r="BN33" s="206" t="str">
        <f t="shared" si="23"/>
        <v/>
      </c>
      <c r="BO33" s="207" t="str">
        <f t="shared" si="23"/>
        <v/>
      </c>
      <c r="BP33" s="208" t="str">
        <f t="shared" si="27"/>
        <v/>
      </c>
      <c r="BQ33" s="206" t="str">
        <f t="shared" si="27"/>
        <v/>
      </c>
      <c r="BR33" s="206" t="str">
        <f t="shared" si="27"/>
        <v/>
      </c>
      <c r="BS33" s="207" t="str">
        <f t="shared" si="27"/>
        <v/>
      </c>
      <c r="BT33" s="208" t="str">
        <f t="shared" si="27"/>
        <v/>
      </c>
      <c r="BU33" s="206" t="str">
        <f t="shared" si="27"/>
        <v/>
      </c>
      <c r="BV33" s="206" t="str">
        <f t="shared" si="27"/>
        <v/>
      </c>
      <c r="BW33" s="207" t="str">
        <f t="shared" si="27"/>
        <v/>
      </c>
      <c r="BX33" s="208" t="str">
        <f t="shared" si="27"/>
        <v/>
      </c>
      <c r="BY33" s="206" t="str">
        <f t="shared" si="27"/>
        <v/>
      </c>
      <c r="BZ33" s="206" t="str">
        <f t="shared" si="27"/>
        <v/>
      </c>
      <c r="CA33" s="207" t="str">
        <f t="shared" si="27"/>
        <v/>
      </c>
      <c r="CB33" s="208" t="str">
        <f t="shared" si="27"/>
        <v/>
      </c>
      <c r="CC33" s="206" t="str">
        <f t="shared" si="27"/>
        <v/>
      </c>
      <c r="CD33" s="206" t="str">
        <f t="shared" si="27"/>
        <v/>
      </c>
      <c r="CE33" s="207" t="str">
        <f t="shared" si="27"/>
        <v/>
      </c>
    </row>
    <row r="34" spans="1:87" ht="18" customHeight="1">
      <c r="A34" s="22">
        <f>+TABELLA!Y38</f>
        <v>0</v>
      </c>
      <c r="B34" s="22">
        <f>+TABELLA!Z38</f>
        <v>0</v>
      </c>
      <c r="C34" s="22">
        <f>+TABELLA!AA38</f>
        <v>0</v>
      </c>
      <c r="D34" s="22">
        <f>+TABELLA!AB38</f>
        <v>0</v>
      </c>
      <c r="E34" s="22"/>
      <c r="F34" s="26">
        <f>IF(TABELLA!B38="","",TABELLA!B38)</f>
        <v>4</v>
      </c>
      <c r="G34" s="27" t="str">
        <f>IF(TABELLA!C38="","",TABELLA!C38)</f>
        <v>GREGGIO MONICA</v>
      </c>
      <c r="H34" s="203" t="str">
        <f t="shared" ref="H34:V34" si="39">IF(AND(G$3&gt;=$A34,G$3&lt;$B34),1,IF(AND(G$3&gt;=$C34,G$3&lt;$D34),1,""))</f>
        <v/>
      </c>
      <c r="I34" s="203" t="str">
        <f t="shared" si="39"/>
        <v/>
      </c>
      <c r="J34" s="203" t="str">
        <f t="shared" si="39"/>
        <v/>
      </c>
      <c r="K34" s="204" t="str">
        <f t="shared" si="39"/>
        <v/>
      </c>
      <c r="L34" s="205" t="str">
        <f t="shared" si="39"/>
        <v/>
      </c>
      <c r="M34" s="203" t="str">
        <f t="shared" si="39"/>
        <v/>
      </c>
      <c r="N34" s="203" t="str">
        <f t="shared" si="39"/>
        <v/>
      </c>
      <c r="O34" s="204" t="str">
        <f t="shared" si="39"/>
        <v/>
      </c>
      <c r="P34" s="205" t="str">
        <f t="shared" si="39"/>
        <v/>
      </c>
      <c r="Q34" s="203" t="str">
        <f t="shared" si="39"/>
        <v/>
      </c>
      <c r="R34" s="203" t="str">
        <f t="shared" si="39"/>
        <v/>
      </c>
      <c r="S34" s="204" t="str">
        <f t="shared" si="39"/>
        <v/>
      </c>
      <c r="T34" s="205" t="str">
        <f t="shared" si="39"/>
        <v/>
      </c>
      <c r="U34" s="203" t="str">
        <f t="shared" si="39"/>
        <v/>
      </c>
      <c r="V34" s="203" t="str">
        <f t="shared" si="39"/>
        <v/>
      </c>
      <c r="W34" s="204" t="str">
        <f t="shared" si="25"/>
        <v/>
      </c>
      <c r="X34" s="205" t="str">
        <f t="shared" si="22"/>
        <v/>
      </c>
      <c r="Y34" s="203" t="str">
        <f t="shared" si="22"/>
        <v/>
      </c>
      <c r="Z34" s="203" t="str">
        <f t="shared" si="22"/>
        <v/>
      </c>
      <c r="AA34" s="204" t="str">
        <f t="shared" si="22"/>
        <v/>
      </c>
      <c r="AB34" s="205" t="str">
        <f t="shared" si="22"/>
        <v/>
      </c>
      <c r="AC34" s="203" t="str">
        <f t="shared" si="22"/>
        <v/>
      </c>
      <c r="AD34" s="203" t="str">
        <f t="shared" si="22"/>
        <v/>
      </c>
      <c r="AE34" s="204" t="str">
        <f t="shared" si="22"/>
        <v/>
      </c>
      <c r="AF34" s="205" t="str">
        <f t="shared" si="22"/>
        <v/>
      </c>
      <c r="AG34" s="203" t="str">
        <f t="shared" si="22"/>
        <v/>
      </c>
      <c r="AH34" s="203" t="str">
        <f t="shared" si="22"/>
        <v/>
      </c>
      <c r="AI34" s="204" t="str">
        <f t="shared" si="22"/>
        <v/>
      </c>
      <c r="AJ34" s="205" t="str">
        <f t="shared" si="22"/>
        <v/>
      </c>
      <c r="AK34" s="203" t="str">
        <f t="shared" si="22"/>
        <v/>
      </c>
      <c r="AL34" s="203" t="str">
        <f t="shared" si="22"/>
        <v/>
      </c>
      <c r="AM34" s="204" t="str">
        <f t="shared" si="26"/>
        <v/>
      </c>
      <c r="AN34" s="205" t="str">
        <f t="shared" si="26"/>
        <v/>
      </c>
      <c r="AO34" s="203" t="str">
        <f t="shared" si="26"/>
        <v/>
      </c>
      <c r="AP34" s="203" t="str">
        <f t="shared" si="26"/>
        <v/>
      </c>
      <c r="AQ34" s="204" t="str">
        <f t="shared" si="26"/>
        <v/>
      </c>
      <c r="AR34" s="205" t="str">
        <f t="shared" si="26"/>
        <v/>
      </c>
      <c r="AS34" s="203" t="str">
        <f t="shared" si="26"/>
        <v/>
      </c>
      <c r="AT34" s="203" t="str">
        <f t="shared" si="26"/>
        <v/>
      </c>
      <c r="AU34" s="204" t="str">
        <f t="shared" si="26"/>
        <v/>
      </c>
      <c r="AV34" s="205" t="str">
        <f t="shared" si="26"/>
        <v/>
      </c>
      <c r="AW34" s="203" t="str">
        <f t="shared" si="26"/>
        <v/>
      </c>
      <c r="AX34" s="203" t="str">
        <f t="shared" si="26"/>
        <v/>
      </c>
      <c r="AY34" s="204" t="str">
        <f t="shared" si="26"/>
        <v/>
      </c>
      <c r="AZ34" s="205" t="str">
        <f t="shared" si="26"/>
        <v/>
      </c>
      <c r="BA34" s="203" t="str">
        <f t="shared" si="26"/>
        <v/>
      </c>
      <c r="BB34" s="203" t="str">
        <f t="shared" si="26"/>
        <v/>
      </c>
      <c r="BC34" s="204" t="str">
        <f t="shared" si="23"/>
        <v/>
      </c>
      <c r="BD34" s="205" t="str">
        <f t="shared" si="23"/>
        <v/>
      </c>
      <c r="BE34" s="203" t="str">
        <f t="shared" si="23"/>
        <v/>
      </c>
      <c r="BF34" s="203" t="str">
        <f t="shared" si="23"/>
        <v/>
      </c>
      <c r="BG34" s="204" t="str">
        <f t="shared" si="23"/>
        <v/>
      </c>
      <c r="BH34" s="205" t="str">
        <f t="shared" si="23"/>
        <v/>
      </c>
      <c r="BI34" s="203" t="str">
        <f t="shared" si="23"/>
        <v/>
      </c>
      <c r="BJ34" s="203" t="str">
        <f t="shared" si="23"/>
        <v/>
      </c>
      <c r="BK34" s="204" t="str">
        <f t="shared" si="23"/>
        <v/>
      </c>
      <c r="BL34" s="205" t="str">
        <f t="shared" si="23"/>
        <v/>
      </c>
      <c r="BM34" s="203" t="str">
        <f t="shared" si="23"/>
        <v/>
      </c>
      <c r="BN34" s="203" t="str">
        <f t="shared" si="23"/>
        <v/>
      </c>
      <c r="BO34" s="204" t="str">
        <f t="shared" si="23"/>
        <v/>
      </c>
      <c r="BP34" s="205" t="str">
        <f t="shared" si="27"/>
        <v/>
      </c>
      <c r="BQ34" s="203" t="str">
        <f t="shared" si="27"/>
        <v/>
      </c>
      <c r="BR34" s="203" t="str">
        <f t="shared" si="27"/>
        <v/>
      </c>
      <c r="BS34" s="204" t="str">
        <f t="shared" si="27"/>
        <v/>
      </c>
      <c r="BT34" s="205" t="str">
        <f t="shared" si="27"/>
        <v/>
      </c>
      <c r="BU34" s="203" t="str">
        <f t="shared" si="27"/>
        <v/>
      </c>
      <c r="BV34" s="203" t="str">
        <f t="shared" si="27"/>
        <v/>
      </c>
      <c r="BW34" s="204" t="str">
        <f t="shared" si="27"/>
        <v/>
      </c>
      <c r="BX34" s="205" t="str">
        <f t="shared" si="27"/>
        <v/>
      </c>
      <c r="BY34" s="203" t="str">
        <f t="shared" si="27"/>
        <v/>
      </c>
      <c r="BZ34" s="203" t="str">
        <f t="shared" si="27"/>
        <v/>
      </c>
      <c r="CA34" s="204" t="str">
        <f t="shared" si="27"/>
        <v/>
      </c>
      <c r="CB34" s="205" t="str">
        <f t="shared" si="27"/>
        <v/>
      </c>
      <c r="CC34" s="203" t="str">
        <f t="shared" si="27"/>
        <v/>
      </c>
      <c r="CD34" s="203" t="str">
        <f t="shared" si="27"/>
        <v/>
      </c>
      <c r="CE34" s="204" t="str">
        <f t="shared" si="27"/>
        <v/>
      </c>
    </row>
    <row r="35" spans="1:87" ht="18" customHeight="1">
      <c r="A35" s="22">
        <f>+TABELLA!Y39</f>
        <v>0</v>
      </c>
      <c r="B35" s="22">
        <f>+TABELLA!Z39</f>
        <v>0</v>
      </c>
      <c r="C35" s="22">
        <f>+TABELLA!AA39</f>
        <v>0</v>
      </c>
      <c r="D35" s="22">
        <f>+TABELLA!AB39</f>
        <v>0</v>
      </c>
      <c r="E35" s="22"/>
      <c r="F35" s="41">
        <f>IF(TABELLA!B39="","",TABELLA!B39)</f>
        <v>4</v>
      </c>
      <c r="G35" s="42" t="str">
        <f>IF(TABELLA!C39="","",TABELLA!C39)</f>
        <v>RACCAGNI CRISTIANA</v>
      </c>
      <c r="H35" s="206" t="str">
        <f t="shared" ref="H35:V35" si="40">IF(AND(G$3&gt;=$A35,G$3&lt;$B35),1,IF(AND(G$3&gt;=$C35,G$3&lt;$D35),1,""))</f>
        <v/>
      </c>
      <c r="I35" s="206" t="str">
        <f t="shared" si="40"/>
        <v/>
      </c>
      <c r="J35" s="206" t="str">
        <f t="shared" si="40"/>
        <v/>
      </c>
      <c r="K35" s="207" t="str">
        <f t="shared" si="40"/>
        <v/>
      </c>
      <c r="L35" s="208" t="str">
        <f t="shared" si="40"/>
        <v/>
      </c>
      <c r="M35" s="206" t="str">
        <f t="shared" si="40"/>
        <v/>
      </c>
      <c r="N35" s="206" t="str">
        <f t="shared" si="40"/>
        <v/>
      </c>
      <c r="O35" s="207" t="str">
        <f t="shared" si="40"/>
        <v/>
      </c>
      <c r="P35" s="208" t="str">
        <f t="shared" si="40"/>
        <v/>
      </c>
      <c r="Q35" s="206" t="str">
        <f t="shared" si="40"/>
        <v/>
      </c>
      <c r="R35" s="206" t="str">
        <f t="shared" si="40"/>
        <v/>
      </c>
      <c r="S35" s="207" t="str">
        <f t="shared" si="40"/>
        <v/>
      </c>
      <c r="T35" s="208" t="str">
        <f t="shared" si="40"/>
        <v/>
      </c>
      <c r="U35" s="206" t="str">
        <f t="shared" si="40"/>
        <v/>
      </c>
      <c r="V35" s="206" t="str">
        <f t="shared" si="40"/>
        <v/>
      </c>
      <c r="W35" s="207" t="str">
        <f t="shared" si="25"/>
        <v/>
      </c>
      <c r="X35" s="208" t="str">
        <f t="shared" si="22"/>
        <v/>
      </c>
      <c r="Y35" s="206" t="str">
        <f t="shared" si="22"/>
        <v/>
      </c>
      <c r="Z35" s="206" t="str">
        <f t="shared" si="22"/>
        <v/>
      </c>
      <c r="AA35" s="207" t="str">
        <f t="shared" si="22"/>
        <v/>
      </c>
      <c r="AB35" s="208" t="str">
        <f t="shared" si="22"/>
        <v/>
      </c>
      <c r="AC35" s="206" t="str">
        <f t="shared" si="22"/>
        <v/>
      </c>
      <c r="AD35" s="206" t="str">
        <f t="shared" si="22"/>
        <v/>
      </c>
      <c r="AE35" s="207" t="str">
        <f t="shared" si="22"/>
        <v/>
      </c>
      <c r="AF35" s="208" t="str">
        <f t="shared" si="22"/>
        <v/>
      </c>
      <c r="AG35" s="206" t="str">
        <f t="shared" si="22"/>
        <v/>
      </c>
      <c r="AH35" s="206" t="str">
        <f t="shared" si="22"/>
        <v/>
      </c>
      <c r="AI35" s="207" t="str">
        <f t="shared" si="22"/>
        <v/>
      </c>
      <c r="AJ35" s="208" t="str">
        <f t="shared" si="22"/>
        <v/>
      </c>
      <c r="AK35" s="206" t="str">
        <f t="shared" si="22"/>
        <v/>
      </c>
      <c r="AL35" s="206" t="str">
        <f t="shared" si="22"/>
        <v/>
      </c>
      <c r="AM35" s="207" t="str">
        <f t="shared" si="26"/>
        <v/>
      </c>
      <c r="AN35" s="208" t="str">
        <f t="shared" si="26"/>
        <v/>
      </c>
      <c r="AO35" s="206" t="str">
        <f t="shared" si="26"/>
        <v/>
      </c>
      <c r="AP35" s="206" t="str">
        <f t="shared" si="26"/>
        <v/>
      </c>
      <c r="AQ35" s="207" t="str">
        <f t="shared" si="26"/>
        <v/>
      </c>
      <c r="AR35" s="208" t="str">
        <f t="shared" si="26"/>
        <v/>
      </c>
      <c r="AS35" s="206" t="str">
        <f t="shared" si="26"/>
        <v/>
      </c>
      <c r="AT35" s="206" t="str">
        <f t="shared" si="26"/>
        <v/>
      </c>
      <c r="AU35" s="207" t="str">
        <f t="shared" si="26"/>
        <v/>
      </c>
      <c r="AV35" s="208" t="str">
        <f t="shared" si="26"/>
        <v/>
      </c>
      <c r="AW35" s="206" t="str">
        <f t="shared" si="26"/>
        <v/>
      </c>
      <c r="AX35" s="206" t="str">
        <f t="shared" si="26"/>
        <v/>
      </c>
      <c r="AY35" s="207" t="str">
        <f t="shared" si="26"/>
        <v/>
      </c>
      <c r="AZ35" s="208" t="str">
        <f t="shared" si="26"/>
        <v/>
      </c>
      <c r="BA35" s="206" t="str">
        <f t="shared" si="26"/>
        <v/>
      </c>
      <c r="BB35" s="206" t="str">
        <f t="shared" si="26"/>
        <v/>
      </c>
      <c r="BC35" s="207" t="str">
        <f t="shared" si="23"/>
        <v/>
      </c>
      <c r="BD35" s="208" t="str">
        <f t="shared" si="23"/>
        <v/>
      </c>
      <c r="BE35" s="206" t="str">
        <f t="shared" si="23"/>
        <v/>
      </c>
      <c r="BF35" s="206" t="str">
        <f t="shared" si="23"/>
        <v/>
      </c>
      <c r="BG35" s="207" t="str">
        <f t="shared" si="23"/>
        <v/>
      </c>
      <c r="BH35" s="208" t="str">
        <f t="shared" si="23"/>
        <v/>
      </c>
      <c r="BI35" s="206" t="str">
        <f t="shared" si="23"/>
        <v/>
      </c>
      <c r="BJ35" s="206" t="str">
        <f t="shared" si="23"/>
        <v/>
      </c>
      <c r="BK35" s="207" t="str">
        <f t="shared" si="23"/>
        <v/>
      </c>
      <c r="BL35" s="208" t="str">
        <f t="shared" si="23"/>
        <v/>
      </c>
      <c r="BM35" s="206" t="str">
        <f t="shared" si="23"/>
        <v/>
      </c>
      <c r="BN35" s="206" t="str">
        <f t="shared" si="23"/>
        <v/>
      </c>
      <c r="BO35" s="207" t="str">
        <f t="shared" si="23"/>
        <v/>
      </c>
      <c r="BP35" s="208" t="str">
        <f t="shared" si="27"/>
        <v/>
      </c>
      <c r="BQ35" s="206" t="str">
        <f t="shared" si="27"/>
        <v/>
      </c>
      <c r="BR35" s="206" t="str">
        <f t="shared" si="27"/>
        <v/>
      </c>
      <c r="BS35" s="207" t="str">
        <f t="shared" si="27"/>
        <v/>
      </c>
      <c r="BT35" s="208" t="str">
        <f t="shared" si="27"/>
        <v/>
      </c>
      <c r="BU35" s="206" t="str">
        <f t="shared" si="27"/>
        <v/>
      </c>
      <c r="BV35" s="206" t="str">
        <f t="shared" si="27"/>
        <v/>
      </c>
      <c r="BW35" s="207" t="str">
        <f t="shared" si="27"/>
        <v/>
      </c>
      <c r="BX35" s="208" t="str">
        <f t="shared" si="27"/>
        <v/>
      </c>
      <c r="BY35" s="206" t="str">
        <f t="shared" si="27"/>
        <v/>
      </c>
      <c r="BZ35" s="206" t="str">
        <f t="shared" si="27"/>
        <v/>
      </c>
      <c r="CA35" s="207" t="str">
        <f t="shared" si="27"/>
        <v/>
      </c>
      <c r="CB35" s="208" t="str">
        <f t="shared" si="27"/>
        <v/>
      </c>
      <c r="CC35" s="206" t="str">
        <f t="shared" si="27"/>
        <v/>
      </c>
      <c r="CD35" s="206" t="str">
        <f t="shared" si="27"/>
        <v/>
      </c>
      <c r="CE35" s="207" t="str">
        <f t="shared" si="27"/>
        <v/>
      </c>
    </row>
    <row r="36" spans="1:87" ht="18" customHeight="1">
      <c r="A36" s="22">
        <f>+TABELLA!Y40</f>
        <v>0</v>
      </c>
      <c r="B36" s="22">
        <f>+TABELLA!Z40</f>
        <v>0</v>
      </c>
      <c r="C36" s="22">
        <f>+TABELLA!AA40</f>
        <v>0</v>
      </c>
      <c r="D36" s="22">
        <f>+TABELLA!AB40</f>
        <v>0</v>
      </c>
      <c r="E36" s="22"/>
      <c r="F36" s="26">
        <f>IF(TABELLA!B40="","",TABELLA!B40)</f>
        <v>4</v>
      </c>
      <c r="G36" s="27" t="str">
        <f>IF(TABELLA!C40="","",TABELLA!C40)</f>
        <v>LO BELLO ENRICHETTA</v>
      </c>
      <c r="H36" s="203" t="str">
        <f t="shared" ref="H36:V36" si="41">IF(AND(G$3&gt;=$A36,G$3&lt;$B36),1,IF(AND(G$3&gt;=$C36,G$3&lt;$D36),1,""))</f>
        <v/>
      </c>
      <c r="I36" s="203" t="str">
        <f t="shared" si="41"/>
        <v/>
      </c>
      <c r="J36" s="203" t="str">
        <f t="shared" si="41"/>
        <v/>
      </c>
      <c r="K36" s="204" t="str">
        <f t="shared" si="41"/>
        <v/>
      </c>
      <c r="L36" s="205" t="str">
        <f t="shared" si="41"/>
        <v/>
      </c>
      <c r="M36" s="203" t="str">
        <f t="shared" si="41"/>
        <v/>
      </c>
      <c r="N36" s="203" t="str">
        <f t="shared" si="41"/>
        <v/>
      </c>
      <c r="O36" s="204" t="str">
        <f t="shared" si="41"/>
        <v/>
      </c>
      <c r="P36" s="205" t="str">
        <f t="shared" si="41"/>
        <v/>
      </c>
      <c r="Q36" s="203" t="str">
        <f t="shared" si="41"/>
        <v/>
      </c>
      <c r="R36" s="203" t="str">
        <f t="shared" si="41"/>
        <v/>
      </c>
      <c r="S36" s="204" t="str">
        <f t="shared" si="41"/>
        <v/>
      </c>
      <c r="T36" s="205" t="str">
        <f t="shared" si="41"/>
        <v/>
      </c>
      <c r="U36" s="203" t="str">
        <f t="shared" si="41"/>
        <v/>
      </c>
      <c r="V36" s="203" t="str">
        <f t="shared" si="41"/>
        <v/>
      </c>
      <c r="W36" s="204" t="str">
        <f t="shared" si="25"/>
        <v/>
      </c>
      <c r="X36" s="205" t="str">
        <f t="shared" si="22"/>
        <v/>
      </c>
      <c r="Y36" s="203" t="str">
        <f t="shared" si="22"/>
        <v/>
      </c>
      <c r="Z36" s="203" t="str">
        <f t="shared" si="22"/>
        <v/>
      </c>
      <c r="AA36" s="204" t="str">
        <f t="shared" si="22"/>
        <v/>
      </c>
      <c r="AB36" s="205" t="str">
        <f t="shared" si="22"/>
        <v/>
      </c>
      <c r="AC36" s="203" t="str">
        <f t="shared" si="22"/>
        <v/>
      </c>
      <c r="AD36" s="203" t="str">
        <f t="shared" si="22"/>
        <v/>
      </c>
      <c r="AE36" s="204" t="str">
        <f t="shared" si="22"/>
        <v/>
      </c>
      <c r="AF36" s="205" t="str">
        <f t="shared" si="22"/>
        <v/>
      </c>
      <c r="AG36" s="203" t="str">
        <f t="shared" si="22"/>
        <v/>
      </c>
      <c r="AH36" s="203" t="str">
        <f t="shared" si="22"/>
        <v/>
      </c>
      <c r="AI36" s="204" t="str">
        <f t="shared" si="22"/>
        <v/>
      </c>
      <c r="AJ36" s="205" t="str">
        <f t="shared" si="22"/>
        <v/>
      </c>
      <c r="AK36" s="203" t="str">
        <f t="shared" si="22"/>
        <v/>
      </c>
      <c r="AL36" s="203" t="str">
        <f t="shared" si="22"/>
        <v/>
      </c>
      <c r="AM36" s="204" t="str">
        <f t="shared" si="26"/>
        <v/>
      </c>
      <c r="AN36" s="205" t="str">
        <f t="shared" si="26"/>
        <v/>
      </c>
      <c r="AO36" s="203" t="str">
        <f t="shared" si="26"/>
        <v/>
      </c>
      <c r="AP36" s="203" t="str">
        <f t="shared" si="26"/>
        <v/>
      </c>
      <c r="AQ36" s="204" t="str">
        <f t="shared" si="26"/>
        <v/>
      </c>
      <c r="AR36" s="205" t="str">
        <f t="shared" si="26"/>
        <v/>
      </c>
      <c r="AS36" s="203" t="str">
        <f t="shared" si="26"/>
        <v/>
      </c>
      <c r="AT36" s="203" t="str">
        <f t="shared" si="26"/>
        <v/>
      </c>
      <c r="AU36" s="204" t="str">
        <f t="shared" si="26"/>
        <v/>
      </c>
      <c r="AV36" s="205" t="str">
        <f t="shared" si="26"/>
        <v/>
      </c>
      <c r="AW36" s="203" t="str">
        <f t="shared" si="26"/>
        <v/>
      </c>
      <c r="AX36" s="203" t="str">
        <f t="shared" si="26"/>
        <v/>
      </c>
      <c r="AY36" s="204" t="str">
        <f t="shared" si="26"/>
        <v/>
      </c>
      <c r="AZ36" s="205" t="str">
        <f t="shared" si="26"/>
        <v/>
      </c>
      <c r="BA36" s="203" t="str">
        <f t="shared" si="26"/>
        <v/>
      </c>
      <c r="BB36" s="203" t="str">
        <f t="shared" si="26"/>
        <v/>
      </c>
      <c r="BC36" s="204" t="str">
        <f t="shared" si="23"/>
        <v/>
      </c>
      <c r="BD36" s="205" t="str">
        <f t="shared" si="23"/>
        <v/>
      </c>
      <c r="BE36" s="203" t="str">
        <f t="shared" si="23"/>
        <v/>
      </c>
      <c r="BF36" s="203" t="str">
        <f t="shared" si="23"/>
        <v/>
      </c>
      <c r="BG36" s="204" t="str">
        <f t="shared" si="23"/>
        <v/>
      </c>
      <c r="BH36" s="205" t="str">
        <f t="shared" si="23"/>
        <v/>
      </c>
      <c r="BI36" s="203" t="str">
        <f t="shared" si="23"/>
        <v/>
      </c>
      <c r="BJ36" s="203" t="str">
        <f t="shared" si="23"/>
        <v/>
      </c>
      <c r="BK36" s="204" t="str">
        <f t="shared" si="23"/>
        <v/>
      </c>
      <c r="BL36" s="205" t="str">
        <f t="shared" si="23"/>
        <v/>
      </c>
      <c r="BM36" s="203" t="str">
        <f t="shared" si="23"/>
        <v/>
      </c>
      <c r="BN36" s="203" t="str">
        <f t="shared" si="23"/>
        <v/>
      </c>
      <c r="BO36" s="204" t="str">
        <f t="shared" si="23"/>
        <v/>
      </c>
      <c r="BP36" s="205" t="str">
        <f t="shared" si="27"/>
        <v/>
      </c>
      <c r="BQ36" s="203" t="str">
        <f t="shared" si="27"/>
        <v/>
      </c>
      <c r="BR36" s="203" t="str">
        <f t="shared" si="27"/>
        <v/>
      </c>
      <c r="BS36" s="204" t="str">
        <f t="shared" si="27"/>
        <v/>
      </c>
      <c r="BT36" s="205" t="str">
        <f t="shared" si="27"/>
        <v/>
      </c>
      <c r="BU36" s="203" t="str">
        <f t="shared" si="27"/>
        <v/>
      </c>
      <c r="BV36" s="203" t="str">
        <f t="shared" si="27"/>
        <v/>
      </c>
      <c r="BW36" s="204" t="str">
        <f t="shared" si="27"/>
        <v/>
      </c>
      <c r="BX36" s="205" t="str">
        <f t="shared" si="27"/>
        <v/>
      </c>
      <c r="BY36" s="203" t="str">
        <f t="shared" si="27"/>
        <v/>
      </c>
      <c r="BZ36" s="203" t="str">
        <f t="shared" si="27"/>
        <v/>
      </c>
      <c r="CA36" s="204" t="str">
        <f t="shared" si="27"/>
        <v/>
      </c>
      <c r="CB36" s="205" t="str">
        <f t="shared" si="27"/>
        <v/>
      </c>
      <c r="CC36" s="203" t="str">
        <f t="shared" si="27"/>
        <v/>
      </c>
      <c r="CD36" s="203" t="str">
        <f t="shared" si="27"/>
        <v/>
      </c>
      <c r="CE36" s="204" t="str">
        <f t="shared" si="27"/>
        <v/>
      </c>
    </row>
    <row r="37" spans="1:87" ht="18" customHeight="1">
      <c r="A37" s="22">
        <f>+TABELLA!Y41</f>
        <v>0</v>
      </c>
      <c r="B37" s="22">
        <f>+TABELLA!Z41</f>
        <v>0</v>
      </c>
      <c r="C37" s="22">
        <f>+TABELLA!AA41</f>
        <v>0</v>
      </c>
      <c r="D37" s="22">
        <f>+TABELLA!AB41</f>
        <v>0</v>
      </c>
      <c r="E37" s="22"/>
      <c r="F37" s="41">
        <f>IF(TABELLA!B41="","",TABELLA!B41)</f>
        <v>4</v>
      </c>
      <c r="G37" s="42" t="str">
        <f>IF(TABELLA!C41="","",TABELLA!C41)</f>
        <v/>
      </c>
      <c r="H37" s="206" t="str">
        <f t="shared" ref="H37:V37" si="42">IF(AND(G$3&gt;=$A37,G$3&lt;$B37),1,IF(AND(G$3&gt;=$C37,G$3&lt;$D37),1,""))</f>
        <v/>
      </c>
      <c r="I37" s="206" t="str">
        <f t="shared" si="42"/>
        <v/>
      </c>
      <c r="J37" s="206" t="str">
        <f t="shared" si="42"/>
        <v/>
      </c>
      <c r="K37" s="207" t="str">
        <f t="shared" si="42"/>
        <v/>
      </c>
      <c r="L37" s="208" t="str">
        <f t="shared" si="42"/>
        <v/>
      </c>
      <c r="M37" s="206" t="str">
        <f t="shared" si="42"/>
        <v/>
      </c>
      <c r="N37" s="206" t="str">
        <f t="shared" si="42"/>
        <v/>
      </c>
      <c r="O37" s="207" t="str">
        <f t="shared" si="42"/>
        <v/>
      </c>
      <c r="P37" s="208" t="str">
        <f t="shared" si="42"/>
        <v/>
      </c>
      <c r="Q37" s="206" t="str">
        <f t="shared" si="42"/>
        <v/>
      </c>
      <c r="R37" s="206" t="str">
        <f t="shared" si="42"/>
        <v/>
      </c>
      <c r="S37" s="207" t="str">
        <f t="shared" si="42"/>
        <v/>
      </c>
      <c r="T37" s="208" t="str">
        <f t="shared" si="42"/>
        <v/>
      </c>
      <c r="U37" s="206" t="str">
        <f t="shared" si="42"/>
        <v/>
      </c>
      <c r="V37" s="206" t="str">
        <f t="shared" si="42"/>
        <v/>
      </c>
      <c r="W37" s="207" t="str">
        <f t="shared" ref="W37:AL45" si="43">IF(AND(V$3&gt;=$A37,V$3&lt;$B37),1,IF(AND(V$3&gt;=$C37,V$3&lt;$D37),1,""))</f>
        <v/>
      </c>
      <c r="X37" s="208" t="str">
        <f t="shared" si="43"/>
        <v/>
      </c>
      <c r="Y37" s="206" t="str">
        <f t="shared" si="43"/>
        <v/>
      </c>
      <c r="Z37" s="206" t="str">
        <f t="shared" si="43"/>
        <v/>
      </c>
      <c r="AA37" s="207" t="str">
        <f t="shared" si="43"/>
        <v/>
      </c>
      <c r="AB37" s="208" t="str">
        <f t="shared" si="43"/>
        <v/>
      </c>
      <c r="AC37" s="206" t="str">
        <f t="shared" si="43"/>
        <v/>
      </c>
      <c r="AD37" s="206" t="str">
        <f t="shared" si="43"/>
        <v/>
      </c>
      <c r="AE37" s="207" t="str">
        <f t="shared" si="43"/>
        <v/>
      </c>
      <c r="AF37" s="208" t="str">
        <f t="shared" si="43"/>
        <v/>
      </c>
      <c r="AG37" s="206" t="str">
        <f t="shared" si="43"/>
        <v/>
      </c>
      <c r="AH37" s="206" t="str">
        <f t="shared" si="43"/>
        <v/>
      </c>
      <c r="AI37" s="207" t="str">
        <f t="shared" si="43"/>
        <v/>
      </c>
      <c r="AJ37" s="208" t="str">
        <f t="shared" si="43"/>
        <v/>
      </c>
      <c r="AK37" s="206" t="str">
        <f t="shared" si="43"/>
        <v/>
      </c>
      <c r="AL37" s="206" t="str">
        <f t="shared" si="43"/>
        <v/>
      </c>
      <c r="AM37" s="207" t="str">
        <f t="shared" si="26"/>
        <v/>
      </c>
      <c r="AN37" s="208" t="str">
        <f t="shared" si="26"/>
        <v/>
      </c>
      <c r="AO37" s="206" t="str">
        <f t="shared" si="26"/>
        <v/>
      </c>
      <c r="AP37" s="206" t="str">
        <f t="shared" si="26"/>
        <v/>
      </c>
      <c r="AQ37" s="207" t="str">
        <f t="shared" si="26"/>
        <v/>
      </c>
      <c r="AR37" s="208" t="str">
        <f t="shared" si="26"/>
        <v/>
      </c>
      <c r="AS37" s="206" t="str">
        <f t="shared" si="26"/>
        <v/>
      </c>
      <c r="AT37" s="206" t="str">
        <f t="shared" si="26"/>
        <v/>
      </c>
      <c r="AU37" s="207" t="str">
        <f t="shared" si="26"/>
        <v/>
      </c>
      <c r="AV37" s="208" t="str">
        <f t="shared" si="26"/>
        <v/>
      </c>
      <c r="AW37" s="206" t="str">
        <f t="shared" si="26"/>
        <v/>
      </c>
      <c r="AX37" s="206" t="str">
        <f t="shared" si="26"/>
        <v/>
      </c>
      <c r="AY37" s="207" t="str">
        <f t="shared" si="26"/>
        <v/>
      </c>
      <c r="AZ37" s="208" t="str">
        <f t="shared" si="26"/>
        <v/>
      </c>
      <c r="BA37" s="206" t="str">
        <f t="shared" si="26"/>
        <v/>
      </c>
      <c r="BB37" s="206" t="str">
        <f t="shared" ref="BB37:BQ45" si="44">IF(AND(BA$3&gt;=$A37,BA$3&lt;$B37),1,IF(AND(BA$3&gt;=$C37,BA$3&lt;$D37),1,""))</f>
        <v/>
      </c>
      <c r="BC37" s="207" t="str">
        <f t="shared" si="44"/>
        <v/>
      </c>
      <c r="BD37" s="208" t="str">
        <f t="shared" si="44"/>
        <v/>
      </c>
      <c r="BE37" s="206" t="str">
        <f t="shared" si="44"/>
        <v/>
      </c>
      <c r="BF37" s="206" t="str">
        <f t="shared" si="44"/>
        <v/>
      </c>
      <c r="BG37" s="207" t="str">
        <f t="shared" si="44"/>
        <v/>
      </c>
      <c r="BH37" s="208" t="str">
        <f t="shared" si="44"/>
        <v/>
      </c>
      <c r="BI37" s="206" t="str">
        <f t="shared" si="44"/>
        <v/>
      </c>
      <c r="BJ37" s="206" t="str">
        <f t="shared" si="44"/>
        <v/>
      </c>
      <c r="BK37" s="207" t="str">
        <f t="shared" si="44"/>
        <v/>
      </c>
      <c r="BL37" s="208" t="str">
        <f t="shared" si="44"/>
        <v/>
      </c>
      <c r="BM37" s="206" t="str">
        <f t="shared" si="44"/>
        <v/>
      </c>
      <c r="BN37" s="206" t="str">
        <f t="shared" si="44"/>
        <v/>
      </c>
      <c r="BO37" s="207" t="str">
        <f t="shared" si="44"/>
        <v/>
      </c>
      <c r="BP37" s="208" t="str">
        <f t="shared" si="27"/>
        <v/>
      </c>
      <c r="BQ37" s="206" t="str">
        <f t="shared" si="27"/>
        <v/>
      </c>
      <c r="BR37" s="206" t="str">
        <f t="shared" si="27"/>
        <v/>
      </c>
      <c r="BS37" s="207" t="str">
        <f t="shared" si="27"/>
        <v/>
      </c>
      <c r="BT37" s="208" t="str">
        <f t="shared" si="27"/>
        <v/>
      </c>
      <c r="BU37" s="206" t="str">
        <f t="shared" si="27"/>
        <v/>
      </c>
      <c r="BV37" s="206" t="str">
        <f t="shared" si="27"/>
        <v/>
      </c>
      <c r="BW37" s="207" t="str">
        <f t="shared" si="27"/>
        <v/>
      </c>
      <c r="BX37" s="208" t="str">
        <f t="shared" si="27"/>
        <v/>
      </c>
      <c r="BY37" s="206" t="str">
        <f t="shared" si="27"/>
        <v/>
      </c>
      <c r="BZ37" s="206" t="str">
        <f t="shared" si="27"/>
        <v/>
      </c>
      <c r="CA37" s="207" t="str">
        <f t="shared" si="27"/>
        <v/>
      </c>
      <c r="CB37" s="208" t="str">
        <f t="shared" si="27"/>
        <v/>
      </c>
      <c r="CC37" s="206" t="str">
        <f t="shared" si="27"/>
        <v/>
      </c>
      <c r="CD37" s="206" t="str">
        <f t="shared" si="27"/>
        <v/>
      </c>
      <c r="CE37" s="207" t="str">
        <f t="shared" si="27"/>
        <v/>
      </c>
    </row>
    <row r="38" spans="1:87" ht="18" customHeight="1">
      <c r="A38" s="22">
        <f>+TABELLA!Y42</f>
        <v>0</v>
      </c>
      <c r="B38" s="22">
        <f>+TABELLA!Z42</f>
        <v>0</v>
      </c>
      <c r="C38" s="22">
        <f>+TABELLA!AA42</f>
        <v>0</v>
      </c>
      <c r="D38" s="22">
        <f>+TABELLA!AB42</f>
        <v>0</v>
      </c>
      <c r="E38" s="22"/>
      <c r="F38" s="26">
        <f>IF(TABELLA!B42="","",TABELLA!B42)</f>
        <v>4</v>
      </c>
      <c r="G38" s="27" t="str">
        <f>IF(TABELLA!C42="","",TABELLA!C42)</f>
        <v>BOLZONELLO MARCO</v>
      </c>
      <c r="H38" s="203" t="str">
        <f t="shared" ref="H38:V38" si="45">IF(AND(G$3&gt;=$A38,G$3&lt;$B38),1,IF(AND(G$3&gt;=$C38,G$3&lt;$D38),1,""))</f>
        <v/>
      </c>
      <c r="I38" s="203" t="str">
        <f t="shared" si="45"/>
        <v/>
      </c>
      <c r="J38" s="203" t="str">
        <f t="shared" si="45"/>
        <v/>
      </c>
      <c r="K38" s="204" t="str">
        <f t="shared" si="45"/>
        <v/>
      </c>
      <c r="L38" s="205" t="str">
        <f t="shared" si="45"/>
        <v/>
      </c>
      <c r="M38" s="203" t="str">
        <f t="shared" si="45"/>
        <v/>
      </c>
      <c r="N38" s="203" t="str">
        <f t="shared" si="45"/>
        <v/>
      </c>
      <c r="O38" s="204" t="str">
        <f t="shared" si="45"/>
        <v/>
      </c>
      <c r="P38" s="205" t="str">
        <f t="shared" si="45"/>
        <v/>
      </c>
      <c r="Q38" s="203" t="str">
        <f t="shared" si="45"/>
        <v/>
      </c>
      <c r="R38" s="203" t="str">
        <f t="shared" si="45"/>
        <v/>
      </c>
      <c r="S38" s="204" t="str">
        <f t="shared" si="45"/>
        <v/>
      </c>
      <c r="T38" s="205" t="str">
        <f t="shared" si="45"/>
        <v/>
      </c>
      <c r="U38" s="203" t="str">
        <f t="shared" si="45"/>
        <v/>
      </c>
      <c r="V38" s="203" t="str">
        <f t="shared" si="45"/>
        <v/>
      </c>
      <c r="W38" s="204" t="str">
        <f t="shared" ref="W38:W45" si="46">IF(AND(V$3&gt;=$A38,V$3&lt;$B38),1,IF(AND(V$3&gt;=$C38,V$3&lt;$D38),1,""))</f>
        <v/>
      </c>
      <c r="X38" s="205" t="str">
        <f t="shared" si="43"/>
        <v/>
      </c>
      <c r="Y38" s="203" t="str">
        <f t="shared" si="43"/>
        <v/>
      </c>
      <c r="Z38" s="203" t="str">
        <f t="shared" si="43"/>
        <v/>
      </c>
      <c r="AA38" s="204" t="str">
        <f t="shared" si="43"/>
        <v/>
      </c>
      <c r="AB38" s="205" t="str">
        <f t="shared" si="43"/>
        <v/>
      </c>
      <c r="AC38" s="203" t="str">
        <f t="shared" si="43"/>
        <v/>
      </c>
      <c r="AD38" s="203" t="str">
        <f t="shared" si="43"/>
        <v/>
      </c>
      <c r="AE38" s="204" t="str">
        <f t="shared" si="43"/>
        <v/>
      </c>
      <c r="AF38" s="205" t="str">
        <f t="shared" si="43"/>
        <v/>
      </c>
      <c r="AG38" s="203" t="str">
        <f t="shared" si="43"/>
        <v/>
      </c>
      <c r="AH38" s="203" t="str">
        <f t="shared" si="43"/>
        <v/>
      </c>
      <c r="AI38" s="204" t="str">
        <f t="shared" si="43"/>
        <v/>
      </c>
      <c r="AJ38" s="205" t="str">
        <f t="shared" si="43"/>
        <v/>
      </c>
      <c r="AK38" s="203" t="str">
        <f t="shared" si="43"/>
        <v/>
      </c>
      <c r="AL38" s="203" t="str">
        <f t="shared" si="43"/>
        <v/>
      </c>
      <c r="AM38" s="204" t="str">
        <f t="shared" ref="AM38:BB45" si="47">IF(AND(AL$3&gt;=$A38,AL$3&lt;$B38),1,IF(AND(AL$3&gt;=$C38,AL$3&lt;$D38),1,""))</f>
        <v/>
      </c>
      <c r="AN38" s="205" t="str">
        <f t="shared" si="47"/>
        <v/>
      </c>
      <c r="AO38" s="203" t="str">
        <f t="shared" si="47"/>
        <v/>
      </c>
      <c r="AP38" s="203" t="str">
        <f t="shared" si="47"/>
        <v/>
      </c>
      <c r="AQ38" s="204" t="str">
        <f t="shared" si="47"/>
        <v/>
      </c>
      <c r="AR38" s="205" t="str">
        <f t="shared" si="47"/>
        <v/>
      </c>
      <c r="AS38" s="203" t="str">
        <f t="shared" si="47"/>
        <v/>
      </c>
      <c r="AT38" s="203" t="str">
        <f t="shared" si="47"/>
        <v/>
      </c>
      <c r="AU38" s="204" t="str">
        <f t="shared" si="47"/>
        <v/>
      </c>
      <c r="AV38" s="205" t="str">
        <f t="shared" si="47"/>
        <v/>
      </c>
      <c r="AW38" s="203" t="str">
        <f t="shared" si="47"/>
        <v/>
      </c>
      <c r="AX38" s="203" t="str">
        <f t="shared" si="47"/>
        <v/>
      </c>
      <c r="AY38" s="204" t="str">
        <f t="shared" si="47"/>
        <v/>
      </c>
      <c r="AZ38" s="205" t="str">
        <f t="shared" si="47"/>
        <v/>
      </c>
      <c r="BA38" s="203" t="str">
        <f t="shared" si="47"/>
        <v/>
      </c>
      <c r="BB38" s="203" t="str">
        <f t="shared" si="47"/>
        <v/>
      </c>
      <c r="BC38" s="204" t="str">
        <f t="shared" si="44"/>
        <v/>
      </c>
      <c r="BD38" s="205" t="str">
        <f t="shared" si="44"/>
        <v/>
      </c>
      <c r="BE38" s="203" t="str">
        <f t="shared" si="44"/>
        <v/>
      </c>
      <c r="BF38" s="203" t="str">
        <f t="shared" si="44"/>
        <v/>
      </c>
      <c r="BG38" s="204" t="str">
        <f t="shared" si="44"/>
        <v/>
      </c>
      <c r="BH38" s="205" t="str">
        <f t="shared" si="44"/>
        <v/>
      </c>
      <c r="BI38" s="203" t="str">
        <f t="shared" si="44"/>
        <v/>
      </c>
      <c r="BJ38" s="203" t="str">
        <f t="shared" si="44"/>
        <v/>
      </c>
      <c r="BK38" s="204" t="str">
        <f t="shared" si="44"/>
        <v/>
      </c>
      <c r="BL38" s="205" t="str">
        <f t="shared" si="44"/>
        <v/>
      </c>
      <c r="BM38" s="203" t="str">
        <f t="shared" si="44"/>
        <v/>
      </c>
      <c r="BN38" s="203" t="str">
        <f t="shared" si="44"/>
        <v/>
      </c>
      <c r="BO38" s="204" t="str">
        <f t="shared" si="44"/>
        <v/>
      </c>
      <c r="BP38" s="205" t="str">
        <f t="shared" si="44"/>
        <v/>
      </c>
      <c r="BQ38" s="203" t="str">
        <f t="shared" si="44"/>
        <v/>
      </c>
      <c r="BR38" s="203" t="str">
        <f t="shared" ref="BP38:CE45" si="48">IF(AND(BQ$3&gt;=$A38,BQ$3&lt;$B38),1,IF(AND(BQ$3&gt;=$C38,BQ$3&lt;$D38),1,""))</f>
        <v/>
      </c>
      <c r="BS38" s="204" t="str">
        <f t="shared" si="48"/>
        <v/>
      </c>
      <c r="BT38" s="205" t="str">
        <f t="shared" si="48"/>
        <v/>
      </c>
      <c r="BU38" s="203" t="str">
        <f t="shared" si="48"/>
        <v/>
      </c>
      <c r="BV38" s="203" t="str">
        <f t="shared" si="48"/>
        <v/>
      </c>
      <c r="BW38" s="204" t="str">
        <f t="shared" si="48"/>
        <v/>
      </c>
      <c r="BX38" s="205" t="str">
        <f t="shared" si="48"/>
        <v/>
      </c>
      <c r="BY38" s="203" t="str">
        <f t="shared" si="48"/>
        <v/>
      </c>
      <c r="BZ38" s="203" t="str">
        <f t="shared" si="48"/>
        <v/>
      </c>
      <c r="CA38" s="204" t="str">
        <f t="shared" si="48"/>
        <v/>
      </c>
      <c r="CB38" s="205" t="str">
        <f t="shared" si="48"/>
        <v/>
      </c>
      <c r="CC38" s="203" t="str">
        <f t="shared" si="48"/>
        <v/>
      </c>
      <c r="CD38" s="203" t="str">
        <f t="shared" si="48"/>
        <v/>
      </c>
      <c r="CE38" s="204" t="str">
        <f t="shared" si="48"/>
        <v/>
      </c>
    </row>
    <row r="39" spans="1:87" ht="18" customHeight="1">
      <c r="A39" s="22">
        <f>+TABELLA!Y43</f>
        <v>0</v>
      </c>
      <c r="B39" s="22">
        <f>+TABELLA!Z43</f>
        <v>0</v>
      </c>
      <c r="C39" s="22">
        <f>+TABELLA!AA43</f>
        <v>0</v>
      </c>
      <c r="D39" s="22">
        <f>+TABELLA!AB43</f>
        <v>0</v>
      </c>
      <c r="E39" s="22"/>
      <c r="F39" s="41">
        <f>IF(TABELLA!B43="","",TABELLA!B43)</f>
        <v>4</v>
      </c>
      <c r="G39" s="42" t="str">
        <f>IF(TABELLA!C43="","",TABELLA!C43)</f>
        <v>MOCELLIN MAURIZIO</v>
      </c>
      <c r="H39" s="206" t="str">
        <f t="shared" ref="H39:V39" si="49">IF(AND(G$3&gt;=$A39,G$3&lt;$B39),1,IF(AND(G$3&gt;=$C39,G$3&lt;$D39),1,""))</f>
        <v/>
      </c>
      <c r="I39" s="206" t="str">
        <f t="shared" si="49"/>
        <v/>
      </c>
      <c r="J39" s="206" t="str">
        <f t="shared" si="49"/>
        <v/>
      </c>
      <c r="K39" s="207" t="str">
        <f t="shared" si="49"/>
        <v/>
      </c>
      <c r="L39" s="208" t="str">
        <f t="shared" si="49"/>
        <v/>
      </c>
      <c r="M39" s="206" t="str">
        <f t="shared" si="49"/>
        <v/>
      </c>
      <c r="N39" s="206" t="str">
        <f t="shared" si="49"/>
        <v/>
      </c>
      <c r="O39" s="207" t="str">
        <f t="shared" si="49"/>
        <v/>
      </c>
      <c r="P39" s="208" t="str">
        <f t="shared" si="49"/>
        <v/>
      </c>
      <c r="Q39" s="206" t="str">
        <f t="shared" si="49"/>
        <v/>
      </c>
      <c r="R39" s="206" t="str">
        <f t="shared" si="49"/>
        <v/>
      </c>
      <c r="S39" s="207" t="str">
        <f t="shared" si="49"/>
        <v/>
      </c>
      <c r="T39" s="208" t="str">
        <f t="shared" si="49"/>
        <v/>
      </c>
      <c r="U39" s="206" t="str">
        <f t="shared" si="49"/>
        <v/>
      </c>
      <c r="V39" s="206" t="str">
        <f t="shared" si="49"/>
        <v/>
      </c>
      <c r="W39" s="207" t="str">
        <f t="shared" si="46"/>
        <v/>
      </c>
      <c r="X39" s="208" t="str">
        <f t="shared" si="43"/>
        <v/>
      </c>
      <c r="Y39" s="206" t="str">
        <f t="shared" si="43"/>
        <v/>
      </c>
      <c r="Z39" s="206" t="str">
        <f t="shared" si="43"/>
        <v/>
      </c>
      <c r="AA39" s="207" t="str">
        <f t="shared" si="43"/>
        <v/>
      </c>
      <c r="AB39" s="208" t="str">
        <f t="shared" si="43"/>
        <v/>
      </c>
      <c r="AC39" s="206" t="str">
        <f t="shared" si="43"/>
        <v/>
      </c>
      <c r="AD39" s="206" t="str">
        <f t="shared" si="43"/>
        <v/>
      </c>
      <c r="AE39" s="207" t="str">
        <f t="shared" si="43"/>
        <v/>
      </c>
      <c r="AF39" s="208" t="str">
        <f t="shared" si="43"/>
        <v/>
      </c>
      <c r="AG39" s="206" t="str">
        <f t="shared" si="43"/>
        <v/>
      </c>
      <c r="AH39" s="206" t="str">
        <f t="shared" si="43"/>
        <v/>
      </c>
      <c r="AI39" s="207" t="str">
        <f t="shared" si="43"/>
        <v/>
      </c>
      <c r="AJ39" s="208" t="str">
        <f t="shared" si="43"/>
        <v/>
      </c>
      <c r="AK39" s="206" t="str">
        <f t="shared" si="43"/>
        <v/>
      </c>
      <c r="AL39" s="206" t="str">
        <f t="shared" si="43"/>
        <v/>
      </c>
      <c r="AM39" s="207" t="str">
        <f t="shared" si="47"/>
        <v/>
      </c>
      <c r="AN39" s="208" t="str">
        <f t="shared" si="47"/>
        <v/>
      </c>
      <c r="AO39" s="206" t="str">
        <f t="shared" si="47"/>
        <v/>
      </c>
      <c r="AP39" s="206" t="str">
        <f t="shared" si="47"/>
        <v/>
      </c>
      <c r="AQ39" s="207" t="str">
        <f t="shared" si="47"/>
        <v/>
      </c>
      <c r="AR39" s="208" t="str">
        <f t="shared" si="47"/>
        <v/>
      </c>
      <c r="AS39" s="206" t="str">
        <f t="shared" si="47"/>
        <v/>
      </c>
      <c r="AT39" s="206" t="str">
        <f t="shared" si="47"/>
        <v/>
      </c>
      <c r="AU39" s="207" t="str">
        <f t="shared" si="47"/>
        <v/>
      </c>
      <c r="AV39" s="208" t="str">
        <f t="shared" si="47"/>
        <v/>
      </c>
      <c r="AW39" s="206" t="str">
        <f t="shared" si="47"/>
        <v/>
      </c>
      <c r="AX39" s="206" t="str">
        <f t="shared" si="47"/>
        <v/>
      </c>
      <c r="AY39" s="207" t="str">
        <f t="shared" si="47"/>
        <v/>
      </c>
      <c r="AZ39" s="208" t="str">
        <f t="shared" si="47"/>
        <v/>
      </c>
      <c r="BA39" s="206" t="str">
        <f t="shared" si="47"/>
        <v/>
      </c>
      <c r="BB39" s="206" t="str">
        <f t="shared" si="47"/>
        <v/>
      </c>
      <c r="BC39" s="207" t="str">
        <f t="shared" si="44"/>
        <v/>
      </c>
      <c r="BD39" s="208" t="str">
        <f t="shared" si="44"/>
        <v/>
      </c>
      <c r="BE39" s="206" t="str">
        <f t="shared" si="44"/>
        <v/>
      </c>
      <c r="BF39" s="206" t="str">
        <f t="shared" si="44"/>
        <v/>
      </c>
      <c r="BG39" s="207" t="str">
        <f t="shared" si="44"/>
        <v/>
      </c>
      <c r="BH39" s="208" t="str">
        <f t="shared" si="44"/>
        <v/>
      </c>
      <c r="BI39" s="206" t="str">
        <f t="shared" si="44"/>
        <v/>
      </c>
      <c r="BJ39" s="206" t="str">
        <f t="shared" si="44"/>
        <v/>
      </c>
      <c r="BK39" s="207" t="str">
        <f t="shared" si="44"/>
        <v/>
      </c>
      <c r="BL39" s="208" t="str">
        <f t="shared" si="44"/>
        <v/>
      </c>
      <c r="BM39" s="206" t="str">
        <f t="shared" si="44"/>
        <v/>
      </c>
      <c r="BN39" s="206" t="str">
        <f t="shared" si="44"/>
        <v/>
      </c>
      <c r="BO39" s="207" t="str">
        <f t="shared" si="44"/>
        <v/>
      </c>
      <c r="BP39" s="208" t="str">
        <f t="shared" si="48"/>
        <v/>
      </c>
      <c r="BQ39" s="206" t="str">
        <f t="shared" si="48"/>
        <v/>
      </c>
      <c r="BR39" s="206" t="str">
        <f t="shared" si="48"/>
        <v/>
      </c>
      <c r="BS39" s="207" t="str">
        <f t="shared" si="48"/>
        <v/>
      </c>
      <c r="BT39" s="208" t="str">
        <f t="shared" si="48"/>
        <v/>
      </c>
      <c r="BU39" s="206" t="str">
        <f t="shared" si="48"/>
        <v/>
      </c>
      <c r="BV39" s="206" t="str">
        <f t="shared" si="48"/>
        <v/>
      </c>
      <c r="BW39" s="207" t="str">
        <f t="shared" si="48"/>
        <v/>
      </c>
      <c r="BX39" s="208" t="str">
        <f t="shared" si="48"/>
        <v/>
      </c>
      <c r="BY39" s="206" t="str">
        <f t="shared" si="48"/>
        <v/>
      </c>
      <c r="BZ39" s="206" t="str">
        <f t="shared" si="48"/>
        <v/>
      </c>
      <c r="CA39" s="207" t="str">
        <f t="shared" si="48"/>
        <v/>
      </c>
      <c r="CB39" s="208" t="str">
        <f t="shared" si="48"/>
        <v/>
      </c>
      <c r="CC39" s="206" t="str">
        <f t="shared" si="48"/>
        <v/>
      </c>
      <c r="CD39" s="206" t="str">
        <f t="shared" si="48"/>
        <v/>
      </c>
      <c r="CE39" s="207" t="str">
        <f t="shared" si="48"/>
        <v/>
      </c>
    </row>
    <row r="40" spans="1:87" ht="18" customHeight="1">
      <c r="A40" s="22">
        <f>+TABELLA!Y44</f>
        <v>0</v>
      </c>
      <c r="B40" s="22">
        <f>+TABELLA!Z44</f>
        <v>0</v>
      </c>
      <c r="C40" s="22">
        <f>+TABELLA!AA44</f>
        <v>0</v>
      </c>
      <c r="D40" s="22">
        <f>+TABELLA!AB44</f>
        <v>0</v>
      </c>
      <c r="E40" s="22"/>
      <c r="F40" s="26" t="str">
        <f>IF(TABELLA!B44="","",TABELLA!B44)</f>
        <v/>
      </c>
      <c r="G40" s="27" t="str">
        <f>IF(TABELLA!C44="","",TABELLA!C44)</f>
        <v/>
      </c>
      <c r="H40" s="203" t="str">
        <f t="shared" ref="H40:V40" si="50">IF(AND(G$3&gt;=$A40,G$3&lt;$B40),1,IF(AND(G$3&gt;=$C40,G$3&lt;$D40),1,""))</f>
        <v/>
      </c>
      <c r="I40" s="203" t="str">
        <f t="shared" si="50"/>
        <v/>
      </c>
      <c r="J40" s="203" t="str">
        <f t="shared" si="50"/>
        <v/>
      </c>
      <c r="K40" s="204" t="str">
        <f t="shared" si="50"/>
        <v/>
      </c>
      <c r="L40" s="205" t="str">
        <f t="shared" si="50"/>
        <v/>
      </c>
      <c r="M40" s="203" t="str">
        <f t="shared" si="50"/>
        <v/>
      </c>
      <c r="N40" s="203" t="str">
        <f t="shared" si="50"/>
        <v/>
      </c>
      <c r="O40" s="204" t="str">
        <f t="shared" si="50"/>
        <v/>
      </c>
      <c r="P40" s="205" t="str">
        <f t="shared" si="50"/>
        <v/>
      </c>
      <c r="Q40" s="203" t="str">
        <f t="shared" si="50"/>
        <v/>
      </c>
      <c r="R40" s="203" t="str">
        <f t="shared" si="50"/>
        <v/>
      </c>
      <c r="S40" s="204" t="str">
        <f t="shared" si="50"/>
        <v/>
      </c>
      <c r="T40" s="205" t="str">
        <f t="shared" si="50"/>
        <v/>
      </c>
      <c r="U40" s="203" t="str">
        <f t="shared" si="50"/>
        <v/>
      </c>
      <c r="V40" s="203" t="str">
        <f t="shared" si="50"/>
        <v/>
      </c>
      <c r="W40" s="204" t="str">
        <f t="shared" si="46"/>
        <v/>
      </c>
      <c r="X40" s="205" t="str">
        <f t="shared" si="43"/>
        <v/>
      </c>
      <c r="Y40" s="203" t="str">
        <f t="shared" si="43"/>
        <v/>
      </c>
      <c r="Z40" s="203" t="str">
        <f t="shared" si="43"/>
        <v/>
      </c>
      <c r="AA40" s="204" t="str">
        <f t="shared" si="43"/>
        <v/>
      </c>
      <c r="AB40" s="205" t="str">
        <f t="shared" si="43"/>
        <v/>
      </c>
      <c r="AC40" s="203" t="str">
        <f t="shared" si="43"/>
        <v/>
      </c>
      <c r="AD40" s="203" t="str">
        <f t="shared" si="43"/>
        <v/>
      </c>
      <c r="AE40" s="204" t="str">
        <f t="shared" si="43"/>
        <v/>
      </c>
      <c r="AF40" s="205" t="str">
        <f t="shared" si="43"/>
        <v/>
      </c>
      <c r="AG40" s="203" t="str">
        <f t="shared" si="43"/>
        <v/>
      </c>
      <c r="AH40" s="203" t="str">
        <f t="shared" si="43"/>
        <v/>
      </c>
      <c r="AI40" s="204" t="str">
        <f t="shared" si="43"/>
        <v/>
      </c>
      <c r="AJ40" s="205" t="str">
        <f t="shared" si="43"/>
        <v/>
      </c>
      <c r="AK40" s="203" t="str">
        <f t="shared" si="43"/>
        <v/>
      </c>
      <c r="AL40" s="203" t="str">
        <f t="shared" si="43"/>
        <v/>
      </c>
      <c r="AM40" s="204" t="str">
        <f t="shared" si="47"/>
        <v/>
      </c>
      <c r="AN40" s="205" t="str">
        <f t="shared" si="47"/>
        <v/>
      </c>
      <c r="AO40" s="203" t="str">
        <f t="shared" si="47"/>
        <v/>
      </c>
      <c r="AP40" s="203" t="str">
        <f t="shared" si="47"/>
        <v/>
      </c>
      <c r="AQ40" s="204" t="str">
        <f t="shared" si="47"/>
        <v/>
      </c>
      <c r="AR40" s="205" t="str">
        <f t="shared" si="47"/>
        <v/>
      </c>
      <c r="AS40" s="203" t="str">
        <f t="shared" si="47"/>
        <v/>
      </c>
      <c r="AT40" s="203" t="str">
        <f t="shared" si="47"/>
        <v/>
      </c>
      <c r="AU40" s="204" t="str">
        <f t="shared" si="47"/>
        <v/>
      </c>
      <c r="AV40" s="205" t="str">
        <f t="shared" si="47"/>
        <v/>
      </c>
      <c r="AW40" s="203" t="str">
        <f t="shared" si="47"/>
        <v/>
      </c>
      <c r="AX40" s="203" t="str">
        <f t="shared" si="47"/>
        <v/>
      </c>
      <c r="AY40" s="204" t="str">
        <f t="shared" si="47"/>
        <v/>
      </c>
      <c r="AZ40" s="205" t="str">
        <f t="shared" si="47"/>
        <v/>
      </c>
      <c r="BA40" s="203" t="str">
        <f t="shared" si="47"/>
        <v/>
      </c>
      <c r="BB40" s="203" t="str">
        <f t="shared" si="47"/>
        <v/>
      </c>
      <c r="BC40" s="204" t="str">
        <f t="shared" si="44"/>
        <v/>
      </c>
      <c r="BD40" s="205" t="str">
        <f t="shared" si="44"/>
        <v/>
      </c>
      <c r="BE40" s="203" t="str">
        <f t="shared" si="44"/>
        <v/>
      </c>
      <c r="BF40" s="203" t="str">
        <f t="shared" si="44"/>
        <v/>
      </c>
      <c r="BG40" s="204" t="str">
        <f t="shared" si="44"/>
        <v/>
      </c>
      <c r="BH40" s="205" t="str">
        <f t="shared" si="44"/>
        <v/>
      </c>
      <c r="BI40" s="203" t="str">
        <f t="shared" si="44"/>
        <v/>
      </c>
      <c r="BJ40" s="203" t="str">
        <f t="shared" si="44"/>
        <v/>
      </c>
      <c r="BK40" s="204" t="str">
        <f t="shared" si="44"/>
        <v/>
      </c>
      <c r="BL40" s="205" t="str">
        <f t="shared" si="44"/>
        <v/>
      </c>
      <c r="BM40" s="203" t="str">
        <f t="shared" si="44"/>
        <v/>
      </c>
      <c r="BN40" s="203" t="str">
        <f t="shared" si="44"/>
        <v/>
      </c>
      <c r="BO40" s="204" t="str">
        <f t="shared" si="44"/>
        <v/>
      </c>
      <c r="BP40" s="205" t="str">
        <f t="shared" si="48"/>
        <v/>
      </c>
      <c r="BQ40" s="203" t="str">
        <f t="shared" si="48"/>
        <v/>
      </c>
      <c r="BR40" s="203" t="str">
        <f t="shared" si="48"/>
        <v/>
      </c>
      <c r="BS40" s="204" t="str">
        <f t="shared" si="48"/>
        <v/>
      </c>
      <c r="BT40" s="205" t="str">
        <f t="shared" si="48"/>
        <v/>
      </c>
      <c r="BU40" s="203" t="str">
        <f t="shared" si="48"/>
        <v/>
      </c>
      <c r="BV40" s="203" t="str">
        <f t="shared" si="48"/>
        <v/>
      </c>
      <c r="BW40" s="204" t="str">
        <f t="shared" si="48"/>
        <v/>
      </c>
      <c r="BX40" s="205" t="str">
        <f t="shared" si="48"/>
        <v/>
      </c>
      <c r="BY40" s="203" t="str">
        <f t="shared" si="48"/>
        <v/>
      </c>
      <c r="BZ40" s="203" t="str">
        <f t="shared" si="48"/>
        <v/>
      </c>
      <c r="CA40" s="204" t="str">
        <f t="shared" si="48"/>
        <v/>
      </c>
      <c r="CB40" s="205" t="str">
        <f t="shared" si="48"/>
        <v/>
      </c>
      <c r="CC40" s="203" t="str">
        <f t="shared" si="48"/>
        <v/>
      </c>
      <c r="CD40" s="203" t="str">
        <f t="shared" si="48"/>
        <v/>
      </c>
      <c r="CE40" s="204" t="str">
        <f t="shared" si="48"/>
        <v/>
      </c>
    </row>
    <row r="41" spans="1:87" ht="18" customHeight="1">
      <c r="A41" s="22">
        <f>+TABELLA!Y45</f>
        <v>0</v>
      </c>
      <c r="B41" s="22">
        <f>+TABELLA!Z45</f>
        <v>0</v>
      </c>
      <c r="C41" s="22">
        <f>+TABELLA!AA45</f>
        <v>0</v>
      </c>
      <c r="D41" s="22">
        <f>+TABELLA!AB45</f>
        <v>0</v>
      </c>
      <c r="E41" s="22"/>
      <c r="F41" s="41">
        <f>IF(TABELLA!B45="","",TABELLA!B45)</f>
        <v>9</v>
      </c>
      <c r="G41" s="42" t="str">
        <f>IF(TABELLA!C45="","",TABELLA!C45)</f>
        <v>CANELLA PAOLO</v>
      </c>
      <c r="H41" s="206" t="str">
        <f t="shared" ref="H41:V41" si="51">IF(AND(G$3&gt;=$A41,G$3&lt;$B41),1,IF(AND(G$3&gt;=$C41,G$3&lt;$D41),1,""))</f>
        <v/>
      </c>
      <c r="I41" s="206" t="str">
        <f t="shared" si="51"/>
        <v/>
      </c>
      <c r="J41" s="206" t="str">
        <f t="shared" si="51"/>
        <v/>
      </c>
      <c r="K41" s="207" t="str">
        <f t="shared" si="51"/>
        <v/>
      </c>
      <c r="L41" s="208" t="str">
        <f t="shared" si="51"/>
        <v/>
      </c>
      <c r="M41" s="206" t="str">
        <f t="shared" si="51"/>
        <v/>
      </c>
      <c r="N41" s="206" t="str">
        <f t="shared" si="51"/>
        <v/>
      </c>
      <c r="O41" s="207" t="str">
        <f t="shared" si="51"/>
        <v/>
      </c>
      <c r="P41" s="208" t="str">
        <f t="shared" si="51"/>
        <v/>
      </c>
      <c r="Q41" s="206" t="str">
        <f t="shared" si="51"/>
        <v/>
      </c>
      <c r="R41" s="206" t="str">
        <f t="shared" si="51"/>
        <v/>
      </c>
      <c r="S41" s="207" t="str">
        <f t="shared" si="51"/>
        <v/>
      </c>
      <c r="T41" s="208" t="str">
        <f t="shared" si="51"/>
        <v/>
      </c>
      <c r="U41" s="206" t="str">
        <f t="shared" si="51"/>
        <v/>
      </c>
      <c r="V41" s="206" t="str">
        <f t="shared" si="51"/>
        <v/>
      </c>
      <c r="W41" s="207" t="str">
        <f t="shared" si="46"/>
        <v/>
      </c>
      <c r="X41" s="208" t="str">
        <f t="shared" si="43"/>
        <v/>
      </c>
      <c r="Y41" s="206" t="str">
        <f t="shared" si="43"/>
        <v/>
      </c>
      <c r="Z41" s="206" t="str">
        <f t="shared" si="43"/>
        <v/>
      </c>
      <c r="AA41" s="207" t="str">
        <f t="shared" si="43"/>
        <v/>
      </c>
      <c r="AB41" s="208" t="str">
        <f t="shared" si="43"/>
        <v/>
      </c>
      <c r="AC41" s="206" t="str">
        <f t="shared" si="43"/>
        <v/>
      </c>
      <c r="AD41" s="206" t="str">
        <f t="shared" si="43"/>
        <v/>
      </c>
      <c r="AE41" s="207" t="str">
        <f t="shared" si="43"/>
        <v/>
      </c>
      <c r="AF41" s="208" t="str">
        <f t="shared" si="43"/>
        <v/>
      </c>
      <c r="AG41" s="206" t="str">
        <f t="shared" si="43"/>
        <v/>
      </c>
      <c r="AH41" s="206" t="str">
        <f t="shared" si="43"/>
        <v/>
      </c>
      <c r="AI41" s="207" t="str">
        <f t="shared" si="43"/>
        <v/>
      </c>
      <c r="AJ41" s="208" t="str">
        <f t="shared" si="43"/>
        <v/>
      </c>
      <c r="AK41" s="206" t="str">
        <f t="shared" si="43"/>
        <v/>
      </c>
      <c r="AL41" s="206" t="str">
        <f t="shared" si="43"/>
        <v/>
      </c>
      <c r="AM41" s="207" t="str">
        <f t="shared" si="47"/>
        <v/>
      </c>
      <c r="AN41" s="208" t="str">
        <f t="shared" si="47"/>
        <v/>
      </c>
      <c r="AO41" s="206" t="str">
        <f t="shared" si="47"/>
        <v/>
      </c>
      <c r="AP41" s="206" t="str">
        <f t="shared" si="47"/>
        <v/>
      </c>
      <c r="AQ41" s="207" t="str">
        <f t="shared" si="47"/>
        <v/>
      </c>
      <c r="AR41" s="208" t="str">
        <f t="shared" si="47"/>
        <v/>
      </c>
      <c r="AS41" s="206" t="str">
        <f t="shared" si="47"/>
        <v/>
      </c>
      <c r="AT41" s="206" t="str">
        <f t="shared" si="47"/>
        <v/>
      </c>
      <c r="AU41" s="207" t="str">
        <f t="shared" si="47"/>
        <v/>
      </c>
      <c r="AV41" s="208" t="str">
        <f t="shared" si="47"/>
        <v/>
      </c>
      <c r="AW41" s="206" t="str">
        <f t="shared" si="47"/>
        <v/>
      </c>
      <c r="AX41" s="206" t="str">
        <f t="shared" si="47"/>
        <v/>
      </c>
      <c r="AY41" s="207" t="str">
        <f t="shared" si="47"/>
        <v/>
      </c>
      <c r="AZ41" s="208" t="str">
        <f t="shared" si="47"/>
        <v/>
      </c>
      <c r="BA41" s="206" t="str">
        <f t="shared" si="47"/>
        <v/>
      </c>
      <c r="BB41" s="206" t="str">
        <f t="shared" si="47"/>
        <v/>
      </c>
      <c r="BC41" s="207" t="str">
        <f t="shared" si="44"/>
        <v/>
      </c>
      <c r="BD41" s="208" t="str">
        <f t="shared" si="44"/>
        <v/>
      </c>
      <c r="BE41" s="206" t="str">
        <f t="shared" si="44"/>
        <v/>
      </c>
      <c r="BF41" s="206" t="str">
        <f t="shared" si="44"/>
        <v/>
      </c>
      <c r="BG41" s="207" t="str">
        <f t="shared" si="44"/>
        <v/>
      </c>
      <c r="BH41" s="208" t="str">
        <f t="shared" si="44"/>
        <v/>
      </c>
      <c r="BI41" s="206" t="str">
        <f t="shared" si="44"/>
        <v/>
      </c>
      <c r="BJ41" s="206" t="str">
        <f t="shared" si="44"/>
        <v/>
      </c>
      <c r="BK41" s="207" t="str">
        <f t="shared" si="44"/>
        <v/>
      </c>
      <c r="BL41" s="208" t="str">
        <f t="shared" si="44"/>
        <v/>
      </c>
      <c r="BM41" s="206" t="str">
        <f t="shared" si="44"/>
        <v/>
      </c>
      <c r="BN41" s="206" t="str">
        <f t="shared" si="44"/>
        <v/>
      </c>
      <c r="BO41" s="207" t="str">
        <f t="shared" si="44"/>
        <v/>
      </c>
      <c r="BP41" s="208" t="str">
        <f t="shared" si="48"/>
        <v/>
      </c>
      <c r="BQ41" s="206" t="str">
        <f t="shared" si="48"/>
        <v/>
      </c>
      <c r="BR41" s="206" t="str">
        <f t="shared" si="48"/>
        <v/>
      </c>
      <c r="BS41" s="207" t="str">
        <f t="shared" si="48"/>
        <v/>
      </c>
      <c r="BT41" s="208" t="str">
        <f t="shared" si="48"/>
        <v/>
      </c>
      <c r="BU41" s="206" t="str">
        <f t="shared" si="48"/>
        <v/>
      </c>
      <c r="BV41" s="206" t="str">
        <f t="shared" si="48"/>
        <v/>
      </c>
      <c r="BW41" s="207" t="str">
        <f t="shared" si="48"/>
        <v/>
      </c>
      <c r="BX41" s="208" t="str">
        <f t="shared" si="48"/>
        <v/>
      </c>
      <c r="BY41" s="206" t="str">
        <f t="shared" si="48"/>
        <v/>
      </c>
      <c r="BZ41" s="206" t="str">
        <f t="shared" si="48"/>
        <v/>
      </c>
      <c r="CA41" s="207" t="str">
        <f t="shared" si="48"/>
        <v/>
      </c>
      <c r="CB41" s="208" t="str">
        <f t="shared" si="48"/>
        <v/>
      </c>
      <c r="CC41" s="206" t="str">
        <f t="shared" si="48"/>
        <v/>
      </c>
      <c r="CD41" s="206" t="str">
        <f t="shared" si="48"/>
        <v/>
      </c>
      <c r="CE41" s="207" t="str">
        <f t="shared" si="48"/>
        <v/>
      </c>
    </row>
    <row r="42" spans="1:87" ht="18" customHeight="1">
      <c r="A42" s="22">
        <f>+TABELLA!Y46</f>
        <v>0</v>
      </c>
      <c r="B42" s="22">
        <f>+TABELLA!Z46</f>
        <v>0</v>
      </c>
      <c r="C42" s="22">
        <f>+TABELLA!AA46</f>
        <v>0</v>
      </c>
      <c r="D42" s="22">
        <f>+TABELLA!AB46</f>
        <v>0</v>
      </c>
      <c r="E42" s="22"/>
      <c r="F42" s="26" t="str">
        <f>IF(TABELLA!B46="","",TABELLA!B46)</f>
        <v/>
      </c>
      <c r="G42" s="27" t="str">
        <f>IF(TABELLA!C46="","",TABELLA!C46)</f>
        <v/>
      </c>
      <c r="H42" s="203" t="str">
        <f t="shared" ref="H42:V42" si="52">IF(AND(G$3&gt;=$A42,G$3&lt;$B42),1,IF(AND(G$3&gt;=$C42,G$3&lt;$D42),1,""))</f>
        <v/>
      </c>
      <c r="I42" s="203" t="str">
        <f t="shared" si="52"/>
        <v/>
      </c>
      <c r="J42" s="203" t="str">
        <f t="shared" si="52"/>
        <v/>
      </c>
      <c r="K42" s="204" t="str">
        <f t="shared" si="52"/>
        <v/>
      </c>
      <c r="L42" s="205" t="str">
        <f t="shared" si="52"/>
        <v/>
      </c>
      <c r="M42" s="203" t="str">
        <f t="shared" si="52"/>
        <v/>
      </c>
      <c r="N42" s="203" t="str">
        <f t="shared" si="52"/>
        <v/>
      </c>
      <c r="O42" s="204" t="str">
        <f t="shared" si="52"/>
        <v/>
      </c>
      <c r="P42" s="205" t="str">
        <f t="shared" si="52"/>
        <v/>
      </c>
      <c r="Q42" s="203" t="str">
        <f t="shared" si="52"/>
        <v/>
      </c>
      <c r="R42" s="203" t="str">
        <f t="shared" si="52"/>
        <v/>
      </c>
      <c r="S42" s="204" t="str">
        <f t="shared" si="52"/>
        <v/>
      </c>
      <c r="T42" s="205" t="str">
        <f t="shared" si="52"/>
        <v/>
      </c>
      <c r="U42" s="203" t="str">
        <f t="shared" si="52"/>
        <v/>
      </c>
      <c r="V42" s="203" t="str">
        <f t="shared" si="52"/>
        <v/>
      </c>
      <c r="W42" s="204" t="str">
        <f t="shared" si="46"/>
        <v/>
      </c>
      <c r="X42" s="205" t="str">
        <f t="shared" si="43"/>
        <v/>
      </c>
      <c r="Y42" s="203" t="str">
        <f t="shared" si="43"/>
        <v/>
      </c>
      <c r="Z42" s="203" t="str">
        <f t="shared" si="43"/>
        <v/>
      </c>
      <c r="AA42" s="204" t="str">
        <f t="shared" si="43"/>
        <v/>
      </c>
      <c r="AB42" s="205" t="str">
        <f t="shared" si="43"/>
        <v/>
      </c>
      <c r="AC42" s="203" t="str">
        <f t="shared" si="43"/>
        <v/>
      </c>
      <c r="AD42" s="203" t="str">
        <f t="shared" si="43"/>
        <v/>
      </c>
      <c r="AE42" s="204" t="str">
        <f t="shared" si="43"/>
        <v/>
      </c>
      <c r="AF42" s="205" t="str">
        <f t="shared" si="43"/>
        <v/>
      </c>
      <c r="AG42" s="203" t="str">
        <f t="shared" si="43"/>
        <v/>
      </c>
      <c r="AH42" s="203" t="str">
        <f t="shared" si="43"/>
        <v/>
      </c>
      <c r="AI42" s="204" t="str">
        <f t="shared" si="43"/>
        <v/>
      </c>
      <c r="AJ42" s="205" t="str">
        <f t="shared" si="43"/>
        <v/>
      </c>
      <c r="AK42" s="203" t="str">
        <f t="shared" si="43"/>
        <v/>
      </c>
      <c r="AL42" s="203" t="str">
        <f t="shared" si="43"/>
        <v/>
      </c>
      <c r="AM42" s="204" t="str">
        <f t="shared" si="47"/>
        <v/>
      </c>
      <c r="AN42" s="205" t="str">
        <f t="shared" si="47"/>
        <v/>
      </c>
      <c r="AO42" s="203" t="str">
        <f t="shared" si="47"/>
        <v/>
      </c>
      <c r="AP42" s="203" t="str">
        <f t="shared" si="47"/>
        <v/>
      </c>
      <c r="AQ42" s="204" t="str">
        <f t="shared" si="47"/>
        <v/>
      </c>
      <c r="AR42" s="205" t="str">
        <f t="shared" si="47"/>
        <v/>
      </c>
      <c r="AS42" s="203" t="str">
        <f t="shared" si="47"/>
        <v/>
      </c>
      <c r="AT42" s="203" t="str">
        <f t="shared" si="47"/>
        <v/>
      </c>
      <c r="AU42" s="204" t="str">
        <f t="shared" si="47"/>
        <v/>
      </c>
      <c r="AV42" s="205" t="str">
        <f t="shared" si="47"/>
        <v/>
      </c>
      <c r="AW42" s="203" t="str">
        <f t="shared" si="47"/>
        <v/>
      </c>
      <c r="AX42" s="203" t="str">
        <f t="shared" si="47"/>
        <v/>
      </c>
      <c r="AY42" s="204" t="str">
        <f t="shared" si="47"/>
        <v/>
      </c>
      <c r="AZ42" s="205" t="str">
        <f t="shared" si="47"/>
        <v/>
      </c>
      <c r="BA42" s="203" t="str">
        <f t="shared" si="47"/>
        <v/>
      </c>
      <c r="BB42" s="203" t="str">
        <f t="shared" si="47"/>
        <v/>
      </c>
      <c r="BC42" s="204" t="str">
        <f t="shared" si="44"/>
        <v/>
      </c>
      <c r="BD42" s="205" t="str">
        <f t="shared" si="44"/>
        <v/>
      </c>
      <c r="BE42" s="203" t="str">
        <f t="shared" si="44"/>
        <v/>
      </c>
      <c r="BF42" s="203" t="str">
        <f t="shared" si="44"/>
        <v/>
      </c>
      <c r="BG42" s="204" t="str">
        <f t="shared" si="44"/>
        <v/>
      </c>
      <c r="BH42" s="205" t="str">
        <f t="shared" si="44"/>
        <v/>
      </c>
      <c r="BI42" s="203" t="str">
        <f t="shared" si="44"/>
        <v/>
      </c>
      <c r="BJ42" s="203" t="str">
        <f t="shared" si="44"/>
        <v/>
      </c>
      <c r="BK42" s="204" t="str">
        <f t="shared" si="44"/>
        <v/>
      </c>
      <c r="BL42" s="205" t="str">
        <f t="shared" si="44"/>
        <v/>
      </c>
      <c r="BM42" s="203" t="str">
        <f t="shared" si="44"/>
        <v/>
      </c>
      <c r="BN42" s="203" t="str">
        <f t="shared" si="44"/>
        <v/>
      </c>
      <c r="BO42" s="204" t="str">
        <f t="shared" si="44"/>
        <v/>
      </c>
      <c r="BP42" s="205" t="str">
        <f t="shared" si="48"/>
        <v/>
      </c>
      <c r="BQ42" s="203" t="str">
        <f t="shared" si="48"/>
        <v/>
      </c>
      <c r="BR42" s="203" t="str">
        <f t="shared" si="48"/>
        <v/>
      </c>
      <c r="BS42" s="204" t="str">
        <f t="shared" si="48"/>
        <v/>
      </c>
      <c r="BT42" s="205" t="str">
        <f t="shared" si="48"/>
        <v/>
      </c>
      <c r="BU42" s="203" t="str">
        <f t="shared" si="48"/>
        <v/>
      </c>
      <c r="BV42" s="203" t="str">
        <f t="shared" si="48"/>
        <v/>
      </c>
      <c r="BW42" s="204" t="str">
        <f t="shared" si="48"/>
        <v/>
      </c>
      <c r="BX42" s="205" t="str">
        <f t="shared" si="48"/>
        <v/>
      </c>
      <c r="BY42" s="203" t="str">
        <f t="shared" si="48"/>
        <v/>
      </c>
      <c r="BZ42" s="203" t="str">
        <f t="shared" si="48"/>
        <v/>
      </c>
      <c r="CA42" s="204" t="str">
        <f t="shared" si="48"/>
        <v/>
      </c>
      <c r="CB42" s="205" t="str">
        <f t="shared" si="48"/>
        <v/>
      </c>
      <c r="CC42" s="203" t="str">
        <f t="shared" si="48"/>
        <v/>
      </c>
      <c r="CD42" s="203" t="str">
        <f t="shared" si="48"/>
        <v/>
      </c>
      <c r="CE42" s="204" t="str">
        <f t="shared" si="48"/>
        <v/>
      </c>
    </row>
    <row r="43" spans="1:87" ht="18" customHeight="1">
      <c r="A43" s="22">
        <f>+TABELLA!Y47</f>
        <v>0</v>
      </c>
      <c r="B43" s="22">
        <f>+TABELLA!Z47</f>
        <v>0</v>
      </c>
      <c r="C43" s="22">
        <f>+TABELLA!AA47</f>
        <v>0</v>
      </c>
      <c r="D43" s="22">
        <f>+TABELLA!AB47</f>
        <v>0</v>
      </c>
      <c r="E43" s="22"/>
      <c r="F43" s="41" t="str">
        <f>IF(TABELLA!B47="","",TABELLA!B47)</f>
        <v/>
      </c>
      <c r="G43" s="42" t="str">
        <f>IF(TABELLA!C47="","",TABELLA!C47)</f>
        <v/>
      </c>
      <c r="H43" s="206" t="str">
        <f t="shared" ref="H43:V43" si="53">IF(AND(G$3&gt;=$A43,G$3&lt;$B43),1,IF(AND(G$3&gt;=$C43,G$3&lt;$D43),1,""))</f>
        <v/>
      </c>
      <c r="I43" s="206" t="str">
        <f t="shared" si="53"/>
        <v/>
      </c>
      <c r="J43" s="206" t="str">
        <f t="shared" si="53"/>
        <v/>
      </c>
      <c r="K43" s="207" t="str">
        <f t="shared" si="53"/>
        <v/>
      </c>
      <c r="L43" s="208" t="str">
        <f t="shared" si="53"/>
        <v/>
      </c>
      <c r="M43" s="206" t="str">
        <f t="shared" si="53"/>
        <v/>
      </c>
      <c r="N43" s="206" t="str">
        <f t="shared" si="53"/>
        <v/>
      </c>
      <c r="O43" s="207" t="str">
        <f t="shared" si="53"/>
        <v/>
      </c>
      <c r="P43" s="208" t="str">
        <f t="shared" si="53"/>
        <v/>
      </c>
      <c r="Q43" s="206" t="str">
        <f t="shared" si="53"/>
        <v/>
      </c>
      <c r="R43" s="206" t="str">
        <f t="shared" si="53"/>
        <v/>
      </c>
      <c r="S43" s="207" t="str">
        <f t="shared" si="53"/>
        <v/>
      </c>
      <c r="T43" s="208" t="str">
        <f t="shared" si="53"/>
        <v/>
      </c>
      <c r="U43" s="206" t="str">
        <f t="shared" si="53"/>
        <v/>
      </c>
      <c r="V43" s="206" t="str">
        <f t="shared" si="53"/>
        <v/>
      </c>
      <c r="W43" s="207" t="str">
        <f t="shared" si="46"/>
        <v/>
      </c>
      <c r="X43" s="208" t="str">
        <f t="shared" si="43"/>
        <v/>
      </c>
      <c r="Y43" s="206" t="str">
        <f t="shared" si="43"/>
        <v/>
      </c>
      <c r="Z43" s="206" t="str">
        <f t="shared" si="43"/>
        <v/>
      </c>
      <c r="AA43" s="207" t="str">
        <f t="shared" si="43"/>
        <v/>
      </c>
      <c r="AB43" s="208" t="str">
        <f t="shared" si="43"/>
        <v/>
      </c>
      <c r="AC43" s="206" t="str">
        <f t="shared" si="43"/>
        <v/>
      </c>
      <c r="AD43" s="206" t="str">
        <f t="shared" si="43"/>
        <v/>
      </c>
      <c r="AE43" s="207" t="str">
        <f t="shared" si="43"/>
        <v/>
      </c>
      <c r="AF43" s="208" t="str">
        <f t="shared" si="43"/>
        <v/>
      </c>
      <c r="AG43" s="206" t="str">
        <f t="shared" si="43"/>
        <v/>
      </c>
      <c r="AH43" s="206" t="str">
        <f t="shared" si="43"/>
        <v/>
      </c>
      <c r="AI43" s="207" t="str">
        <f t="shared" si="43"/>
        <v/>
      </c>
      <c r="AJ43" s="208" t="str">
        <f t="shared" si="43"/>
        <v/>
      </c>
      <c r="AK43" s="206" t="str">
        <f t="shared" si="43"/>
        <v/>
      </c>
      <c r="AL43" s="206" t="str">
        <f t="shared" si="43"/>
        <v/>
      </c>
      <c r="AM43" s="207" t="str">
        <f t="shared" si="47"/>
        <v/>
      </c>
      <c r="AN43" s="208" t="str">
        <f t="shared" si="47"/>
        <v/>
      </c>
      <c r="AO43" s="206" t="str">
        <f t="shared" si="47"/>
        <v/>
      </c>
      <c r="AP43" s="206" t="str">
        <f t="shared" si="47"/>
        <v/>
      </c>
      <c r="AQ43" s="207" t="str">
        <f t="shared" si="47"/>
        <v/>
      </c>
      <c r="AR43" s="208" t="str">
        <f t="shared" si="47"/>
        <v/>
      </c>
      <c r="AS43" s="206" t="str">
        <f t="shared" si="47"/>
        <v/>
      </c>
      <c r="AT43" s="206" t="str">
        <f t="shared" si="47"/>
        <v/>
      </c>
      <c r="AU43" s="207" t="str">
        <f t="shared" si="47"/>
        <v/>
      </c>
      <c r="AV43" s="208" t="str">
        <f t="shared" si="47"/>
        <v/>
      </c>
      <c r="AW43" s="206" t="str">
        <f t="shared" si="47"/>
        <v/>
      </c>
      <c r="AX43" s="206" t="str">
        <f t="shared" si="47"/>
        <v/>
      </c>
      <c r="AY43" s="207" t="str">
        <f t="shared" si="47"/>
        <v/>
      </c>
      <c r="AZ43" s="208" t="str">
        <f t="shared" si="47"/>
        <v/>
      </c>
      <c r="BA43" s="206" t="str">
        <f t="shared" si="47"/>
        <v/>
      </c>
      <c r="BB43" s="206" t="str">
        <f t="shared" si="47"/>
        <v/>
      </c>
      <c r="BC43" s="207" t="str">
        <f t="shared" si="44"/>
        <v/>
      </c>
      <c r="BD43" s="208" t="str">
        <f t="shared" si="44"/>
        <v/>
      </c>
      <c r="BE43" s="206" t="str">
        <f t="shared" si="44"/>
        <v/>
      </c>
      <c r="BF43" s="206" t="str">
        <f t="shared" si="44"/>
        <v/>
      </c>
      <c r="BG43" s="207" t="str">
        <f t="shared" si="44"/>
        <v/>
      </c>
      <c r="BH43" s="208" t="str">
        <f t="shared" si="44"/>
        <v/>
      </c>
      <c r="BI43" s="206" t="str">
        <f t="shared" si="44"/>
        <v/>
      </c>
      <c r="BJ43" s="206" t="str">
        <f t="shared" si="44"/>
        <v/>
      </c>
      <c r="BK43" s="207" t="str">
        <f t="shared" si="44"/>
        <v/>
      </c>
      <c r="BL43" s="208" t="str">
        <f t="shared" si="44"/>
        <v/>
      </c>
      <c r="BM43" s="206" t="str">
        <f t="shared" si="44"/>
        <v/>
      </c>
      <c r="BN43" s="206" t="str">
        <f t="shared" si="44"/>
        <v/>
      </c>
      <c r="BO43" s="207" t="str">
        <f t="shared" si="44"/>
        <v/>
      </c>
      <c r="BP43" s="208" t="str">
        <f t="shared" si="48"/>
        <v/>
      </c>
      <c r="BQ43" s="206" t="str">
        <f t="shared" si="48"/>
        <v/>
      </c>
      <c r="BR43" s="206" t="str">
        <f t="shared" si="48"/>
        <v/>
      </c>
      <c r="BS43" s="207" t="str">
        <f t="shared" si="48"/>
        <v/>
      </c>
      <c r="BT43" s="208" t="str">
        <f t="shared" si="48"/>
        <v/>
      </c>
      <c r="BU43" s="206" t="str">
        <f t="shared" si="48"/>
        <v/>
      </c>
      <c r="BV43" s="206" t="str">
        <f t="shared" si="48"/>
        <v/>
      </c>
      <c r="BW43" s="207" t="str">
        <f t="shared" si="48"/>
        <v/>
      </c>
      <c r="BX43" s="208" t="str">
        <f t="shared" si="48"/>
        <v/>
      </c>
      <c r="BY43" s="206" t="str">
        <f t="shared" si="48"/>
        <v/>
      </c>
      <c r="BZ43" s="206" t="str">
        <f t="shared" si="48"/>
        <v/>
      </c>
      <c r="CA43" s="207" t="str">
        <f t="shared" si="48"/>
        <v/>
      </c>
      <c r="CB43" s="208" t="str">
        <f t="shared" si="48"/>
        <v/>
      </c>
      <c r="CC43" s="206" t="str">
        <f t="shared" si="48"/>
        <v/>
      </c>
      <c r="CD43" s="206" t="str">
        <f t="shared" si="48"/>
        <v/>
      </c>
      <c r="CE43" s="207" t="str">
        <f t="shared" si="48"/>
        <v/>
      </c>
    </row>
    <row r="44" spans="1:87" ht="18" customHeight="1">
      <c r="A44" s="22">
        <f>+TABELLA!Y48</f>
        <v>0</v>
      </c>
      <c r="B44" s="22">
        <f>+TABELLA!Z48</f>
        <v>0</v>
      </c>
      <c r="C44" s="22">
        <f>+TABELLA!AA48</f>
        <v>0</v>
      </c>
      <c r="D44" s="22">
        <f>+TABELLA!AB48</f>
        <v>0</v>
      </c>
      <c r="E44" s="22"/>
      <c r="F44" s="26" t="str">
        <f>IF(TABELLA!B48="","",TABELLA!B48)</f>
        <v/>
      </c>
      <c r="G44" s="27" t="str">
        <f>IF(TABELLA!C48="","",TABELLA!C48)</f>
        <v/>
      </c>
      <c r="H44" s="203" t="str">
        <f t="shared" ref="H44:V44" si="54">IF(AND(G$3&gt;=$A44,G$3&lt;$B44),1,IF(AND(G$3&gt;=$C44,G$3&lt;$D44),1,""))</f>
        <v/>
      </c>
      <c r="I44" s="203" t="str">
        <f t="shared" si="54"/>
        <v/>
      </c>
      <c r="J44" s="203" t="str">
        <f t="shared" si="54"/>
        <v/>
      </c>
      <c r="K44" s="204" t="str">
        <f t="shared" si="54"/>
        <v/>
      </c>
      <c r="L44" s="205" t="str">
        <f t="shared" si="54"/>
        <v/>
      </c>
      <c r="M44" s="203" t="str">
        <f t="shared" si="54"/>
        <v/>
      </c>
      <c r="N44" s="203" t="str">
        <f t="shared" si="54"/>
        <v/>
      </c>
      <c r="O44" s="204" t="str">
        <f t="shared" si="54"/>
        <v/>
      </c>
      <c r="P44" s="205" t="str">
        <f t="shared" si="54"/>
        <v/>
      </c>
      <c r="Q44" s="203" t="str">
        <f t="shared" si="54"/>
        <v/>
      </c>
      <c r="R44" s="203" t="str">
        <f t="shared" si="54"/>
        <v/>
      </c>
      <c r="S44" s="204" t="str">
        <f t="shared" si="54"/>
        <v/>
      </c>
      <c r="T44" s="205" t="str">
        <f t="shared" si="54"/>
        <v/>
      </c>
      <c r="U44" s="203" t="str">
        <f t="shared" si="54"/>
        <v/>
      </c>
      <c r="V44" s="203" t="str">
        <f t="shared" si="54"/>
        <v/>
      </c>
      <c r="W44" s="204" t="str">
        <f t="shared" si="46"/>
        <v/>
      </c>
      <c r="X44" s="205" t="str">
        <f t="shared" si="43"/>
        <v/>
      </c>
      <c r="Y44" s="203" t="str">
        <f t="shared" si="43"/>
        <v/>
      </c>
      <c r="Z44" s="203" t="str">
        <f t="shared" si="43"/>
        <v/>
      </c>
      <c r="AA44" s="204" t="str">
        <f t="shared" si="43"/>
        <v/>
      </c>
      <c r="AB44" s="205" t="str">
        <f t="shared" si="43"/>
        <v/>
      </c>
      <c r="AC44" s="203" t="str">
        <f t="shared" si="43"/>
        <v/>
      </c>
      <c r="AD44" s="203" t="str">
        <f t="shared" si="43"/>
        <v/>
      </c>
      <c r="AE44" s="204" t="str">
        <f t="shared" si="43"/>
        <v/>
      </c>
      <c r="AF44" s="205" t="str">
        <f t="shared" si="43"/>
        <v/>
      </c>
      <c r="AG44" s="203" t="str">
        <f t="shared" si="43"/>
        <v/>
      </c>
      <c r="AH44" s="203" t="str">
        <f t="shared" si="43"/>
        <v/>
      </c>
      <c r="AI44" s="204" t="str">
        <f t="shared" si="43"/>
        <v/>
      </c>
      <c r="AJ44" s="205" t="str">
        <f t="shared" si="43"/>
        <v/>
      </c>
      <c r="AK44" s="203" t="str">
        <f t="shared" si="43"/>
        <v/>
      </c>
      <c r="AL44" s="203" t="str">
        <f t="shared" si="43"/>
        <v/>
      </c>
      <c r="AM44" s="204" t="str">
        <f t="shared" si="47"/>
        <v/>
      </c>
      <c r="AN44" s="205" t="str">
        <f t="shared" si="47"/>
        <v/>
      </c>
      <c r="AO44" s="203" t="str">
        <f t="shared" si="47"/>
        <v/>
      </c>
      <c r="AP44" s="203" t="str">
        <f t="shared" si="47"/>
        <v/>
      </c>
      <c r="AQ44" s="204" t="str">
        <f t="shared" si="47"/>
        <v/>
      </c>
      <c r="AR44" s="205" t="str">
        <f t="shared" si="47"/>
        <v/>
      </c>
      <c r="AS44" s="203" t="str">
        <f t="shared" si="47"/>
        <v/>
      </c>
      <c r="AT44" s="203" t="str">
        <f t="shared" si="47"/>
        <v/>
      </c>
      <c r="AU44" s="204" t="str">
        <f t="shared" si="47"/>
        <v/>
      </c>
      <c r="AV44" s="205" t="str">
        <f t="shared" si="47"/>
        <v/>
      </c>
      <c r="AW44" s="203" t="str">
        <f t="shared" si="47"/>
        <v/>
      </c>
      <c r="AX44" s="203" t="str">
        <f t="shared" si="47"/>
        <v/>
      </c>
      <c r="AY44" s="204" t="str">
        <f t="shared" si="47"/>
        <v/>
      </c>
      <c r="AZ44" s="205" t="str">
        <f t="shared" si="47"/>
        <v/>
      </c>
      <c r="BA44" s="203" t="str">
        <f t="shared" si="47"/>
        <v/>
      </c>
      <c r="BB44" s="203" t="str">
        <f t="shared" si="47"/>
        <v/>
      </c>
      <c r="BC44" s="204" t="str">
        <f t="shared" si="44"/>
        <v/>
      </c>
      <c r="BD44" s="205" t="str">
        <f t="shared" si="44"/>
        <v/>
      </c>
      <c r="BE44" s="203" t="str">
        <f t="shared" si="44"/>
        <v/>
      </c>
      <c r="BF44" s="203" t="str">
        <f t="shared" si="44"/>
        <v/>
      </c>
      <c r="BG44" s="204" t="str">
        <f t="shared" si="44"/>
        <v/>
      </c>
      <c r="BH44" s="205" t="str">
        <f t="shared" si="44"/>
        <v/>
      </c>
      <c r="BI44" s="203" t="str">
        <f t="shared" si="44"/>
        <v/>
      </c>
      <c r="BJ44" s="203" t="str">
        <f t="shared" si="44"/>
        <v/>
      </c>
      <c r="BK44" s="204" t="str">
        <f t="shared" si="44"/>
        <v/>
      </c>
      <c r="BL44" s="205" t="str">
        <f t="shared" si="44"/>
        <v/>
      </c>
      <c r="BM44" s="203" t="str">
        <f t="shared" si="44"/>
        <v/>
      </c>
      <c r="BN44" s="203" t="str">
        <f t="shared" si="44"/>
        <v/>
      </c>
      <c r="BO44" s="204" t="str">
        <f t="shared" si="44"/>
        <v/>
      </c>
      <c r="BP44" s="205" t="str">
        <f t="shared" si="48"/>
        <v/>
      </c>
      <c r="BQ44" s="203" t="str">
        <f t="shared" si="48"/>
        <v/>
      </c>
      <c r="BR44" s="203" t="str">
        <f t="shared" si="48"/>
        <v/>
      </c>
      <c r="BS44" s="204" t="str">
        <f t="shared" si="48"/>
        <v/>
      </c>
      <c r="BT44" s="205" t="str">
        <f t="shared" si="48"/>
        <v/>
      </c>
      <c r="BU44" s="203" t="str">
        <f t="shared" si="48"/>
        <v/>
      </c>
      <c r="BV44" s="203" t="str">
        <f t="shared" si="48"/>
        <v/>
      </c>
      <c r="BW44" s="204" t="str">
        <f t="shared" si="48"/>
        <v/>
      </c>
      <c r="BX44" s="205" t="str">
        <f t="shared" si="48"/>
        <v/>
      </c>
      <c r="BY44" s="203" t="str">
        <f t="shared" si="48"/>
        <v/>
      </c>
      <c r="BZ44" s="203" t="str">
        <f t="shared" si="48"/>
        <v/>
      </c>
      <c r="CA44" s="204" t="str">
        <f t="shared" si="48"/>
        <v/>
      </c>
      <c r="CB44" s="205" t="str">
        <f t="shared" si="48"/>
        <v/>
      </c>
      <c r="CC44" s="203" t="str">
        <f t="shared" si="48"/>
        <v/>
      </c>
      <c r="CD44" s="203" t="str">
        <f t="shared" si="48"/>
        <v/>
      </c>
      <c r="CE44" s="204" t="str">
        <f t="shared" si="48"/>
        <v/>
      </c>
    </row>
    <row r="45" spans="1:87" ht="18" customHeight="1">
      <c r="A45" s="22">
        <f>+TABELLA!Y49</f>
        <v>0</v>
      </c>
      <c r="B45" s="22">
        <f>+TABELLA!Z49</f>
        <v>0</v>
      </c>
      <c r="C45" s="22">
        <f>+TABELLA!AA49</f>
        <v>0</v>
      </c>
      <c r="D45" s="22">
        <f>+TABELLA!AB49</f>
        <v>0</v>
      </c>
      <c r="E45" s="22"/>
      <c r="F45" s="41" t="str">
        <f>IF(TABELLA!B49="","",TABELLA!B49)</f>
        <v/>
      </c>
      <c r="G45" s="42" t="str">
        <f>IF(TABELLA!C49="","",TABELLA!C49)</f>
        <v/>
      </c>
      <c r="H45" s="206" t="str">
        <f t="shared" ref="H45:V45" si="55">IF(AND(G$3&gt;=$A45,G$3&lt;$B45),1,IF(AND(G$3&gt;=$C45,G$3&lt;$D45),1,""))</f>
        <v/>
      </c>
      <c r="I45" s="206" t="str">
        <f t="shared" si="55"/>
        <v/>
      </c>
      <c r="J45" s="206" t="str">
        <f t="shared" si="55"/>
        <v/>
      </c>
      <c r="K45" s="207" t="str">
        <f t="shared" si="55"/>
        <v/>
      </c>
      <c r="L45" s="208" t="str">
        <f t="shared" si="55"/>
        <v/>
      </c>
      <c r="M45" s="206" t="str">
        <f t="shared" si="55"/>
        <v/>
      </c>
      <c r="N45" s="206" t="str">
        <f t="shared" si="55"/>
        <v/>
      </c>
      <c r="O45" s="207" t="str">
        <f t="shared" si="55"/>
        <v/>
      </c>
      <c r="P45" s="208" t="str">
        <f t="shared" si="55"/>
        <v/>
      </c>
      <c r="Q45" s="206" t="str">
        <f t="shared" si="55"/>
        <v/>
      </c>
      <c r="R45" s="206" t="str">
        <f t="shared" si="55"/>
        <v/>
      </c>
      <c r="S45" s="207" t="str">
        <f t="shared" si="55"/>
        <v/>
      </c>
      <c r="T45" s="208" t="str">
        <f t="shared" si="55"/>
        <v/>
      </c>
      <c r="U45" s="206" t="str">
        <f t="shared" si="55"/>
        <v/>
      </c>
      <c r="V45" s="206" t="str">
        <f t="shared" si="55"/>
        <v/>
      </c>
      <c r="W45" s="207" t="str">
        <f t="shared" si="46"/>
        <v/>
      </c>
      <c r="X45" s="208" t="str">
        <f t="shared" si="43"/>
        <v/>
      </c>
      <c r="Y45" s="206" t="str">
        <f t="shared" si="43"/>
        <v/>
      </c>
      <c r="Z45" s="206" t="str">
        <f t="shared" si="43"/>
        <v/>
      </c>
      <c r="AA45" s="207" t="str">
        <f t="shared" si="43"/>
        <v/>
      </c>
      <c r="AB45" s="208" t="str">
        <f t="shared" si="43"/>
        <v/>
      </c>
      <c r="AC45" s="206" t="str">
        <f t="shared" si="43"/>
        <v/>
      </c>
      <c r="AD45" s="206" t="str">
        <f t="shared" si="43"/>
        <v/>
      </c>
      <c r="AE45" s="207" t="str">
        <f t="shared" si="43"/>
        <v/>
      </c>
      <c r="AF45" s="208" t="str">
        <f t="shared" si="43"/>
        <v/>
      </c>
      <c r="AG45" s="206" t="str">
        <f t="shared" si="43"/>
        <v/>
      </c>
      <c r="AH45" s="206" t="str">
        <f t="shared" si="43"/>
        <v/>
      </c>
      <c r="AI45" s="207" t="str">
        <f t="shared" si="43"/>
        <v/>
      </c>
      <c r="AJ45" s="208" t="str">
        <f t="shared" si="43"/>
        <v/>
      </c>
      <c r="AK45" s="206" t="str">
        <f t="shared" si="43"/>
        <v/>
      </c>
      <c r="AL45" s="206" t="str">
        <f t="shared" si="43"/>
        <v/>
      </c>
      <c r="AM45" s="207" t="str">
        <f t="shared" si="47"/>
        <v/>
      </c>
      <c r="AN45" s="208" t="str">
        <f t="shared" si="47"/>
        <v/>
      </c>
      <c r="AO45" s="206" t="str">
        <f t="shared" si="47"/>
        <v/>
      </c>
      <c r="AP45" s="206" t="str">
        <f t="shared" si="47"/>
        <v/>
      </c>
      <c r="AQ45" s="207" t="str">
        <f t="shared" si="47"/>
        <v/>
      </c>
      <c r="AR45" s="208" t="str">
        <f t="shared" si="47"/>
        <v/>
      </c>
      <c r="AS45" s="206" t="str">
        <f t="shared" si="47"/>
        <v/>
      </c>
      <c r="AT45" s="206" t="str">
        <f t="shared" si="47"/>
        <v/>
      </c>
      <c r="AU45" s="207" t="str">
        <f t="shared" si="47"/>
        <v/>
      </c>
      <c r="AV45" s="208" t="str">
        <f t="shared" si="47"/>
        <v/>
      </c>
      <c r="AW45" s="206" t="str">
        <f t="shared" si="47"/>
        <v/>
      </c>
      <c r="AX45" s="206" t="str">
        <f t="shared" si="47"/>
        <v/>
      </c>
      <c r="AY45" s="207" t="str">
        <f t="shared" si="47"/>
        <v/>
      </c>
      <c r="AZ45" s="208" t="str">
        <f t="shared" si="47"/>
        <v/>
      </c>
      <c r="BA45" s="206" t="str">
        <f t="shared" si="47"/>
        <v/>
      </c>
      <c r="BB45" s="206" t="str">
        <f t="shared" si="47"/>
        <v/>
      </c>
      <c r="BC45" s="207" t="str">
        <f t="shared" si="44"/>
        <v/>
      </c>
      <c r="BD45" s="208" t="str">
        <f t="shared" si="44"/>
        <v/>
      </c>
      <c r="BE45" s="206" t="str">
        <f t="shared" si="44"/>
        <v/>
      </c>
      <c r="BF45" s="206" t="str">
        <f t="shared" si="44"/>
        <v/>
      </c>
      <c r="BG45" s="207" t="str">
        <f t="shared" si="44"/>
        <v/>
      </c>
      <c r="BH45" s="208" t="str">
        <f t="shared" si="44"/>
        <v/>
      </c>
      <c r="BI45" s="206" t="str">
        <f t="shared" si="44"/>
        <v/>
      </c>
      <c r="BJ45" s="206" t="str">
        <f t="shared" si="44"/>
        <v/>
      </c>
      <c r="BK45" s="207" t="str">
        <f t="shared" si="44"/>
        <v/>
      </c>
      <c r="BL45" s="208" t="str">
        <f t="shared" si="44"/>
        <v/>
      </c>
      <c r="BM45" s="206" t="str">
        <f t="shared" si="44"/>
        <v/>
      </c>
      <c r="BN45" s="206" t="str">
        <f t="shared" si="44"/>
        <v/>
      </c>
      <c r="BO45" s="207" t="str">
        <f t="shared" si="44"/>
        <v/>
      </c>
      <c r="BP45" s="208" t="str">
        <f t="shared" si="48"/>
        <v/>
      </c>
      <c r="BQ45" s="206" t="str">
        <f t="shared" si="48"/>
        <v/>
      </c>
      <c r="BR45" s="206" t="str">
        <f t="shared" si="48"/>
        <v/>
      </c>
      <c r="BS45" s="207" t="str">
        <f t="shared" si="48"/>
        <v/>
      </c>
      <c r="BT45" s="208" t="str">
        <f t="shared" si="48"/>
        <v/>
      </c>
      <c r="BU45" s="206" t="str">
        <f t="shared" si="48"/>
        <v/>
      </c>
      <c r="BV45" s="206" t="str">
        <f t="shared" si="48"/>
        <v/>
      </c>
      <c r="BW45" s="207" t="str">
        <f t="shared" si="48"/>
        <v/>
      </c>
      <c r="BX45" s="208" t="str">
        <f t="shared" si="48"/>
        <v/>
      </c>
      <c r="BY45" s="206" t="str">
        <f t="shared" si="48"/>
        <v/>
      </c>
      <c r="BZ45" s="206" t="str">
        <f t="shared" si="48"/>
        <v/>
      </c>
      <c r="CA45" s="207" t="str">
        <f t="shared" si="48"/>
        <v/>
      </c>
      <c r="CB45" s="208" t="str">
        <f t="shared" si="48"/>
        <v/>
      </c>
      <c r="CC45" s="206" t="str">
        <f t="shared" si="48"/>
        <v/>
      </c>
      <c r="CD45" s="206" t="str">
        <f t="shared" si="48"/>
        <v/>
      </c>
      <c r="CE45" s="207" t="str">
        <f t="shared" si="48"/>
        <v/>
      </c>
    </row>
    <row r="46" spans="1:87" ht="20.100000000000001" customHeight="1">
      <c r="F46" s="9">
        <v>1</v>
      </c>
      <c r="G46" s="10" t="s">
        <v>80</v>
      </c>
      <c r="H46" s="177">
        <f t="shared" ref="H46:W54" si="56">SUMIF($F$6:$F$45,$F46,H$6:H$45)</f>
        <v>0</v>
      </c>
      <c r="I46" s="178">
        <f t="shared" si="56"/>
        <v>0</v>
      </c>
      <c r="J46" s="178">
        <f t="shared" si="56"/>
        <v>0</v>
      </c>
      <c r="K46" s="179">
        <f t="shared" si="56"/>
        <v>0</v>
      </c>
      <c r="L46" s="177">
        <f t="shared" si="56"/>
        <v>0</v>
      </c>
      <c r="M46" s="178">
        <f t="shared" si="56"/>
        <v>0</v>
      </c>
      <c r="N46" s="178">
        <f t="shared" si="56"/>
        <v>0</v>
      </c>
      <c r="O46" s="179">
        <f t="shared" si="56"/>
        <v>0</v>
      </c>
      <c r="P46" s="177">
        <f t="shared" si="56"/>
        <v>0</v>
      </c>
      <c r="Q46" s="178">
        <f t="shared" si="56"/>
        <v>0</v>
      </c>
      <c r="R46" s="178">
        <f t="shared" si="56"/>
        <v>0</v>
      </c>
      <c r="S46" s="179">
        <f t="shared" si="56"/>
        <v>0</v>
      </c>
      <c r="T46" s="177">
        <f t="shared" si="56"/>
        <v>0</v>
      </c>
      <c r="U46" s="178">
        <f t="shared" si="56"/>
        <v>0</v>
      </c>
      <c r="V46" s="178">
        <f t="shared" si="56"/>
        <v>0</v>
      </c>
      <c r="W46" s="179">
        <f t="shared" si="56"/>
        <v>0</v>
      </c>
      <c r="X46" s="177">
        <f t="shared" ref="X46:AM54" si="57">SUMIF($F$6:$F$45,$F46,X$6:X$45)</f>
        <v>0</v>
      </c>
      <c r="Y46" s="178">
        <f t="shared" si="57"/>
        <v>0</v>
      </c>
      <c r="Z46" s="178">
        <f t="shared" si="57"/>
        <v>0</v>
      </c>
      <c r="AA46" s="179">
        <f t="shared" si="57"/>
        <v>0</v>
      </c>
      <c r="AB46" s="177">
        <f t="shared" si="57"/>
        <v>0</v>
      </c>
      <c r="AC46" s="178">
        <f t="shared" si="57"/>
        <v>0</v>
      </c>
      <c r="AD46" s="178">
        <f t="shared" si="57"/>
        <v>0</v>
      </c>
      <c r="AE46" s="179">
        <f t="shared" si="57"/>
        <v>0</v>
      </c>
      <c r="AF46" s="177">
        <f t="shared" si="57"/>
        <v>0</v>
      </c>
      <c r="AG46" s="178">
        <f t="shared" si="57"/>
        <v>0</v>
      </c>
      <c r="AH46" s="178">
        <f t="shared" si="57"/>
        <v>0</v>
      </c>
      <c r="AI46" s="179">
        <f t="shared" si="57"/>
        <v>0</v>
      </c>
      <c r="AJ46" s="177">
        <f t="shared" si="57"/>
        <v>0</v>
      </c>
      <c r="AK46" s="178">
        <f t="shared" si="57"/>
        <v>0</v>
      </c>
      <c r="AL46" s="178">
        <f t="shared" si="57"/>
        <v>0</v>
      </c>
      <c r="AM46" s="179">
        <f t="shared" si="57"/>
        <v>0</v>
      </c>
      <c r="AN46" s="177">
        <f t="shared" ref="AN46:BC54" si="58">SUMIF($F$6:$F$45,$F46,AN$6:AN$45)</f>
        <v>0</v>
      </c>
      <c r="AO46" s="178">
        <f t="shared" si="58"/>
        <v>0</v>
      </c>
      <c r="AP46" s="178">
        <f t="shared" si="58"/>
        <v>0</v>
      </c>
      <c r="AQ46" s="179">
        <f t="shared" si="58"/>
        <v>0</v>
      </c>
      <c r="AR46" s="177">
        <f t="shared" si="58"/>
        <v>0</v>
      </c>
      <c r="AS46" s="178">
        <f t="shared" si="58"/>
        <v>0</v>
      </c>
      <c r="AT46" s="178">
        <f t="shared" si="58"/>
        <v>0</v>
      </c>
      <c r="AU46" s="179">
        <f t="shared" si="58"/>
        <v>0</v>
      </c>
      <c r="AV46" s="177">
        <f t="shared" si="58"/>
        <v>0</v>
      </c>
      <c r="AW46" s="178">
        <f t="shared" si="58"/>
        <v>0</v>
      </c>
      <c r="AX46" s="178">
        <f t="shared" si="58"/>
        <v>0</v>
      </c>
      <c r="AY46" s="179">
        <f t="shared" si="58"/>
        <v>0</v>
      </c>
      <c r="AZ46" s="177">
        <f t="shared" si="58"/>
        <v>0</v>
      </c>
      <c r="BA46" s="178">
        <f t="shared" si="58"/>
        <v>0</v>
      </c>
      <c r="BB46" s="178">
        <f t="shared" si="58"/>
        <v>0</v>
      </c>
      <c r="BC46" s="179">
        <f t="shared" si="58"/>
        <v>0</v>
      </c>
      <c r="BD46" s="177">
        <f t="shared" ref="BD46:BS54" si="59">SUMIF($F$6:$F$45,$F46,BD$6:BD$45)</f>
        <v>0</v>
      </c>
      <c r="BE46" s="178">
        <f t="shared" si="59"/>
        <v>0</v>
      </c>
      <c r="BF46" s="178">
        <f t="shared" si="59"/>
        <v>0</v>
      </c>
      <c r="BG46" s="179">
        <f t="shared" si="59"/>
        <v>0</v>
      </c>
      <c r="BH46" s="177">
        <f t="shared" si="59"/>
        <v>0</v>
      </c>
      <c r="BI46" s="178">
        <f t="shared" si="59"/>
        <v>0</v>
      </c>
      <c r="BJ46" s="178">
        <f t="shared" si="59"/>
        <v>0</v>
      </c>
      <c r="BK46" s="179">
        <f t="shared" si="59"/>
        <v>0</v>
      </c>
      <c r="BL46" s="177">
        <f t="shared" si="59"/>
        <v>0</v>
      </c>
      <c r="BM46" s="178">
        <f t="shared" si="59"/>
        <v>0</v>
      </c>
      <c r="BN46" s="178">
        <f t="shared" si="59"/>
        <v>0</v>
      </c>
      <c r="BO46" s="179">
        <f t="shared" si="59"/>
        <v>0</v>
      </c>
      <c r="BP46" s="177">
        <f t="shared" si="59"/>
        <v>0</v>
      </c>
      <c r="BQ46" s="178">
        <f t="shared" si="59"/>
        <v>0</v>
      </c>
      <c r="BR46" s="178">
        <f t="shared" si="59"/>
        <v>0</v>
      </c>
      <c r="BS46" s="179">
        <f t="shared" si="59"/>
        <v>0</v>
      </c>
      <c r="BT46" s="177">
        <f t="shared" ref="BT46:CE54" si="60">SUMIF($F$6:$F$45,$F46,BT$6:BT$45)</f>
        <v>0</v>
      </c>
      <c r="BU46" s="178">
        <f t="shared" si="60"/>
        <v>0</v>
      </c>
      <c r="BV46" s="178">
        <f t="shared" si="60"/>
        <v>0</v>
      </c>
      <c r="BW46" s="179">
        <f t="shared" si="60"/>
        <v>0</v>
      </c>
      <c r="BX46" s="177">
        <f t="shared" si="60"/>
        <v>0</v>
      </c>
      <c r="BY46" s="178">
        <f t="shared" si="60"/>
        <v>0</v>
      </c>
      <c r="BZ46" s="178">
        <f t="shared" si="60"/>
        <v>0</v>
      </c>
      <c r="CA46" s="179">
        <f t="shared" si="60"/>
        <v>0</v>
      </c>
      <c r="CB46" s="177">
        <f t="shared" si="60"/>
        <v>0</v>
      </c>
      <c r="CC46" s="178">
        <f t="shared" si="60"/>
        <v>0</v>
      </c>
      <c r="CD46" s="178">
        <f t="shared" si="60"/>
        <v>0</v>
      </c>
      <c r="CE46" s="179">
        <f t="shared" si="60"/>
        <v>0</v>
      </c>
      <c r="CF46" s="13"/>
      <c r="CG46" s="13"/>
      <c r="CH46" s="13"/>
      <c r="CI46" s="13"/>
    </row>
    <row r="47" spans="1:87" ht="20.100000000000001" customHeight="1">
      <c r="F47" s="3">
        <v>2</v>
      </c>
      <c r="G47" s="4" t="s">
        <v>11</v>
      </c>
      <c r="H47" s="180">
        <f t="shared" si="56"/>
        <v>0</v>
      </c>
      <c r="I47" s="181">
        <f t="shared" si="56"/>
        <v>0</v>
      </c>
      <c r="J47" s="181">
        <f t="shared" si="56"/>
        <v>0</v>
      </c>
      <c r="K47" s="182">
        <f t="shared" si="56"/>
        <v>0</v>
      </c>
      <c r="L47" s="180">
        <f t="shared" si="56"/>
        <v>0</v>
      </c>
      <c r="M47" s="181">
        <f t="shared" si="56"/>
        <v>0</v>
      </c>
      <c r="N47" s="181">
        <f t="shared" si="56"/>
        <v>0</v>
      </c>
      <c r="O47" s="182">
        <f t="shared" si="56"/>
        <v>0</v>
      </c>
      <c r="P47" s="180">
        <f t="shared" si="56"/>
        <v>0</v>
      </c>
      <c r="Q47" s="181">
        <f t="shared" si="56"/>
        <v>0</v>
      </c>
      <c r="R47" s="181">
        <f t="shared" si="56"/>
        <v>0</v>
      </c>
      <c r="S47" s="182">
        <f t="shared" si="56"/>
        <v>0</v>
      </c>
      <c r="T47" s="180">
        <f t="shared" si="56"/>
        <v>0</v>
      </c>
      <c r="U47" s="181">
        <f t="shared" si="56"/>
        <v>0</v>
      </c>
      <c r="V47" s="181">
        <f t="shared" si="56"/>
        <v>0</v>
      </c>
      <c r="W47" s="182">
        <f t="shared" si="56"/>
        <v>0</v>
      </c>
      <c r="X47" s="180">
        <f t="shared" si="57"/>
        <v>0</v>
      </c>
      <c r="Y47" s="181">
        <f t="shared" si="57"/>
        <v>0</v>
      </c>
      <c r="Z47" s="181">
        <f t="shared" si="57"/>
        <v>0</v>
      </c>
      <c r="AA47" s="182">
        <f t="shared" si="57"/>
        <v>0</v>
      </c>
      <c r="AB47" s="180">
        <f t="shared" si="57"/>
        <v>0</v>
      </c>
      <c r="AC47" s="181">
        <f t="shared" si="57"/>
        <v>0</v>
      </c>
      <c r="AD47" s="181">
        <f t="shared" si="57"/>
        <v>0</v>
      </c>
      <c r="AE47" s="182">
        <f t="shared" si="57"/>
        <v>0</v>
      </c>
      <c r="AF47" s="180">
        <f t="shared" si="57"/>
        <v>0</v>
      </c>
      <c r="AG47" s="181">
        <f t="shared" si="57"/>
        <v>0</v>
      </c>
      <c r="AH47" s="181">
        <f t="shared" si="57"/>
        <v>0</v>
      </c>
      <c r="AI47" s="182">
        <f t="shared" si="57"/>
        <v>0</v>
      </c>
      <c r="AJ47" s="180">
        <f t="shared" si="57"/>
        <v>0</v>
      </c>
      <c r="AK47" s="181">
        <f t="shared" si="57"/>
        <v>0</v>
      </c>
      <c r="AL47" s="181">
        <f t="shared" si="57"/>
        <v>0</v>
      </c>
      <c r="AM47" s="182">
        <f t="shared" si="57"/>
        <v>0</v>
      </c>
      <c r="AN47" s="180">
        <f t="shared" si="58"/>
        <v>0</v>
      </c>
      <c r="AO47" s="181">
        <f t="shared" si="58"/>
        <v>0</v>
      </c>
      <c r="AP47" s="181">
        <f t="shared" si="58"/>
        <v>0</v>
      </c>
      <c r="AQ47" s="182">
        <f t="shared" si="58"/>
        <v>0</v>
      </c>
      <c r="AR47" s="180">
        <f t="shared" si="58"/>
        <v>0</v>
      </c>
      <c r="AS47" s="181">
        <f t="shared" si="58"/>
        <v>0</v>
      </c>
      <c r="AT47" s="181">
        <f t="shared" si="58"/>
        <v>0</v>
      </c>
      <c r="AU47" s="182">
        <f t="shared" si="58"/>
        <v>0</v>
      </c>
      <c r="AV47" s="180">
        <f t="shared" si="58"/>
        <v>0</v>
      </c>
      <c r="AW47" s="181">
        <f t="shared" si="58"/>
        <v>0</v>
      </c>
      <c r="AX47" s="181">
        <f t="shared" si="58"/>
        <v>0</v>
      </c>
      <c r="AY47" s="182">
        <f t="shared" si="58"/>
        <v>0</v>
      </c>
      <c r="AZ47" s="180">
        <f t="shared" si="58"/>
        <v>0</v>
      </c>
      <c r="BA47" s="181">
        <f t="shared" si="58"/>
        <v>0</v>
      </c>
      <c r="BB47" s="181">
        <f t="shared" si="58"/>
        <v>0</v>
      </c>
      <c r="BC47" s="182">
        <f t="shared" si="58"/>
        <v>0</v>
      </c>
      <c r="BD47" s="180">
        <f t="shared" si="59"/>
        <v>0</v>
      </c>
      <c r="BE47" s="181">
        <f t="shared" si="59"/>
        <v>0</v>
      </c>
      <c r="BF47" s="181">
        <f t="shared" si="59"/>
        <v>0</v>
      </c>
      <c r="BG47" s="182">
        <f t="shared" si="59"/>
        <v>0</v>
      </c>
      <c r="BH47" s="180">
        <f t="shared" si="59"/>
        <v>0</v>
      </c>
      <c r="BI47" s="181">
        <f t="shared" si="59"/>
        <v>0</v>
      </c>
      <c r="BJ47" s="181">
        <f t="shared" si="59"/>
        <v>0</v>
      </c>
      <c r="BK47" s="182">
        <f t="shared" si="59"/>
        <v>0</v>
      </c>
      <c r="BL47" s="180">
        <f t="shared" si="59"/>
        <v>0</v>
      </c>
      <c r="BM47" s="181">
        <f t="shared" si="59"/>
        <v>0</v>
      </c>
      <c r="BN47" s="181">
        <f t="shared" si="59"/>
        <v>0</v>
      </c>
      <c r="BO47" s="182">
        <f t="shared" si="59"/>
        <v>0</v>
      </c>
      <c r="BP47" s="180">
        <f t="shared" si="59"/>
        <v>0</v>
      </c>
      <c r="BQ47" s="181">
        <f t="shared" si="59"/>
        <v>0</v>
      </c>
      <c r="BR47" s="181">
        <f t="shared" si="59"/>
        <v>0</v>
      </c>
      <c r="BS47" s="182">
        <f t="shared" si="59"/>
        <v>0</v>
      </c>
      <c r="BT47" s="180">
        <f t="shared" si="60"/>
        <v>0</v>
      </c>
      <c r="BU47" s="181">
        <f t="shared" si="60"/>
        <v>0</v>
      </c>
      <c r="BV47" s="181">
        <f t="shared" si="60"/>
        <v>0</v>
      </c>
      <c r="BW47" s="182">
        <f t="shared" si="60"/>
        <v>0</v>
      </c>
      <c r="BX47" s="180">
        <f t="shared" si="60"/>
        <v>0</v>
      </c>
      <c r="BY47" s="181">
        <f t="shared" si="60"/>
        <v>0</v>
      </c>
      <c r="BZ47" s="181">
        <f t="shared" si="60"/>
        <v>0</v>
      </c>
      <c r="CA47" s="182">
        <f t="shared" si="60"/>
        <v>0</v>
      </c>
      <c r="CB47" s="180">
        <f t="shared" si="60"/>
        <v>0</v>
      </c>
      <c r="CC47" s="181">
        <f t="shared" si="60"/>
        <v>0</v>
      </c>
      <c r="CD47" s="181">
        <f t="shared" si="60"/>
        <v>0</v>
      </c>
      <c r="CE47" s="182">
        <f t="shared" si="60"/>
        <v>0</v>
      </c>
      <c r="CF47" s="13"/>
      <c r="CG47" s="13"/>
      <c r="CH47" s="13"/>
      <c r="CI47" s="13"/>
    </row>
    <row r="48" spans="1:87" ht="20.100000000000001" customHeight="1">
      <c r="F48" s="198">
        <v>3</v>
      </c>
      <c r="G48" s="199" t="s">
        <v>12</v>
      </c>
      <c r="H48" s="219">
        <f t="shared" si="56"/>
        <v>0</v>
      </c>
      <c r="I48" s="220">
        <f t="shared" si="56"/>
        <v>0</v>
      </c>
      <c r="J48" s="220">
        <f t="shared" si="56"/>
        <v>0</v>
      </c>
      <c r="K48" s="221">
        <f t="shared" si="56"/>
        <v>0</v>
      </c>
      <c r="L48" s="219">
        <f t="shared" si="56"/>
        <v>0</v>
      </c>
      <c r="M48" s="220">
        <f t="shared" si="56"/>
        <v>0</v>
      </c>
      <c r="N48" s="220">
        <f t="shared" si="56"/>
        <v>0</v>
      </c>
      <c r="O48" s="221">
        <f t="shared" si="56"/>
        <v>0</v>
      </c>
      <c r="P48" s="219">
        <f t="shared" si="56"/>
        <v>0</v>
      </c>
      <c r="Q48" s="220">
        <f t="shared" si="56"/>
        <v>0</v>
      </c>
      <c r="R48" s="220">
        <f t="shared" si="56"/>
        <v>0</v>
      </c>
      <c r="S48" s="221">
        <f t="shared" si="56"/>
        <v>0</v>
      </c>
      <c r="T48" s="219">
        <f t="shared" si="56"/>
        <v>0</v>
      </c>
      <c r="U48" s="220">
        <f t="shared" si="56"/>
        <v>0</v>
      </c>
      <c r="V48" s="220">
        <f t="shared" si="56"/>
        <v>0</v>
      </c>
      <c r="W48" s="221">
        <f t="shared" si="56"/>
        <v>0</v>
      </c>
      <c r="X48" s="219">
        <f t="shared" si="57"/>
        <v>0</v>
      </c>
      <c r="Y48" s="220">
        <f t="shared" si="57"/>
        <v>0</v>
      </c>
      <c r="Z48" s="220">
        <f t="shared" si="57"/>
        <v>0</v>
      </c>
      <c r="AA48" s="221">
        <f t="shared" si="57"/>
        <v>0</v>
      </c>
      <c r="AB48" s="219">
        <f t="shared" si="57"/>
        <v>0</v>
      </c>
      <c r="AC48" s="220">
        <f t="shared" si="57"/>
        <v>0</v>
      </c>
      <c r="AD48" s="220">
        <f t="shared" si="57"/>
        <v>0</v>
      </c>
      <c r="AE48" s="221">
        <f t="shared" si="57"/>
        <v>0</v>
      </c>
      <c r="AF48" s="219">
        <f t="shared" si="57"/>
        <v>0</v>
      </c>
      <c r="AG48" s="220">
        <f t="shared" si="57"/>
        <v>0</v>
      </c>
      <c r="AH48" s="220">
        <f t="shared" si="57"/>
        <v>0</v>
      </c>
      <c r="AI48" s="221">
        <f t="shared" si="57"/>
        <v>0</v>
      </c>
      <c r="AJ48" s="219">
        <f t="shared" si="57"/>
        <v>0</v>
      </c>
      <c r="AK48" s="220">
        <f t="shared" si="57"/>
        <v>0</v>
      </c>
      <c r="AL48" s="220">
        <f t="shared" si="57"/>
        <v>0</v>
      </c>
      <c r="AM48" s="221">
        <f t="shared" si="57"/>
        <v>0</v>
      </c>
      <c r="AN48" s="219">
        <f t="shared" si="58"/>
        <v>0</v>
      </c>
      <c r="AO48" s="220">
        <f t="shared" si="58"/>
        <v>0</v>
      </c>
      <c r="AP48" s="220">
        <f t="shared" si="58"/>
        <v>0</v>
      </c>
      <c r="AQ48" s="221">
        <f t="shared" si="58"/>
        <v>0</v>
      </c>
      <c r="AR48" s="219">
        <f t="shared" si="58"/>
        <v>0</v>
      </c>
      <c r="AS48" s="220">
        <f t="shared" si="58"/>
        <v>0</v>
      </c>
      <c r="AT48" s="220">
        <f t="shared" si="58"/>
        <v>0</v>
      </c>
      <c r="AU48" s="221">
        <f t="shared" si="58"/>
        <v>0</v>
      </c>
      <c r="AV48" s="219">
        <f t="shared" si="58"/>
        <v>0</v>
      </c>
      <c r="AW48" s="220">
        <f t="shared" si="58"/>
        <v>0</v>
      </c>
      <c r="AX48" s="220">
        <f t="shared" si="58"/>
        <v>0</v>
      </c>
      <c r="AY48" s="221">
        <f t="shared" si="58"/>
        <v>0</v>
      </c>
      <c r="AZ48" s="219">
        <f t="shared" si="58"/>
        <v>0</v>
      </c>
      <c r="BA48" s="220">
        <f t="shared" si="58"/>
        <v>0</v>
      </c>
      <c r="BB48" s="220">
        <f t="shared" si="58"/>
        <v>0</v>
      </c>
      <c r="BC48" s="221">
        <f t="shared" si="58"/>
        <v>0</v>
      </c>
      <c r="BD48" s="219">
        <f t="shared" si="59"/>
        <v>0</v>
      </c>
      <c r="BE48" s="220">
        <f t="shared" si="59"/>
        <v>0</v>
      </c>
      <c r="BF48" s="220">
        <f t="shared" si="59"/>
        <v>0</v>
      </c>
      <c r="BG48" s="221">
        <f t="shared" si="59"/>
        <v>0</v>
      </c>
      <c r="BH48" s="219">
        <f t="shared" si="59"/>
        <v>0</v>
      </c>
      <c r="BI48" s="220">
        <f t="shared" si="59"/>
        <v>0</v>
      </c>
      <c r="BJ48" s="220">
        <f t="shared" si="59"/>
        <v>0</v>
      </c>
      <c r="BK48" s="221">
        <f t="shared" si="59"/>
        <v>0</v>
      </c>
      <c r="BL48" s="219">
        <f t="shared" si="59"/>
        <v>0</v>
      </c>
      <c r="BM48" s="220">
        <f t="shared" si="59"/>
        <v>0</v>
      </c>
      <c r="BN48" s="220">
        <f t="shared" si="59"/>
        <v>0</v>
      </c>
      <c r="BO48" s="221">
        <f t="shared" si="59"/>
        <v>0</v>
      </c>
      <c r="BP48" s="219">
        <f t="shared" si="59"/>
        <v>0</v>
      </c>
      <c r="BQ48" s="220">
        <f t="shared" si="59"/>
        <v>0</v>
      </c>
      <c r="BR48" s="220">
        <f t="shared" si="59"/>
        <v>0</v>
      </c>
      <c r="BS48" s="221">
        <f t="shared" si="59"/>
        <v>0</v>
      </c>
      <c r="BT48" s="219">
        <f t="shared" si="60"/>
        <v>0</v>
      </c>
      <c r="BU48" s="220">
        <f t="shared" si="60"/>
        <v>0</v>
      </c>
      <c r="BV48" s="220">
        <f t="shared" si="60"/>
        <v>0</v>
      </c>
      <c r="BW48" s="221">
        <f t="shared" si="60"/>
        <v>0</v>
      </c>
      <c r="BX48" s="219">
        <f t="shared" si="60"/>
        <v>0</v>
      </c>
      <c r="BY48" s="220">
        <f t="shared" si="60"/>
        <v>0</v>
      </c>
      <c r="BZ48" s="220">
        <f t="shared" si="60"/>
        <v>0</v>
      </c>
      <c r="CA48" s="221">
        <f t="shared" si="60"/>
        <v>0</v>
      </c>
      <c r="CB48" s="219">
        <f t="shared" si="60"/>
        <v>0</v>
      </c>
      <c r="CC48" s="220">
        <f t="shared" si="60"/>
        <v>0</v>
      </c>
      <c r="CD48" s="220">
        <f t="shared" si="60"/>
        <v>0</v>
      </c>
      <c r="CE48" s="221">
        <f t="shared" si="60"/>
        <v>0</v>
      </c>
      <c r="CF48" s="13"/>
      <c r="CG48" s="13"/>
      <c r="CH48" s="13"/>
      <c r="CI48" s="13"/>
    </row>
    <row r="49" spans="1:87" ht="20.100000000000001" customHeight="1">
      <c r="B49" s="28"/>
      <c r="F49" s="1">
        <v>4</v>
      </c>
      <c r="G49" s="2" t="s">
        <v>81</v>
      </c>
      <c r="H49" s="214">
        <f t="shared" si="56"/>
        <v>0</v>
      </c>
      <c r="I49" s="215">
        <f t="shared" si="56"/>
        <v>0</v>
      </c>
      <c r="J49" s="215">
        <f t="shared" si="56"/>
        <v>0</v>
      </c>
      <c r="K49" s="216">
        <f t="shared" si="56"/>
        <v>0</v>
      </c>
      <c r="L49" s="214">
        <f t="shared" si="56"/>
        <v>0</v>
      </c>
      <c r="M49" s="215">
        <f t="shared" si="56"/>
        <v>0</v>
      </c>
      <c r="N49" s="215">
        <f t="shared" si="56"/>
        <v>0</v>
      </c>
      <c r="O49" s="216">
        <f t="shared" si="56"/>
        <v>0</v>
      </c>
      <c r="P49" s="214">
        <f t="shared" si="56"/>
        <v>0</v>
      </c>
      <c r="Q49" s="215">
        <f t="shared" si="56"/>
        <v>0</v>
      </c>
      <c r="R49" s="215">
        <f t="shared" si="56"/>
        <v>0</v>
      </c>
      <c r="S49" s="216">
        <f t="shared" si="56"/>
        <v>0</v>
      </c>
      <c r="T49" s="214">
        <f t="shared" si="56"/>
        <v>0</v>
      </c>
      <c r="U49" s="215">
        <f t="shared" si="56"/>
        <v>0</v>
      </c>
      <c r="V49" s="215">
        <f t="shared" si="56"/>
        <v>0</v>
      </c>
      <c r="W49" s="216">
        <f t="shared" si="56"/>
        <v>0</v>
      </c>
      <c r="X49" s="214">
        <f t="shared" si="57"/>
        <v>0</v>
      </c>
      <c r="Y49" s="215">
        <f t="shared" si="57"/>
        <v>0</v>
      </c>
      <c r="Z49" s="215">
        <f t="shared" si="57"/>
        <v>0</v>
      </c>
      <c r="AA49" s="216">
        <f t="shared" si="57"/>
        <v>0</v>
      </c>
      <c r="AB49" s="214">
        <f t="shared" si="57"/>
        <v>0</v>
      </c>
      <c r="AC49" s="215">
        <f t="shared" si="57"/>
        <v>0</v>
      </c>
      <c r="AD49" s="215">
        <f t="shared" si="57"/>
        <v>0</v>
      </c>
      <c r="AE49" s="216">
        <f t="shared" si="57"/>
        <v>0</v>
      </c>
      <c r="AF49" s="214">
        <f t="shared" si="57"/>
        <v>0</v>
      </c>
      <c r="AG49" s="215">
        <f t="shared" si="57"/>
        <v>0</v>
      </c>
      <c r="AH49" s="215">
        <f t="shared" si="57"/>
        <v>0</v>
      </c>
      <c r="AI49" s="216">
        <f t="shared" si="57"/>
        <v>0</v>
      </c>
      <c r="AJ49" s="214">
        <f t="shared" si="57"/>
        <v>0</v>
      </c>
      <c r="AK49" s="215">
        <f t="shared" si="57"/>
        <v>0</v>
      </c>
      <c r="AL49" s="215">
        <f t="shared" si="57"/>
        <v>0</v>
      </c>
      <c r="AM49" s="216">
        <f t="shared" si="57"/>
        <v>0</v>
      </c>
      <c r="AN49" s="214">
        <f t="shared" si="58"/>
        <v>0</v>
      </c>
      <c r="AO49" s="215">
        <f t="shared" si="58"/>
        <v>0</v>
      </c>
      <c r="AP49" s="215">
        <f t="shared" si="58"/>
        <v>0</v>
      </c>
      <c r="AQ49" s="216">
        <f t="shared" si="58"/>
        <v>0</v>
      </c>
      <c r="AR49" s="214">
        <f t="shared" si="58"/>
        <v>0</v>
      </c>
      <c r="AS49" s="215">
        <f t="shared" si="58"/>
        <v>0</v>
      </c>
      <c r="AT49" s="215">
        <f t="shared" si="58"/>
        <v>0</v>
      </c>
      <c r="AU49" s="216">
        <f t="shared" si="58"/>
        <v>0</v>
      </c>
      <c r="AV49" s="214">
        <f t="shared" si="58"/>
        <v>0</v>
      </c>
      <c r="AW49" s="215">
        <f t="shared" si="58"/>
        <v>0</v>
      </c>
      <c r="AX49" s="215">
        <f t="shared" si="58"/>
        <v>0</v>
      </c>
      <c r="AY49" s="216">
        <f t="shared" si="58"/>
        <v>0</v>
      </c>
      <c r="AZ49" s="214">
        <f t="shared" si="58"/>
        <v>0</v>
      </c>
      <c r="BA49" s="215">
        <f t="shared" si="58"/>
        <v>0</v>
      </c>
      <c r="BB49" s="215">
        <f t="shared" si="58"/>
        <v>0</v>
      </c>
      <c r="BC49" s="216">
        <f t="shared" si="58"/>
        <v>0</v>
      </c>
      <c r="BD49" s="214">
        <f t="shared" si="59"/>
        <v>0</v>
      </c>
      <c r="BE49" s="215">
        <f t="shared" si="59"/>
        <v>0</v>
      </c>
      <c r="BF49" s="215">
        <f t="shared" si="59"/>
        <v>0</v>
      </c>
      <c r="BG49" s="216">
        <f t="shared" si="59"/>
        <v>0</v>
      </c>
      <c r="BH49" s="214">
        <f t="shared" si="59"/>
        <v>0</v>
      </c>
      <c r="BI49" s="215">
        <f t="shared" si="59"/>
        <v>0</v>
      </c>
      <c r="BJ49" s="215">
        <f t="shared" si="59"/>
        <v>0</v>
      </c>
      <c r="BK49" s="216">
        <f t="shared" si="59"/>
        <v>0</v>
      </c>
      <c r="BL49" s="214">
        <f t="shared" si="59"/>
        <v>0</v>
      </c>
      <c r="BM49" s="215">
        <f t="shared" si="59"/>
        <v>0</v>
      </c>
      <c r="BN49" s="215">
        <f t="shared" si="59"/>
        <v>0</v>
      </c>
      <c r="BO49" s="216">
        <f t="shared" si="59"/>
        <v>0</v>
      </c>
      <c r="BP49" s="214">
        <f t="shared" si="59"/>
        <v>0</v>
      </c>
      <c r="BQ49" s="215">
        <f t="shared" si="59"/>
        <v>0</v>
      </c>
      <c r="BR49" s="215">
        <f t="shared" si="59"/>
        <v>0</v>
      </c>
      <c r="BS49" s="216">
        <f t="shared" si="59"/>
        <v>0</v>
      </c>
      <c r="BT49" s="214">
        <f t="shared" si="60"/>
        <v>0</v>
      </c>
      <c r="BU49" s="215">
        <f t="shared" si="60"/>
        <v>0</v>
      </c>
      <c r="BV49" s="215">
        <f t="shared" si="60"/>
        <v>0</v>
      </c>
      <c r="BW49" s="216">
        <f t="shared" si="60"/>
        <v>0</v>
      </c>
      <c r="BX49" s="214">
        <f t="shared" si="60"/>
        <v>0</v>
      </c>
      <c r="BY49" s="215">
        <f t="shared" si="60"/>
        <v>0</v>
      </c>
      <c r="BZ49" s="215">
        <f t="shared" si="60"/>
        <v>0</v>
      </c>
      <c r="CA49" s="216">
        <f t="shared" si="60"/>
        <v>0</v>
      </c>
      <c r="CB49" s="214">
        <f t="shared" si="60"/>
        <v>0</v>
      </c>
      <c r="CC49" s="215">
        <f t="shared" si="60"/>
        <v>0</v>
      </c>
      <c r="CD49" s="215">
        <f t="shared" si="60"/>
        <v>0</v>
      </c>
      <c r="CE49" s="216">
        <f t="shared" si="60"/>
        <v>0</v>
      </c>
      <c r="CF49" s="13"/>
      <c r="CG49" s="13"/>
      <c r="CH49" s="13"/>
      <c r="CI49" s="13"/>
    </row>
    <row r="50" spans="1:87" ht="20.100000000000001" customHeight="1">
      <c r="F50" s="217">
        <v>8</v>
      </c>
      <c r="G50" s="218" t="s">
        <v>14</v>
      </c>
      <c r="H50" s="183">
        <f t="shared" si="56"/>
        <v>0</v>
      </c>
      <c r="I50" s="184">
        <f t="shared" si="56"/>
        <v>0</v>
      </c>
      <c r="J50" s="184">
        <f t="shared" si="56"/>
        <v>0</v>
      </c>
      <c r="K50" s="185">
        <f t="shared" si="56"/>
        <v>0</v>
      </c>
      <c r="L50" s="183">
        <f t="shared" si="56"/>
        <v>0</v>
      </c>
      <c r="M50" s="184">
        <f t="shared" si="56"/>
        <v>0</v>
      </c>
      <c r="N50" s="184">
        <f t="shared" si="56"/>
        <v>0</v>
      </c>
      <c r="O50" s="185">
        <f t="shared" si="56"/>
        <v>0</v>
      </c>
      <c r="P50" s="183">
        <f t="shared" si="56"/>
        <v>0</v>
      </c>
      <c r="Q50" s="184">
        <f t="shared" si="56"/>
        <v>0</v>
      </c>
      <c r="R50" s="184">
        <f t="shared" si="56"/>
        <v>0</v>
      </c>
      <c r="S50" s="185">
        <f t="shared" si="56"/>
        <v>0</v>
      </c>
      <c r="T50" s="183">
        <f t="shared" si="56"/>
        <v>0</v>
      </c>
      <c r="U50" s="184">
        <f t="shared" si="56"/>
        <v>0</v>
      </c>
      <c r="V50" s="184">
        <f t="shared" si="56"/>
        <v>0</v>
      </c>
      <c r="W50" s="185">
        <f t="shared" si="56"/>
        <v>0</v>
      </c>
      <c r="X50" s="183">
        <f t="shared" si="57"/>
        <v>0</v>
      </c>
      <c r="Y50" s="184">
        <f t="shared" si="57"/>
        <v>0</v>
      </c>
      <c r="Z50" s="184">
        <f t="shared" si="57"/>
        <v>0</v>
      </c>
      <c r="AA50" s="185">
        <f t="shared" si="57"/>
        <v>0</v>
      </c>
      <c r="AB50" s="183">
        <f t="shared" si="57"/>
        <v>0</v>
      </c>
      <c r="AC50" s="184">
        <f t="shared" si="57"/>
        <v>0</v>
      </c>
      <c r="AD50" s="184">
        <f t="shared" si="57"/>
        <v>0</v>
      </c>
      <c r="AE50" s="185">
        <f t="shared" si="57"/>
        <v>0</v>
      </c>
      <c r="AF50" s="183">
        <f t="shared" si="57"/>
        <v>0</v>
      </c>
      <c r="AG50" s="184">
        <f t="shared" si="57"/>
        <v>0</v>
      </c>
      <c r="AH50" s="184">
        <f t="shared" si="57"/>
        <v>0</v>
      </c>
      <c r="AI50" s="185">
        <f t="shared" si="57"/>
        <v>0</v>
      </c>
      <c r="AJ50" s="183">
        <f t="shared" si="57"/>
        <v>0</v>
      </c>
      <c r="AK50" s="184">
        <f t="shared" si="57"/>
        <v>0</v>
      </c>
      <c r="AL50" s="184">
        <f t="shared" si="57"/>
        <v>0</v>
      </c>
      <c r="AM50" s="185">
        <f t="shared" si="57"/>
        <v>0</v>
      </c>
      <c r="AN50" s="183">
        <f t="shared" si="58"/>
        <v>0</v>
      </c>
      <c r="AO50" s="184">
        <f t="shared" si="58"/>
        <v>0</v>
      </c>
      <c r="AP50" s="184">
        <f t="shared" si="58"/>
        <v>0</v>
      </c>
      <c r="AQ50" s="185">
        <f t="shared" si="58"/>
        <v>0</v>
      </c>
      <c r="AR50" s="183">
        <f t="shared" si="58"/>
        <v>0</v>
      </c>
      <c r="AS50" s="184">
        <f t="shared" si="58"/>
        <v>0</v>
      </c>
      <c r="AT50" s="184">
        <f t="shared" si="58"/>
        <v>0</v>
      </c>
      <c r="AU50" s="185">
        <f t="shared" si="58"/>
        <v>0</v>
      </c>
      <c r="AV50" s="183">
        <f t="shared" si="58"/>
        <v>0</v>
      </c>
      <c r="AW50" s="184">
        <f t="shared" si="58"/>
        <v>0</v>
      </c>
      <c r="AX50" s="184">
        <f t="shared" si="58"/>
        <v>0</v>
      </c>
      <c r="AY50" s="185">
        <f t="shared" si="58"/>
        <v>0</v>
      </c>
      <c r="AZ50" s="183">
        <f t="shared" si="58"/>
        <v>0</v>
      </c>
      <c r="BA50" s="184">
        <f t="shared" si="58"/>
        <v>0</v>
      </c>
      <c r="BB50" s="184">
        <f t="shared" si="58"/>
        <v>0</v>
      </c>
      <c r="BC50" s="185">
        <f t="shared" si="58"/>
        <v>0</v>
      </c>
      <c r="BD50" s="183">
        <f t="shared" si="59"/>
        <v>0</v>
      </c>
      <c r="BE50" s="184">
        <f t="shared" si="59"/>
        <v>0</v>
      </c>
      <c r="BF50" s="184">
        <f t="shared" si="59"/>
        <v>0</v>
      </c>
      <c r="BG50" s="185">
        <f t="shared" si="59"/>
        <v>0</v>
      </c>
      <c r="BH50" s="183">
        <f t="shared" si="59"/>
        <v>0</v>
      </c>
      <c r="BI50" s="184">
        <f t="shared" si="59"/>
        <v>0</v>
      </c>
      <c r="BJ50" s="184">
        <f t="shared" si="59"/>
        <v>0</v>
      </c>
      <c r="BK50" s="185">
        <f t="shared" si="59"/>
        <v>0</v>
      </c>
      <c r="BL50" s="183">
        <f t="shared" si="59"/>
        <v>0</v>
      </c>
      <c r="BM50" s="184">
        <f t="shared" si="59"/>
        <v>0</v>
      </c>
      <c r="BN50" s="184">
        <f t="shared" si="59"/>
        <v>0</v>
      </c>
      <c r="BO50" s="185">
        <f t="shared" si="59"/>
        <v>0</v>
      </c>
      <c r="BP50" s="183">
        <f t="shared" si="59"/>
        <v>0</v>
      </c>
      <c r="BQ50" s="184">
        <f t="shared" si="59"/>
        <v>0</v>
      </c>
      <c r="BR50" s="184">
        <f t="shared" si="59"/>
        <v>0</v>
      </c>
      <c r="BS50" s="185">
        <f t="shared" si="59"/>
        <v>0</v>
      </c>
      <c r="BT50" s="183">
        <f t="shared" si="60"/>
        <v>0</v>
      </c>
      <c r="BU50" s="184">
        <f t="shared" si="60"/>
        <v>0</v>
      </c>
      <c r="BV50" s="184">
        <f t="shared" si="60"/>
        <v>0</v>
      </c>
      <c r="BW50" s="185">
        <f t="shared" si="60"/>
        <v>0</v>
      </c>
      <c r="BX50" s="183">
        <f t="shared" si="60"/>
        <v>0</v>
      </c>
      <c r="BY50" s="184">
        <f t="shared" si="60"/>
        <v>0</v>
      </c>
      <c r="BZ50" s="184">
        <f t="shared" si="60"/>
        <v>0</v>
      </c>
      <c r="CA50" s="185">
        <f t="shared" si="60"/>
        <v>0</v>
      </c>
      <c r="CB50" s="183">
        <f t="shared" si="60"/>
        <v>0</v>
      </c>
      <c r="CC50" s="184">
        <f t="shared" si="60"/>
        <v>0</v>
      </c>
      <c r="CD50" s="184">
        <f t="shared" si="60"/>
        <v>0</v>
      </c>
      <c r="CE50" s="185">
        <f t="shared" si="60"/>
        <v>0</v>
      </c>
      <c r="CF50" s="13"/>
      <c r="CG50" s="13"/>
      <c r="CH50" s="13"/>
      <c r="CI50" s="13"/>
    </row>
    <row r="51" spans="1:87" ht="20.100000000000001" customHeight="1">
      <c r="F51" s="5">
        <v>9</v>
      </c>
      <c r="G51" s="6" t="s">
        <v>82</v>
      </c>
      <c r="H51" s="186">
        <f t="shared" si="56"/>
        <v>0</v>
      </c>
      <c r="I51" s="187">
        <f t="shared" si="56"/>
        <v>0</v>
      </c>
      <c r="J51" s="187">
        <f t="shared" si="56"/>
        <v>0</v>
      </c>
      <c r="K51" s="188">
        <f t="shared" si="56"/>
        <v>0</v>
      </c>
      <c r="L51" s="186">
        <f t="shared" si="56"/>
        <v>0</v>
      </c>
      <c r="M51" s="187">
        <f t="shared" si="56"/>
        <v>0</v>
      </c>
      <c r="N51" s="187">
        <f t="shared" si="56"/>
        <v>0</v>
      </c>
      <c r="O51" s="188">
        <f t="shared" si="56"/>
        <v>0</v>
      </c>
      <c r="P51" s="186">
        <f t="shared" si="56"/>
        <v>0</v>
      </c>
      <c r="Q51" s="187">
        <f t="shared" si="56"/>
        <v>0</v>
      </c>
      <c r="R51" s="187">
        <f t="shared" si="56"/>
        <v>0</v>
      </c>
      <c r="S51" s="188">
        <f t="shared" si="56"/>
        <v>0</v>
      </c>
      <c r="T51" s="186">
        <f t="shared" si="56"/>
        <v>0</v>
      </c>
      <c r="U51" s="187">
        <f t="shared" si="56"/>
        <v>0</v>
      </c>
      <c r="V51" s="187">
        <f t="shared" si="56"/>
        <v>0</v>
      </c>
      <c r="W51" s="188">
        <f t="shared" si="56"/>
        <v>0</v>
      </c>
      <c r="X51" s="186">
        <f t="shared" si="57"/>
        <v>0</v>
      </c>
      <c r="Y51" s="187">
        <f t="shared" si="57"/>
        <v>0</v>
      </c>
      <c r="Z51" s="187">
        <f t="shared" si="57"/>
        <v>0</v>
      </c>
      <c r="AA51" s="188">
        <f t="shared" si="57"/>
        <v>0</v>
      </c>
      <c r="AB51" s="186">
        <f t="shared" si="57"/>
        <v>0</v>
      </c>
      <c r="AC51" s="187">
        <f t="shared" si="57"/>
        <v>0</v>
      </c>
      <c r="AD51" s="187">
        <f t="shared" si="57"/>
        <v>0</v>
      </c>
      <c r="AE51" s="188">
        <f t="shared" si="57"/>
        <v>0</v>
      </c>
      <c r="AF51" s="186">
        <f t="shared" si="57"/>
        <v>0</v>
      </c>
      <c r="AG51" s="187">
        <f t="shared" si="57"/>
        <v>0</v>
      </c>
      <c r="AH51" s="187">
        <f t="shared" si="57"/>
        <v>0</v>
      </c>
      <c r="AI51" s="188">
        <f t="shared" si="57"/>
        <v>0</v>
      </c>
      <c r="AJ51" s="186">
        <f t="shared" si="57"/>
        <v>0</v>
      </c>
      <c r="AK51" s="187">
        <f t="shared" si="57"/>
        <v>0</v>
      </c>
      <c r="AL51" s="187">
        <f t="shared" si="57"/>
        <v>0</v>
      </c>
      <c r="AM51" s="188">
        <f t="shared" si="57"/>
        <v>0</v>
      </c>
      <c r="AN51" s="186">
        <f t="shared" si="58"/>
        <v>0</v>
      </c>
      <c r="AO51" s="187">
        <f t="shared" si="58"/>
        <v>0</v>
      </c>
      <c r="AP51" s="187">
        <f t="shared" si="58"/>
        <v>0</v>
      </c>
      <c r="AQ51" s="188">
        <f t="shared" si="58"/>
        <v>0</v>
      </c>
      <c r="AR51" s="186">
        <f t="shared" si="58"/>
        <v>0</v>
      </c>
      <c r="AS51" s="187">
        <f t="shared" si="58"/>
        <v>0</v>
      </c>
      <c r="AT51" s="187">
        <f t="shared" si="58"/>
        <v>0</v>
      </c>
      <c r="AU51" s="188">
        <f t="shared" si="58"/>
        <v>0</v>
      </c>
      <c r="AV51" s="186">
        <f t="shared" si="58"/>
        <v>0</v>
      </c>
      <c r="AW51" s="187">
        <f t="shared" si="58"/>
        <v>0</v>
      </c>
      <c r="AX51" s="187">
        <f t="shared" si="58"/>
        <v>0</v>
      </c>
      <c r="AY51" s="188">
        <f t="shared" si="58"/>
        <v>0</v>
      </c>
      <c r="AZ51" s="186">
        <f t="shared" si="58"/>
        <v>0</v>
      </c>
      <c r="BA51" s="187">
        <f t="shared" si="58"/>
        <v>0</v>
      </c>
      <c r="BB51" s="187">
        <f t="shared" si="58"/>
        <v>0</v>
      </c>
      <c r="BC51" s="188">
        <f t="shared" si="58"/>
        <v>0</v>
      </c>
      <c r="BD51" s="186">
        <f t="shared" si="59"/>
        <v>0</v>
      </c>
      <c r="BE51" s="187">
        <f t="shared" si="59"/>
        <v>0</v>
      </c>
      <c r="BF51" s="187">
        <f t="shared" si="59"/>
        <v>0</v>
      </c>
      <c r="BG51" s="188">
        <f t="shared" si="59"/>
        <v>0</v>
      </c>
      <c r="BH51" s="186">
        <f t="shared" si="59"/>
        <v>0</v>
      </c>
      <c r="BI51" s="187">
        <f t="shared" si="59"/>
        <v>0</v>
      </c>
      <c r="BJ51" s="187">
        <f t="shared" si="59"/>
        <v>0</v>
      </c>
      <c r="BK51" s="188">
        <f t="shared" si="59"/>
        <v>0</v>
      </c>
      <c r="BL51" s="186">
        <f t="shared" si="59"/>
        <v>0</v>
      </c>
      <c r="BM51" s="187">
        <f t="shared" si="59"/>
        <v>0</v>
      </c>
      <c r="BN51" s="187">
        <f t="shared" si="59"/>
        <v>0</v>
      </c>
      <c r="BO51" s="188">
        <f t="shared" si="59"/>
        <v>0</v>
      </c>
      <c r="BP51" s="186">
        <f t="shared" si="59"/>
        <v>0</v>
      </c>
      <c r="BQ51" s="187">
        <f t="shared" si="59"/>
        <v>0</v>
      </c>
      <c r="BR51" s="187">
        <f t="shared" si="59"/>
        <v>0</v>
      </c>
      <c r="BS51" s="188">
        <f t="shared" si="59"/>
        <v>0</v>
      </c>
      <c r="BT51" s="186">
        <f t="shared" si="60"/>
        <v>0</v>
      </c>
      <c r="BU51" s="187">
        <f t="shared" si="60"/>
        <v>0</v>
      </c>
      <c r="BV51" s="187">
        <f t="shared" si="60"/>
        <v>0</v>
      </c>
      <c r="BW51" s="188">
        <f t="shared" si="60"/>
        <v>0</v>
      </c>
      <c r="BX51" s="186">
        <f t="shared" si="60"/>
        <v>0</v>
      </c>
      <c r="BY51" s="187">
        <f t="shared" si="60"/>
        <v>0</v>
      </c>
      <c r="BZ51" s="187">
        <f t="shared" si="60"/>
        <v>0</v>
      </c>
      <c r="CA51" s="188">
        <f t="shared" si="60"/>
        <v>0</v>
      </c>
      <c r="CB51" s="186">
        <f t="shared" si="60"/>
        <v>0</v>
      </c>
      <c r="CC51" s="187">
        <f t="shared" si="60"/>
        <v>0</v>
      </c>
      <c r="CD51" s="187">
        <f t="shared" si="60"/>
        <v>0</v>
      </c>
      <c r="CE51" s="188">
        <f t="shared" si="60"/>
        <v>0</v>
      </c>
      <c r="CF51" s="13"/>
      <c r="CG51" s="13"/>
      <c r="CH51" s="13"/>
      <c r="CI51" s="13"/>
    </row>
    <row r="52" spans="1:87" ht="20.100000000000001" customHeight="1">
      <c r="F52" s="212">
        <v>10</v>
      </c>
      <c r="G52" s="213" t="s">
        <v>16</v>
      </c>
      <c r="H52" s="209">
        <f t="shared" si="56"/>
        <v>0</v>
      </c>
      <c r="I52" s="210">
        <f t="shared" si="56"/>
        <v>0</v>
      </c>
      <c r="J52" s="210">
        <f t="shared" si="56"/>
        <v>0</v>
      </c>
      <c r="K52" s="211">
        <f t="shared" si="56"/>
        <v>0</v>
      </c>
      <c r="L52" s="209">
        <f t="shared" si="56"/>
        <v>0</v>
      </c>
      <c r="M52" s="210">
        <f t="shared" si="56"/>
        <v>0</v>
      </c>
      <c r="N52" s="210">
        <f t="shared" si="56"/>
        <v>0</v>
      </c>
      <c r="O52" s="211">
        <f t="shared" si="56"/>
        <v>0</v>
      </c>
      <c r="P52" s="209">
        <f t="shared" si="56"/>
        <v>0</v>
      </c>
      <c r="Q52" s="210">
        <f t="shared" si="56"/>
        <v>0</v>
      </c>
      <c r="R52" s="210">
        <f t="shared" si="56"/>
        <v>0</v>
      </c>
      <c r="S52" s="211">
        <f t="shared" si="56"/>
        <v>0</v>
      </c>
      <c r="T52" s="209">
        <f t="shared" si="56"/>
        <v>1</v>
      </c>
      <c r="U52" s="210">
        <f t="shared" si="56"/>
        <v>1</v>
      </c>
      <c r="V52" s="210">
        <f t="shared" si="56"/>
        <v>1</v>
      </c>
      <c r="W52" s="211">
        <f t="shared" si="56"/>
        <v>1</v>
      </c>
      <c r="X52" s="209">
        <f t="shared" si="57"/>
        <v>2</v>
      </c>
      <c r="Y52" s="210">
        <f t="shared" si="57"/>
        <v>2</v>
      </c>
      <c r="Z52" s="210">
        <f t="shared" si="57"/>
        <v>3</v>
      </c>
      <c r="AA52" s="211">
        <f t="shared" si="57"/>
        <v>3</v>
      </c>
      <c r="AB52" s="209">
        <f t="shared" si="57"/>
        <v>3</v>
      </c>
      <c r="AC52" s="210">
        <f t="shared" si="57"/>
        <v>3</v>
      </c>
      <c r="AD52" s="210">
        <f t="shared" si="57"/>
        <v>3</v>
      </c>
      <c r="AE52" s="211">
        <f t="shared" si="57"/>
        <v>3</v>
      </c>
      <c r="AF52" s="209">
        <f t="shared" si="57"/>
        <v>3</v>
      </c>
      <c r="AG52" s="210">
        <f t="shared" si="57"/>
        <v>3</v>
      </c>
      <c r="AH52" s="210">
        <f t="shared" si="57"/>
        <v>3</v>
      </c>
      <c r="AI52" s="211">
        <f t="shared" si="57"/>
        <v>3</v>
      </c>
      <c r="AJ52" s="209">
        <f t="shared" si="57"/>
        <v>3</v>
      </c>
      <c r="AK52" s="210">
        <f t="shared" si="57"/>
        <v>4</v>
      </c>
      <c r="AL52" s="210">
        <f t="shared" si="57"/>
        <v>4</v>
      </c>
      <c r="AM52" s="211">
        <f t="shared" si="57"/>
        <v>4</v>
      </c>
      <c r="AN52" s="209">
        <f t="shared" si="58"/>
        <v>4</v>
      </c>
      <c r="AO52" s="210">
        <f t="shared" si="58"/>
        <v>4</v>
      </c>
      <c r="AP52" s="210">
        <f t="shared" si="58"/>
        <v>3</v>
      </c>
      <c r="AQ52" s="211">
        <f t="shared" si="58"/>
        <v>3</v>
      </c>
      <c r="AR52" s="209">
        <f t="shared" si="58"/>
        <v>2</v>
      </c>
      <c r="AS52" s="210">
        <f t="shared" si="58"/>
        <v>2</v>
      </c>
      <c r="AT52" s="210">
        <f t="shared" si="58"/>
        <v>2</v>
      </c>
      <c r="AU52" s="211">
        <f t="shared" si="58"/>
        <v>2</v>
      </c>
      <c r="AV52" s="209">
        <f t="shared" si="58"/>
        <v>2</v>
      </c>
      <c r="AW52" s="210">
        <f t="shared" si="58"/>
        <v>2</v>
      </c>
      <c r="AX52" s="210">
        <f t="shared" si="58"/>
        <v>2</v>
      </c>
      <c r="AY52" s="211">
        <f t="shared" si="58"/>
        <v>2</v>
      </c>
      <c r="AZ52" s="209">
        <f t="shared" si="58"/>
        <v>2</v>
      </c>
      <c r="BA52" s="210">
        <f t="shared" si="58"/>
        <v>2</v>
      </c>
      <c r="BB52" s="210">
        <f t="shared" si="58"/>
        <v>2</v>
      </c>
      <c r="BC52" s="211">
        <f t="shared" si="58"/>
        <v>2</v>
      </c>
      <c r="BD52" s="209">
        <f t="shared" si="59"/>
        <v>3</v>
      </c>
      <c r="BE52" s="210">
        <f t="shared" si="59"/>
        <v>3</v>
      </c>
      <c r="BF52" s="210">
        <f t="shared" si="59"/>
        <v>3</v>
      </c>
      <c r="BG52" s="211">
        <f t="shared" si="59"/>
        <v>3</v>
      </c>
      <c r="BH52" s="209">
        <f t="shared" si="59"/>
        <v>3</v>
      </c>
      <c r="BI52" s="210">
        <f t="shared" si="59"/>
        <v>3</v>
      </c>
      <c r="BJ52" s="210">
        <f t="shared" si="59"/>
        <v>3</v>
      </c>
      <c r="BK52" s="211">
        <f t="shared" si="59"/>
        <v>3</v>
      </c>
      <c r="BL52" s="209">
        <f t="shared" si="59"/>
        <v>3</v>
      </c>
      <c r="BM52" s="210">
        <f t="shared" si="59"/>
        <v>3</v>
      </c>
      <c r="BN52" s="210">
        <f t="shared" si="59"/>
        <v>3</v>
      </c>
      <c r="BO52" s="211">
        <f t="shared" si="59"/>
        <v>3</v>
      </c>
      <c r="BP52" s="209">
        <f t="shared" si="59"/>
        <v>2</v>
      </c>
      <c r="BQ52" s="210">
        <f t="shared" si="59"/>
        <v>2</v>
      </c>
      <c r="BR52" s="210">
        <f t="shared" si="59"/>
        <v>2</v>
      </c>
      <c r="BS52" s="211">
        <f t="shared" si="59"/>
        <v>2</v>
      </c>
      <c r="BT52" s="209">
        <f t="shared" si="60"/>
        <v>2</v>
      </c>
      <c r="BU52" s="210">
        <f t="shared" si="60"/>
        <v>2</v>
      </c>
      <c r="BV52" s="210">
        <f t="shared" si="60"/>
        <v>2</v>
      </c>
      <c r="BW52" s="211">
        <f t="shared" si="60"/>
        <v>2</v>
      </c>
      <c r="BX52" s="209">
        <f t="shared" si="60"/>
        <v>0</v>
      </c>
      <c r="BY52" s="210">
        <f t="shared" si="60"/>
        <v>0</v>
      </c>
      <c r="BZ52" s="210">
        <f t="shared" si="60"/>
        <v>0</v>
      </c>
      <c r="CA52" s="211">
        <f t="shared" si="60"/>
        <v>0</v>
      </c>
      <c r="CB52" s="209">
        <f t="shared" si="60"/>
        <v>0</v>
      </c>
      <c r="CC52" s="210">
        <f t="shared" si="60"/>
        <v>0</v>
      </c>
      <c r="CD52" s="210">
        <f t="shared" si="60"/>
        <v>0</v>
      </c>
      <c r="CE52" s="211">
        <f t="shared" si="60"/>
        <v>0</v>
      </c>
      <c r="CF52" s="13"/>
      <c r="CG52" s="13"/>
      <c r="CH52" s="13"/>
      <c r="CI52" s="13"/>
    </row>
    <row r="53" spans="1:87" ht="20.100000000000001" customHeight="1">
      <c r="F53" s="7">
        <v>12</v>
      </c>
      <c r="G53" s="8" t="s">
        <v>17</v>
      </c>
      <c r="H53" s="189">
        <f t="shared" si="56"/>
        <v>0</v>
      </c>
      <c r="I53" s="190">
        <f t="shared" si="56"/>
        <v>0</v>
      </c>
      <c r="J53" s="190">
        <f t="shared" si="56"/>
        <v>0</v>
      </c>
      <c r="K53" s="191">
        <f t="shared" si="56"/>
        <v>0</v>
      </c>
      <c r="L53" s="189">
        <f t="shared" si="56"/>
        <v>0</v>
      </c>
      <c r="M53" s="190">
        <f t="shared" si="56"/>
        <v>0</v>
      </c>
      <c r="N53" s="190">
        <f t="shared" si="56"/>
        <v>0</v>
      </c>
      <c r="O53" s="191">
        <f t="shared" si="56"/>
        <v>0</v>
      </c>
      <c r="P53" s="189">
        <f t="shared" si="56"/>
        <v>0</v>
      </c>
      <c r="Q53" s="190">
        <f t="shared" si="56"/>
        <v>0</v>
      </c>
      <c r="R53" s="190">
        <f t="shared" si="56"/>
        <v>0</v>
      </c>
      <c r="S53" s="191">
        <f t="shared" si="56"/>
        <v>0</v>
      </c>
      <c r="T53" s="189">
        <f t="shared" si="56"/>
        <v>1</v>
      </c>
      <c r="U53" s="190">
        <f t="shared" si="56"/>
        <v>1</v>
      </c>
      <c r="V53" s="190">
        <f t="shared" si="56"/>
        <v>1</v>
      </c>
      <c r="W53" s="191">
        <f t="shared" si="56"/>
        <v>1</v>
      </c>
      <c r="X53" s="189">
        <f t="shared" si="57"/>
        <v>1</v>
      </c>
      <c r="Y53" s="190">
        <f t="shared" si="57"/>
        <v>1</v>
      </c>
      <c r="Z53" s="190">
        <f t="shared" si="57"/>
        <v>1</v>
      </c>
      <c r="AA53" s="191">
        <f t="shared" si="57"/>
        <v>1</v>
      </c>
      <c r="AB53" s="189">
        <f t="shared" si="57"/>
        <v>1</v>
      </c>
      <c r="AC53" s="190">
        <f t="shared" si="57"/>
        <v>1</v>
      </c>
      <c r="AD53" s="190">
        <f t="shared" si="57"/>
        <v>1</v>
      </c>
      <c r="AE53" s="191">
        <f t="shared" si="57"/>
        <v>1</v>
      </c>
      <c r="AF53" s="189">
        <f t="shared" si="57"/>
        <v>1</v>
      </c>
      <c r="AG53" s="190">
        <f t="shared" si="57"/>
        <v>1</v>
      </c>
      <c r="AH53" s="190">
        <f t="shared" si="57"/>
        <v>1</v>
      </c>
      <c r="AI53" s="191">
        <f t="shared" si="57"/>
        <v>1</v>
      </c>
      <c r="AJ53" s="189">
        <f t="shared" si="57"/>
        <v>1</v>
      </c>
      <c r="AK53" s="190">
        <f t="shared" si="57"/>
        <v>1</v>
      </c>
      <c r="AL53" s="190">
        <f t="shared" si="57"/>
        <v>1</v>
      </c>
      <c r="AM53" s="191">
        <f t="shared" si="57"/>
        <v>1</v>
      </c>
      <c r="AN53" s="189">
        <f t="shared" si="58"/>
        <v>1</v>
      </c>
      <c r="AO53" s="190">
        <f t="shared" si="58"/>
        <v>1</v>
      </c>
      <c r="AP53" s="190">
        <f t="shared" si="58"/>
        <v>1</v>
      </c>
      <c r="AQ53" s="191">
        <f t="shared" si="58"/>
        <v>1</v>
      </c>
      <c r="AR53" s="189">
        <f t="shared" si="58"/>
        <v>0</v>
      </c>
      <c r="AS53" s="190">
        <f t="shared" si="58"/>
        <v>0</v>
      </c>
      <c r="AT53" s="190">
        <f t="shared" si="58"/>
        <v>0</v>
      </c>
      <c r="AU53" s="191">
        <f t="shared" si="58"/>
        <v>0</v>
      </c>
      <c r="AV53" s="189">
        <f t="shared" si="58"/>
        <v>0</v>
      </c>
      <c r="AW53" s="190">
        <f t="shared" si="58"/>
        <v>0</v>
      </c>
      <c r="AX53" s="190">
        <f t="shared" si="58"/>
        <v>0</v>
      </c>
      <c r="AY53" s="191">
        <f t="shared" si="58"/>
        <v>0</v>
      </c>
      <c r="AZ53" s="189">
        <f t="shared" si="58"/>
        <v>0</v>
      </c>
      <c r="BA53" s="190">
        <f t="shared" si="58"/>
        <v>0</v>
      </c>
      <c r="BB53" s="190">
        <f t="shared" si="58"/>
        <v>0</v>
      </c>
      <c r="BC53" s="191">
        <f t="shared" si="58"/>
        <v>0</v>
      </c>
      <c r="BD53" s="189">
        <f t="shared" si="59"/>
        <v>0</v>
      </c>
      <c r="BE53" s="190">
        <f t="shared" si="59"/>
        <v>0</v>
      </c>
      <c r="BF53" s="190">
        <f t="shared" si="59"/>
        <v>0</v>
      </c>
      <c r="BG53" s="191">
        <f t="shared" si="59"/>
        <v>0</v>
      </c>
      <c r="BH53" s="189">
        <f t="shared" si="59"/>
        <v>0</v>
      </c>
      <c r="BI53" s="190">
        <f t="shared" si="59"/>
        <v>0</v>
      </c>
      <c r="BJ53" s="190">
        <f t="shared" si="59"/>
        <v>0</v>
      </c>
      <c r="BK53" s="191">
        <f t="shared" si="59"/>
        <v>0</v>
      </c>
      <c r="BL53" s="189">
        <f t="shared" si="59"/>
        <v>0</v>
      </c>
      <c r="BM53" s="190">
        <f t="shared" si="59"/>
        <v>0</v>
      </c>
      <c r="BN53" s="190">
        <f t="shared" si="59"/>
        <v>0</v>
      </c>
      <c r="BO53" s="191">
        <f t="shared" si="59"/>
        <v>0</v>
      </c>
      <c r="BP53" s="189">
        <f t="shared" si="59"/>
        <v>0</v>
      </c>
      <c r="BQ53" s="190">
        <f t="shared" si="59"/>
        <v>0</v>
      </c>
      <c r="BR53" s="190">
        <f t="shared" si="59"/>
        <v>0</v>
      </c>
      <c r="BS53" s="191">
        <f t="shared" si="59"/>
        <v>0</v>
      </c>
      <c r="BT53" s="189">
        <f t="shared" si="60"/>
        <v>0</v>
      </c>
      <c r="BU53" s="190">
        <f t="shared" si="60"/>
        <v>0</v>
      </c>
      <c r="BV53" s="190">
        <f t="shared" si="60"/>
        <v>0</v>
      </c>
      <c r="BW53" s="191">
        <f t="shared" si="60"/>
        <v>0</v>
      </c>
      <c r="BX53" s="189">
        <f t="shared" si="60"/>
        <v>0</v>
      </c>
      <c r="BY53" s="190">
        <f t="shared" si="60"/>
        <v>0</v>
      </c>
      <c r="BZ53" s="190">
        <f t="shared" si="60"/>
        <v>0</v>
      </c>
      <c r="CA53" s="191">
        <f t="shared" si="60"/>
        <v>0</v>
      </c>
      <c r="CB53" s="189">
        <f t="shared" si="60"/>
        <v>0</v>
      </c>
      <c r="CC53" s="190">
        <f t="shared" si="60"/>
        <v>0</v>
      </c>
      <c r="CD53" s="190">
        <f t="shared" si="60"/>
        <v>0</v>
      </c>
      <c r="CE53" s="191">
        <f t="shared" si="60"/>
        <v>0</v>
      </c>
      <c r="CF53" s="13"/>
      <c r="CG53" s="13"/>
      <c r="CH53" s="13"/>
      <c r="CI53" s="13"/>
    </row>
    <row r="54" spans="1:87" ht="20.100000000000001" customHeight="1">
      <c r="F54" s="155">
        <v>13</v>
      </c>
      <c r="G54" s="156" t="s">
        <v>83</v>
      </c>
      <c r="H54" s="192">
        <f t="shared" si="56"/>
        <v>0</v>
      </c>
      <c r="I54" s="193">
        <f t="shared" si="56"/>
        <v>0</v>
      </c>
      <c r="J54" s="193">
        <f t="shared" si="56"/>
        <v>0</v>
      </c>
      <c r="K54" s="194">
        <f t="shared" si="56"/>
        <v>0</v>
      </c>
      <c r="L54" s="192">
        <f t="shared" si="56"/>
        <v>0</v>
      </c>
      <c r="M54" s="193">
        <f t="shared" si="56"/>
        <v>0</v>
      </c>
      <c r="N54" s="193">
        <f t="shared" si="56"/>
        <v>0</v>
      </c>
      <c r="O54" s="194">
        <f t="shared" si="56"/>
        <v>0</v>
      </c>
      <c r="P54" s="192">
        <f t="shared" si="56"/>
        <v>0</v>
      </c>
      <c r="Q54" s="193">
        <f t="shared" si="56"/>
        <v>0</v>
      </c>
      <c r="R54" s="193">
        <f t="shared" si="56"/>
        <v>0</v>
      </c>
      <c r="S54" s="194">
        <f t="shared" si="56"/>
        <v>0</v>
      </c>
      <c r="T54" s="192">
        <f t="shared" si="56"/>
        <v>0</v>
      </c>
      <c r="U54" s="193">
        <f t="shared" si="56"/>
        <v>0</v>
      </c>
      <c r="V54" s="193">
        <f t="shared" si="56"/>
        <v>0</v>
      </c>
      <c r="W54" s="194">
        <f t="shared" si="56"/>
        <v>0</v>
      </c>
      <c r="X54" s="192">
        <f t="shared" si="57"/>
        <v>0</v>
      </c>
      <c r="Y54" s="193">
        <f t="shared" si="57"/>
        <v>0</v>
      </c>
      <c r="Z54" s="193">
        <f t="shared" si="57"/>
        <v>0</v>
      </c>
      <c r="AA54" s="194">
        <f t="shared" si="57"/>
        <v>0</v>
      </c>
      <c r="AB54" s="192">
        <f t="shared" si="57"/>
        <v>0</v>
      </c>
      <c r="AC54" s="193">
        <f t="shared" si="57"/>
        <v>0</v>
      </c>
      <c r="AD54" s="193">
        <f t="shared" si="57"/>
        <v>0</v>
      </c>
      <c r="AE54" s="194">
        <f t="shared" si="57"/>
        <v>0</v>
      </c>
      <c r="AF54" s="192">
        <f t="shared" si="57"/>
        <v>0</v>
      </c>
      <c r="AG54" s="193">
        <f t="shared" si="57"/>
        <v>0</v>
      </c>
      <c r="AH54" s="193">
        <f t="shared" si="57"/>
        <v>0</v>
      </c>
      <c r="AI54" s="194">
        <f t="shared" si="57"/>
        <v>0</v>
      </c>
      <c r="AJ54" s="192">
        <f t="shared" si="57"/>
        <v>0</v>
      </c>
      <c r="AK54" s="193">
        <f t="shared" si="57"/>
        <v>0</v>
      </c>
      <c r="AL54" s="193">
        <f t="shared" si="57"/>
        <v>0</v>
      </c>
      <c r="AM54" s="194">
        <f t="shared" si="57"/>
        <v>0</v>
      </c>
      <c r="AN54" s="192">
        <f t="shared" si="58"/>
        <v>0</v>
      </c>
      <c r="AO54" s="193">
        <f t="shared" si="58"/>
        <v>0</v>
      </c>
      <c r="AP54" s="193">
        <f t="shared" si="58"/>
        <v>0</v>
      </c>
      <c r="AQ54" s="194">
        <f t="shared" si="58"/>
        <v>0</v>
      </c>
      <c r="AR54" s="192">
        <f t="shared" si="58"/>
        <v>0</v>
      </c>
      <c r="AS54" s="193">
        <f t="shared" si="58"/>
        <v>0</v>
      </c>
      <c r="AT54" s="193">
        <f t="shared" si="58"/>
        <v>0</v>
      </c>
      <c r="AU54" s="194">
        <f t="shared" si="58"/>
        <v>0</v>
      </c>
      <c r="AV54" s="192">
        <f t="shared" si="58"/>
        <v>0</v>
      </c>
      <c r="AW54" s="193">
        <f t="shared" si="58"/>
        <v>0</v>
      </c>
      <c r="AX54" s="193">
        <f t="shared" si="58"/>
        <v>0</v>
      </c>
      <c r="AY54" s="194">
        <f t="shared" si="58"/>
        <v>0</v>
      </c>
      <c r="AZ54" s="192">
        <f t="shared" si="58"/>
        <v>0</v>
      </c>
      <c r="BA54" s="193">
        <f t="shared" si="58"/>
        <v>0</v>
      </c>
      <c r="BB54" s="193">
        <f t="shared" si="58"/>
        <v>0</v>
      </c>
      <c r="BC54" s="194">
        <f t="shared" si="58"/>
        <v>0</v>
      </c>
      <c r="BD54" s="192">
        <f t="shared" si="59"/>
        <v>0</v>
      </c>
      <c r="BE54" s="193">
        <f t="shared" si="59"/>
        <v>0</v>
      </c>
      <c r="BF54" s="193">
        <f t="shared" si="59"/>
        <v>0</v>
      </c>
      <c r="BG54" s="194">
        <f t="shared" si="59"/>
        <v>0</v>
      </c>
      <c r="BH54" s="192">
        <f t="shared" si="59"/>
        <v>0</v>
      </c>
      <c r="BI54" s="193">
        <f t="shared" si="59"/>
        <v>0</v>
      </c>
      <c r="BJ54" s="193">
        <f t="shared" si="59"/>
        <v>0</v>
      </c>
      <c r="BK54" s="194">
        <f t="shared" si="59"/>
        <v>0</v>
      </c>
      <c r="BL54" s="192">
        <f t="shared" si="59"/>
        <v>0</v>
      </c>
      <c r="BM54" s="193">
        <f t="shared" si="59"/>
        <v>0</v>
      </c>
      <c r="BN54" s="193">
        <f t="shared" si="59"/>
        <v>0</v>
      </c>
      <c r="BO54" s="194">
        <f t="shared" si="59"/>
        <v>0</v>
      </c>
      <c r="BP54" s="192">
        <f t="shared" si="59"/>
        <v>0</v>
      </c>
      <c r="BQ54" s="193">
        <f t="shared" si="59"/>
        <v>0</v>
      </c>
      <c r="BR54" s="193">
        <f t="shared" si="59"/>
        <v>0</v>
      </c>
      <c r="BS54" s="194">
        <f t="shared" si="59"/>
        <v>0</v>
      </c>
      <c r="BT54" s="192">
        <f t="shared" si="60"/>
        <v>0</v>
      </c>
      <c r="BU54" s="193">
        <f t="shared" si="60"/>
        <v>0</v>
      </c>
      <c r="BV54" s="193">
        <f t="shared" si="60"/>
        <v>0</v>
      </c>
      <c r="BW54" s="194">
        <f t="shared" si="60"/>
        <v>0</v>
      </c>
      <c r="BX54" s="192">
        <f t="shared" si="60"/>
        <v>0</v>
      </c>
      <c r="BY54" s="193">
        <f t="shared" si="60"/>
        <v>0</v>
      </c>
      <c r="BZ54" s="193">
        <f t="shared" si="60"/>
        <v>0</v>
      </c>
      <c r="CA54" s="194">
        <f t="shared" si="60"/>
        <v>0</v>
      </c>
      <c r="CB54" s="192">
        <f t="shared" si="60"/>
        <v>0</v>
      </c>
      <c r="CC54" s="193">
        <f t="shared" si="60"/>
        <v>0</v>
      </c>
      <c r="CD54" s="193">
        <f t="shared" si="60"/>
        <v>0</v>
      </c>
      <c r="CE54" s="194">
        <f t="shared" si="60"/>
        <v>0</v>
      </c>
      <c r="CF54" s="13"/>
      <c r="CG54" s="13"/>
      <c r="CH54" s="13"/>
      <c r="CI54" s="13"/>
    </row>
    <row r="55" spans="1:87" ht="41.25" customHeight="1">
      <c r="A55" s="22"/>
      <c r="B55" s="22"/>
      <c r="C55" s="22"/>
      <c r="D55" s="22"/>
      <c r="E55" s="22"/>
      <c r="F55" s="152"/>
      <c r="G55" s="151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</row>
    <row r="56" spans="1:87" ht="20.100000000000001" customHeight="1">
      <c r="A56" s="22"/>
      <c r="B56" s="22"/>
      <c r="C56" s="22"/>
      <c r="D56" s="22"/>
      <c r="E56" s="22"/>
      <c r="F56" s="152"/>
      <c r="G56" s="151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</row>
    <row r="57" spans="1:87" ht="20.100000000000001" customHeight="1">
      <c r="A57" s="22"/>
      <c r="B57" s="22"/>
      <c r="C57" s="22"/>
      <c r="D57" s="22"/>
      <c r="E57" s="22"/>
      <c r="F57" s="152"/>
      <c r="G57" s="151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</row>
    <row r="58" spans="1:87" ht="20.100000000000001" customHeight="1">
      <c r="A58" s="22"/>
      <c r="B58" s="22"/>
      <c r="C58" s="22"/>
      <c r="D58" s="22"/>
      <c r="E58" s="22"/>
      <c r="F58" s="152"/>
      <c r="G58" s="151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</row>
    <row r="59" spans="1:87" ht="20.100000000000001" customHeight="1">
      <c r="F59" s="152"/>
      <c r="G59" s="151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</row>
    <row r="60" spans="1:87" ht="20.100000000000001" customHeight="1">
      <c r="F60" s="152"/>
      <c r="G60" s="151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</row>
    <row r="61" spans="1:87" ht="20.100000000000001" customHeight="1">
      <c r="F61" s="152"/>
      <c r="G61" s="151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</row>
    <row r="62" spans="1:87" ht="20.100000000000001" customHeight="1">
      <c r="F62" s="152"/>
      <c r="G62" s="151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</row>
    <row r="63" spans="1:87" ht="20.100000000000001" customHeight="1">
      <c r="F63" s="152"/>
      <c r="G63" s="151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</row>
    <row r="64" spans="1:87" ht="20.100000000000001" customHeight="1">
      <c r="F64" s="152"/>
      <c r="G64" s="151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</row>
    <row r="65" spans="1:84" ht="20.100000000000001" customHeight="1">
      <c r="F65" s="152"/>
      <c r="G65" s="151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</row>
    <row r="66" spans="1:84" ht="20.100000000000001" customHeight="1">
      <c r="F66" s="152"/>
      <c r="G66" s="151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</row>
    <row r="67" spans="1:84" s="154" customFormat="1" ht="30" hidden="1" customHeight="1">
      <c r="A67" s="153"/>
      <c r="B67" s="153"/>
      <c r="C67" s="153"/>
      <c r="D67" s="153"/>
      <c r="E67" s="153"/>
      <c r="F67" s="355" t="s">
        <v>25</v>
      </c>
      <c r="G67" s="290" t="s">
        <v>35</v>
      </c>
      <c r="H67" s="302">
        <f t="shared" ref="H67:BS67" si="61">H5/$CF$5*100</f>
        <v>0</v>
      </c>
      <c r="I67" s="302">
        <f t="shared" si="61"/>
        <v>0</v>
      </c>
      <c r="J67" s="302">
        <f t="shared" si="61"/>
        <v>0</v>
      </c>
      <c r="K67" s="303">
        <f t="shared" si="61"/>
        <v>0</v>
      </c>
      <c r="L67" s="304">
        <f t="shared" si="61"/>
        <v>0</v>
      </c>
      <c r="M67" s="302">
        <f t="shared" si="61"/>
        <v>0</v>
      </c>
      <c r="N67" s="302">
        <f t="shared" si="61"/>
        <v>0</v>
      </c>
      <c r="O67" s="303">
        <f t="shared" si="61"/>
        <v>0</v>
      </c>
      <c r="P67" s="304">
        <f t="shared" si="61"/>
        <v>0</v>
      </c>
      <c r="Q67" s="302">
        <f t="shared" si="61"/>
        <v>0</v>
      </c>
      <c r="R67" s="302">
        <f t="shared" si="61"/>
        <v>0</v>
      </c>
      <c r="S67" s="303">
        <f t="shared" si="61"/>
        <v>0</v>
      </c>
      <c r="T67" s="304">
        <f t="shared" si="61"/>
        <v>1.1976047904191618</v>
      </c>
      <c r="U67" s="302">
        <f t="shared" si="61"/>
        <v>1.1976047904191618</v>
      </c>
      <c r="V67" s="302">
        <f t="shared" si="61"/>
        <v>1.1976047904191618</v>
      </c>
      <c r="W67" s="303">
        <f t="shared" si="61"/>
        <v>1.1976047904191618</v>
      </c>
      <c r="X67" s="304">
        <f t="shared" si="61"/>
        <v>1.7964071856287425</v>
      </c>
      <c r="Y67" s="302">
        <f t="shared" si="61"/>
        <v>1.7964071856287425</v>
      </c>
      <c r="Z67" s="302">
        <f t="shared" si="61"/>
        <v>2.3952095808383236</v>
      </c>
      <c r="AA67" s="303">
        <f t="shared" si="61"/>
        <v>2.3952095808383236</v>
      </c>
      <c r="AB67" s="304">
        <f t="shared" si="61"/>
        <v>2.3952095808383236</v>
      </c>
      <c r="AC67" s="302">
        <f t="shared" si="61"/>
        <v>2.3952095808383236</v>
      </c>
      <c r="AD67" s="302">
        <f t="shared" si="61"/>
        <v>2.3952095808383236</v>
      </c>
      <c r="AE67" s="303">
        <f t="shared" si="61"/>
        <v>2.3952095808383236</v>
      </c>
      <c r="AF67" s="304">
        <f t="shared" si="61"/>
        <v>2.3952095808383236</v>
      </c>
      <c r="AG67" s="302">
        <f t="shared" si="61"/>
        <v>2.3952095808383236</v>
      </c>
      <c r="AH67" s="302">
        <f t="shared" si="61"/>
        <v>2.3952095808383236</v>
      </c>
      <c r="AI67" s="303">
        <f t="shared" si="61"/>
        <v>2.3952095808383236</v>
      </c>
      <c r="AJ67" s="304">
        <f t="shared" si="61"/>
        <v>2.3952095808383236</v>
      </c>
      <c r="AK67" s="302">
        <f t="shared" si="61"/>
        <v>2.9940119760479043</v>
      </c>
      <c r="AL67" s="302">
        <f t="shared" si="61"/>
        <v>2.9940119760479043</v>
      </c>
      <c r="AM67" s="303">
        <f t="shared" si="61"/>
        <v>2.9940119760479043</v>
      </c>
      <c r="AN67" s="304">
        <f t="shared" si="61"/>
        <v>2.9940119760479043</v>
      </c>
      <c r="AO67" s="302">
        <f t="shared" si="61"/>
        <v>2.9940119760479043</v>
      </c>
      <c r="AP67" s="302">
        <f t="shared" si="61"/>
        <v>2.3952095808383236</v>
      </c>
      <c r="AQ67" s="303">
        <f t="shared" si="61"/>
        <v>2.3952095808383236</v>
      </c>
      <c r="AR67" s="304">
        <f t="shared" si="61"/>
        <v>1.1976047904191618</v>
      </c>
      <c r="AS67" s="302">
        <f t="shared" si="61"/>
        <v>1.1976047904191618</v>
      </c>
      <c r="AT67" s="302">
        <f t="shared" si="61"/>
        <v>1.1976047904191618</v>
      </c>
      <c r="AU67" s="303">
        <f t="shared" si="61"/>
        <v>1.1976047904191618</v>
      </c>
      <c r="AV67" s="304">
        <f t="shared" si="61"/>
        <v>1.1976047904191618</v>
      </c>
      <c r="AW67" s="302">
        <f t="shared" si="61"/>
        <v>1.1976047904191618</v>
      </c>
      <c r="AX67" s="302">
        <f t="shared" si="61"/>
        <v>1.1976047904191618</v>
      </c>
      <c r="AY67" s="303">
        <f t="shared" si="61"/>
        <v>1.1976047904191618</v>
      </c>
      <c r="AZ67" s="304">
        <f t="shared" si="61"/>
        <v>1.1976047904191618</v>
      </c>
      <c r="BA67" s="302">
        <f t="shared" si="61"/>
        <v>1.1976047904191618</v>
      </c>
      <c r="BB67" s="302">
        <f t="shared" si="61"/>
        <v>1.1976047904191618</v>
      </c>
      <c r="BC67" s="303">
        <f t="shared" si="61"/>
        <v>1.1976047904191618</v>
      </c>
      <c r="BD67" s="304">
        <f t="shared" si="61"/>
        <v>1.7964071856287425</v>
      </c>
      <c r="BE67" s="302">
        <f t="shared" si="61"/>
        <v>1.7964071856287425</v>
      </c>
      <c r="BF67" s="302">
        <f t="shared" si="61"/>
        <v>1.7964071856287425</v>
      </c>
      <c r="BG67" s="303">
        <f t="shared" si="61"/>
        <v>1.7964071856287425</v>
      </c>
      <c r="BH67" s="304">
        <f t="shared" si="61"/>
        <v>1.7964071856287425</v>
      </c>
      <c r="BI67" s="302">
        <f t="shared" si="61"/>
        <v>1.7964071856287425</v>
      </c>
      <c r="BJ67" s="302">
        <f t="shared" si="61"/>
        <v>1.7964071856287425</v>
      </c>
      <c r="BK67" s="303">
        <f t="shared" si="61"/>
        <v>1.7964071856287425</v>
      </c>
      <c r="BL67" s="304">
        <f t="shared" si="61"/>
        <v>1.7964071856287425</v>
      </c>
      <c r="BM67" s="302">
        <f t="shared" si="61"/>
        <v>1.7964071856287425</v>
      </c>
      <c r="BN67" s="302">
        <f t="shared" si="61"/>
        <v>1.7964071856287425</v>
      </c>
      <c r="BO67" s="303">
        <f t="shared" si="61"/>
        <v>1.7964071856287425</v>
      </c>
      <c r="BP67" s="304">
        <f t="shared" si="61"/>
        <v>1.1976047904191618</v>
      </c>
      <c r="BQ67" s="302">
        <f t="shared" si="61"/>
        <v>1.1976047904191618</v>
      </c>
      <c r="BR67" s="302">
        <f t="shared" si="61"/>
        <v>1.1976047904191618</v>
      </c>
      <c r="BS67" s="303">
        <f t="shared" si="61"/>
        <v>1.1976047904191618</v>
      </c>
      <c r="BT67" s="304">
        <f t="shared" ref="BT67:CE67" si="62">BT5/$CF$5*100</f>
        <v>1.1976047904191618</v>
      </c>
      <c r="BU67" s="302">
        <f t="shared" si="62"/>
        <v>1.1976047904191618</v>
      </c>
      <c r="BV67" s="302">
        <f t="shared" si="62"/>
        <v>1.1976047904191618</v>
      </c>
      <c r="BW67" s="303">
        <f t="shared" si="62"/>
        <v>1.1976047904191618</v>
      </c>
      <c r="BX67" s="304">
        <f t="shared" si="62"/>
        <v>0</v>
      </c>
      <c r="BY67" s="302">
        <f t="shared" si="62"/>
        <v>0</v>
      </c>
      <c r="BZ67" s="302">
        <f t="shared" si="62"/>
        <v>0</v>
      </c>
      <c r="CA67" s="303">
        <f t="shared" si="62"/>
        <v>0</v>
      </c>
      <c r="CB67" s="304">
        <f t="shared" si="62"/>
        <v>0</v>
      </c>
      <c r="CC67" s="302">
        <f t="shared" si="62"/>
        <v>0</v>
      </c>
      <c r="CD67" s="302">
        <f t="shared" si="62"/>
        <v>0</v>
      </c>
      <c r="CE67" s="303">
        <f t="shared" si="62"/>
        <v>0</v>
      </c>
      <c r="CF67" s="13"/>
    </row>
    <row r="68" spans="1:84" s="154" customFormat="1" ht="30" hidden="1" customHeight="1">
      <c r="A68" s="153"/>
      <c r="B68" s="153"/>
      <c r="C68" s="153"/>
      <c r="D68" s="153"/>
      <c r="E68" s="153"/>
      <c r="F68" s="356"/>
      <c r="G68" s="291" t="s">
        <v>34</v>
      </c>
      <c r="H68" s="302"/>
      <c r="I68" s="302"/>
      <c r="J68" s="302"/>
      <c r="K68" s="303"/>
      <c r="L68" s="304"/>
      <c r="M68" s="302"/>
      <c r="N68" s="302"/>
      <c r="O68" s="303"/>
      <c r="P68" s="304" t="str">
        <f>+VL!$P5</f>
        <v/>
      </c>
      <c r="Q68" s="302" t="str">
        <f>+VL!$P6</f>
        <v/>
      </c>
      <c r="R68" s="302" t="str">
        <f>+VL!$P7</f>
        <v/>
      </c>
      <c r="S68" s="303" t="str">
        <f>+VL!$P8</f>
        <v/>
      </c>
      <c r="T68" s="304" t="str">
        <f>+VL!$P9</f>
        <v/>
      </c>
      <c r="U68" s="302" t="str">
        <f>+VL!$P10</f>
        <v/>
      </c>
      <c r="V68" s="302" t="str">
        <f>+VL!$P11</f>
        <v/>
      </c>
      <c r="W68" s="303" t="str">
        <f>+VL!$P12</f>
        <v/>
      </c>
      <c r="X68" s="304" t="str">
        <f>+VL!$P13</f>
        <v/>
      </c>
      <c r="Y68" s="302" t="str">
        <f>+VL!$P14</f>
        <v/>
      </c>
      <c r="Z68" s="302" t="str">
        <f>+VL!$P15</f>
        <v/>
      </c>
      <c r="AA68" s="303" t="str">
        <f>+VL!$P16</f>
        <v/>
      </c>
      <c r="AB68" s="304" t="str">
        <f>+VL!$P17</f>
        <v/>
      </c>
      <c r="AC68" s="302" t="str">
        <f>+VL!$P18</f>
        <v/>
      </c>
      <c r="AD68" s="302" t="str">
        <f>+VL!$P19</f>
        <v/>
      </c>
      <c r="AE68" s="303" t="str">
        <f>+VL!$P20</f>
        <v/>
      </c>
      <c r="AF68" s="304" t="str">
        <f>+VL!$P21</f>
        <v/>
      </c>
      <c r="AG68" s="302" t="str">
        <f>+VL!$P22</f>
        <v/>
      </c>
      <c r="AH68" s="302" t="str">
        <f>+VL!$P23</f>
        <v/>
      </c>
      <c r="AI68" s="303" t="str">
        <f>+VL!$P24</f>
        <v/>
      </c>
      <c r="AJ68" s="304" t="str">
        <f>+VL!$P25</f>
        <v/>
      </c>
      <c r="AK68" s="302" t="str">
        <f>+VL!$P26</f>
        <v/>
      </c>
      <c r="AL68" s="302" t="str">
        <f>+VL!$P27</f>
        <v/>
      </c>
      <c r="AM68" s="303" t="str">
        <f>+VL!$P28</f>
        <v/>
      </c>
      <c r="AN68" s="304" t="str">
        <f>+VL!$P29</f>
        <v/>
      </c>
      <c r="AO68" s="302" t="str">
        <f>+VL!$P30</f>
        <v/>
      </c>
      <c r="AP68" s="302" t="str">
        <f>+VL!$P31</f>
        <v/>
      </c>
      <c r="AQ68" s="303" t="str">
        <f>+VL!$P32</f>
        <v/>
      </c>
      <c r="AR68" s="304" t="str">
        <f>+VL!$P33</f>
        <v/>
      </c>
      <c r="AS68" s="302" t="str">
        <f>+VL!$P34</f>
        <v/>
      </c>
      <c r="AT68" s="302" t="str">
        <f>+VL!$P35</f>
        <v/>
      </c>
      <c r="AU68" s="303" t="str">
        <f>+VL!$P36</f>
        <v/>
      </c>
      <c r="AV68" s="304" t="str">
        <f>+VL!$P37</f>
        <v/>
      </c>
      <c r="AW68" s="302" t="str">
        <f>+VL!$P38</f>
        <v/>
      </c>
      <c r="AX68" s="302" t="str">
        <f>+VL!$P39</f>
        <v/>
      </c>
      <c r="AY68" s="303" t="str">
        <f>+VL!$P40</f>
        <v/>
      </c>
      <c r="AZ68" s="304" t="str">
        <f>+VL!$P41</f>
        <v/>
      </c>
      <c r="BA68" s="302" t="str">
        <f>+VL!$P42</f>
        <v/>
      </c>
      <c r="BB68" s="302" t="str">
        <f>+VL!$P43</f>
        <v/>
      </c>
      <c r="BC68" s="303" t="str">
        <f>+VL!$P44</f>
        <v/>
      </c>
      <c r="BD68" s="304" t="str">
        <f>+VL!$P45</f>
        <v/>
      </c>
      <c r="BE68" s="302" t="str">
        <f>+VL!$P46</f>
        <v/>
      </c>
      <c r="BF68" s="302" t="str">
        <f>+VL!$P47</f>
        <v/>
      </c>
      <c r="BG68" s="303" t="str">
        <f>+VL!$P48</f>
        <v/>
      </c>
      <c r="BH68" s="304" t="str">
        <f>+VL!$P49</f>
        <v/>
      </c>
      <c r="BI68" s="302" t="str">
        <f>+VL!$P50</f>
        <v/>
      </c>
      <c r="BJ68" s="302" t="str">
        <f>+VL!$P51</f>
        <v/>
      </c>
      <c r="BK68" s="303" t="str">
        <f>+VL!$P52</f>
        <v/>
      </c>
      <c r="BL68" s="304" t="str">
        <f>+VL!$P53</f>
        <v/>
      </c>
      <c r="BM68" s="302" t="str">
        <f>+VL!$P54</f>
        <v/>
      </c>
      <c r="BN68" s="302" t="str">
        <f>+VL!$P55</f>
        <v/>
      </c>
      <c r="BO68" s="303" t="str">
        <f>+VL!$P56</f>
        <v/>
      </c>
      <c r="BP68" s="304" t="str">
        <f>+VL!$P57</f>
        <v/>
      </c>
      <c r="BQ68" s="302" t="str">
        <f>+VL!$P58</f>
        <v/>
      </c>
      <c r="BR68" s="302" t="str">
        <f>+VL!$P59</f>
        <v/>
      </c>
      <c r="BS68" s="302" t="str">
        <f>+VL!$P60</f>
        <v/>
      </c>
      <c r="BT68" s="304" t="str">
        <f>+VL!$P61</f>
        <v/>
      </c>
      <c r="BU68" s="302" t="str">
        <f>+VL!$P62</f>
        <v/>
      </c>
      <c r="BV68" s="302" t="str">
        <f>+VL!$P63</f>
        <v/>
      </c>
      <c r="BW68" s="302" t="str">
        <f>+VL!$P64</f>
        <v/>
      </c>
      <c r="BX68" s="304"/>
      <c r="BY68" s="302"/>
      <c r="BZ68" s="302"/>
      <c r="CA68" s="303"/>
      <c r="CB68" s="304"/>
      <c r="CC68" s="302"/>
      <c r="CD68" s="302"/>
      <c r="CE68" s="303"/>
    </row>
    <row r="69" spans="1:84" s="158" customFormat="1" ht="45" hidden="1" customHeight="1">
      <c r="A69" s="157"/>
      <c r="B69" s="157"/>
      <c r="C69" s="157"/>
      <c r="D69" s="157"/>
      <c r="E69" s="157"/>
      <c r="F69" s="353" t="s">
        <v>53</v>
      </c>
      <c r="G69" s="305" t="s">
        <v>54</v>
      </c>
      <c r="H69" s="294"/>
      <c r="I69" s="294"/>
      <c r="J69" s="294"/>
      <c r="K69" s="295"/>
      <c r="L69" s="293"/>
      <c r="M69" s="294"/>
      <c r="N69" s="294"/>
      <c r="O69" s="295"/>
      <c r="P69" s="293" t="str">
        <f>IF(ISERROR(P68*$CF$69/100),"",P68*$CF$69/100)</f>
        <v/>
      </c>
      <c r="Q69" s="294" t="str">
        <f>IF(ISERROR(Q68*$CF$69/100),"",Q68*$CF$69/100)</f>
        <v/>
      </c>
      <c r="R69" s="294" t="str">
        <f>IF(ISERROR(R68*$CF$69/100),"",R68*$CF$69/100)</f>
        <v/>
      </c>
      <c r="S69" s="295" t="str">
        <f t="shared" ref="S69:BW69" si="63">IF(ISERROR(S68*$CF$69/100),"",S68*$CF$69/100)</f>
        <v/>
      </c>
      <c r="T69" s="293" t="str">
        <f t="shared" si="63"/>
        <v/>
      </c>
      <c r="U69" s="294" t="str">
        <f t="shared" si="63"/>
        <v/>
      </c>
      <c r="V69" s="294" t="str">
        <f t="shared" si="63"/>
        <v/>
      </c>
      <c r="W69" s="295" t="str">
        <f t="shared" si="63"/>
        <v/>
      </c>
      <c r="X69" s="293" t="str">
        <f t="shared" si="63"/>
        <v/>
      </c>
      <c r="Y69" s="294" t="str">
        <f t="shared" si="63"/>
        <v/>
      </c>
      <c r="Z69" s="294" t="str">
        <f t="shared" si="63"/>
        <v/>
      </c>
      <c r="AA69" s="295" t="str">
        <f t="shared" si="63"/>
        <v/>
      </c>
      <c r="AB69" s="293" t="str">
        <f t="shared" si="63"/>
        <v/>
      </c>
      <c r="AC69" s="294" t="str">
        <f t="shared" si="63"/>
        <v/>
      </c>
      <c r="AD69" s="294" t="str">
        <f t="shared" si="63"/>
        <v/>
      </c>
      <c r="AE69" s="295" t="str">
        <f t="shared" si="63"/>
        <v/>
      </c>
      <c r="AF69" s="293" t="str">
        <f t="shared" si="63"/>
        <v/>
      </c>
      <c r="AG69" s="294" t="str">
        <f t="shared" si="63"/>
        <v/>
      </c>
      <c r="AH69" s="294" t="str">
        <f t="shared" si="63"/>
        <v/>
      </c>
      <c r="AI69" s="295" t="str">
        <f t="shared" si="63"/>
        <v/>
      </c>
      <c r="AJ69" s="293" t="str">
        <f t="shared" si="63"/>
        <v/>
      </c>
      <c r="AK69" s="294" t="str">
        <f t="shared" si="63"/>
        <v/>
      </c>
      <c r="AL69" s="294" t="str">
        <f t="shared" si="63"/>
        <v/>
      </c>
      <c r="AM69" s="295" t="str">
        <f t="shared" si="63"/>
        <v/>
      </c>
      <c r="AN69" s="293" t="str">
        <f t="shared" si="63"/>
        <v/>
      </c>
      <c r="AO69" s="294" t="str">
        <f t="shared" si="63"/>
        <v/>
      </c>
      <c r="AP69" s="294" t="str">
        <f t="shared" si="63"/>
        <v/>
      </c>
      <c r="AQ69" s="295" t="str">
        <f t="shared" si="63"/>
        <v/>
      </c>
      <c r="AR69" s="293" t="str">
        <f t="shared" si="63"/>
        <v/>
      </c>
      <c r="AS69" s="294" t="str">
        <f t="shared" si="63"/>
        <v/>
      </c>
      <c r="AT69" s="294" t="str">
        <f t="shared" si="63"/>
        <v/>
      </c>
      <c r="AU69" s="295" t="str">
        <f t="shared" si="63"/>
        <v/>
      </c>
      <c r="AV69" s="293" t="str">
        <f t="shared" si="63"/>
        <v/>
      </c>
      <c r="AW69" s="294" t="str">
        <f t="shared" si="63"/>
        <v/>
      </c>
      <c r="AX69" s="294" t="str">
        <f t="shared" si="63"/>
        <v/>
      </c>
      <c r="AY69" s="295" t="str">
        <f t="shared" si="63"/>
        <v/>
      </c>
      <c r="AZ69" s="293" t="str">
        <f t="shared" si="63"/>
        <v/>
      </c>
      <c r="BA69" s="294" t="str">
        <f t="shared" si="63"/>
        <v/>
      </c>
      <c r="BB69" s="294" t="str">
        <f t="shared" si="63"/>
        <v/>
      </c>
      <c r="BC69" s="295" t="str">
        <f t="shared" si="63"/>
        <v/>
      </c>
      <c r="BD69" s="293" t="str">
        <f t="shared" si="63"/>
        <v/>
      </c>
      <c r="BE69" s="294" t="str">
        <f t="shared" si="63"/>
        <v/>
      </c>
      <c r="BF69" s="294" t="str">
        <f t="shared" si="63"/>
        <v/>
      </c>
      <c r="BG69" s="295" t="str">
        <f t="shared" si="63"/>
        <v/>
      </c>
      <c r="BH69" s="293" t="str">
        <f t="shared" si="63"/>
        <v/>
      </c>
      <c r="BI69" s="294" t="str">
        <f t="shared" si="63"/>
        <v/>
      </c>
      <c r="BJ69" s="294" t="str">
        <f t="shared" si="63"/>
        <v/>
      </c>
      <c r="BK69" s="295" t="str">
        <f t="shared" si="63"/>
        <v/>
      </c>
      <c r="BL69" s="293" t="str">
        <f t="shared" si="63"/>
        <v/>
      </c>
      <c r="BM69" s="294" t="str">
        <f t="shared" si="63"/>
        <v/>
      </c>
      <c r="BN69" s="294" t="str">
        <f t="shared" si="63"/>
        <v/>
      </c>
      <c r="BO69" s="295" t="str">
        <f t="shared" si="63"/>
        <v/>
      </c>
      <c r="BP69" s="293" t="str">
        <f t="shared" si="63"/>
        <v/>
      </c>
      <c r="BQ69" s="294" t="str">
        <f t="shared" si="63"/>
        <v/>
      </c>
      <c r="BR69" s="294" t="str">
        <f t="shared" si="63"/>
        <v/>
      </c>
      <c r="BS69" s="295" t="str">
        <f t="shared" si="63"/>
        <v/>
      </c>
      <c r="BT69" s="293" t="str">
        <f t="shared" si="63"/>
        <v/>
      </c>
      <c r="BU69" s="294" t="str">
        <f t="shared" si="63"/>
        <v/>
      </c>
      <c r="BV69" s="294" t="str">
        <f t="shared" si="63"/>
        <v/>
      </c>
      <c r="BW69" s="295" t="str">
        <f t="shared" si="63"/>
        <v/>
      </c>
      <c r="BX69" s="293"/>
      <c r="BY69" s="294"/>
      <c r="BZ69" s="294"/>
      <c r="CA69" s="295"/>
      <c r="CB69" s="293"/>
      <c r="CC69" s="294"/>
      <c r="CD69" s="294"/>
      <c r="CE69" s="295"/>
      <c r="CF69" s="174">
        <f>+GRA!$H$7</f>
        <v>0</v>
      </c>
    </row>
    <row r="70" spans="1:84" s="288" customFormat="1" ht="45" hidden="1" customHeight="1">
      <c r="A70" s="153"/>
      <c r="B70" s="153"/>
      <c r="C70" s="153"/>
      <c r="D70" s="153"/>
      <c r="E70" s="287"/>
      <c r="F70" s="354"/>
      <c r="G70" s="292" t="s">
        <v>36</v>
      </c>
      <c r="H70" s="294"/>
      <c r="I70" s="294"/>
      <c r="J70" s="294"/>
      <c r="K70" s="295"/>
      <c r="L70" s="293"/>
      <c r="M70" s="294"/>
      <c r="N70" s="294"/>
      <c r="O70" s="295"/>
      <c r="P70" s="293" t="str">
        <f>IF(ISERROR(P69/(P5*0.25)),"",P69/(P5*0.25))</f>
        <v/>
      </c>
      <c r="Q70" s="294" t="str">
        <f>IF(ISERROR(Q69/(Q5*0.25)),"",Q69/(Q5*0.25))</f>
        <v/>
      </c>
      <c r="R70" s="296" t="str">
        <f>IF(ISERROR(R69/(R5*0.25)),"",R69/(R5*0.25))</f>
        <v/>
      </c>
      <c r="S70" s="297" t="str">
        <f t="shared" ref="S70:BW70" si="64">IF(ISERROR(S69/(S5*0.25)),"",S69/(S5*0.25))</f>
        <v/>
      </c>
      <c r="T70" s="298" t="str">
        <f t="shared" si="64"/>
        <v/>
      </c>
      <c r="U70" s="296" t="str">
        <f t="shared" si="64"/>
        <v/>
      </c>
      <c r="V70" s="296" t="str">
        <f t="shared" si="64"/>
        <v/>
      </c>
      <c r="W70" s="297" t="str">
        <f t="shared" si="64"/>
        <v/>
      </c>
      <c r="X70" s="298" t="str">
        <f t="shared" si="64"/>
        <v/>
      </c>
      <c r="Y70" s="296" t="str">
        <f t="shared" si="64"/>
        <v/>
      </c>
      <c r="Z70" s="296" t="str">
        <f t="shared" si="64"/>
        <v/>
      </c>
      <c r="AA70" s="297" t="str">
        <f t="shared" si="64"/>
        <v/>
      </c>
      <c r="AB70" s="298" t="str">
        <f t="shared" si="64"/>
        <v/>
      </c>
      <c r="AC70" s="296" t="str">
        <f t="shared" si="64"/>
        <v/>
      </c>
      <c r="AD70" s="296" t="str">
        <f t="shared" si="64"/>
        <v/>
      </c>
      <c r="AE70" s="297" t="str">
        <f t="shared" si="64"/>
        <v/>
      </c>
      <c r="AF70" s="298" t="str">
        <f t="shared" si="64"/>
        <v/>
      </c>
      <c r="AG70" s="296" t="str">
        <f t="shared" si="64"/>
        <v/>
      </c>
      <c r="AH70" s="296" t="str">
        <f t="shared" si="64"/>
        <v/>
      </c>
      <c r="AI70" s="297" t="str">
        <f t="shared" si="64"/>
        <v/>
      </c>
      <c r="AJ70" s="298" t="str">
        <f t="shared" si="64"/>
        <v/>
      </c>
      <c r="AK70" s="296" t="str">
        <f t="shared" si="64"/>
        <v/>
      </c>
      <c r="AL70" s="296" t="str">
        <f t="shared" si="64"/>
        <v/>
      </c>
      <c r="AM70" s="297" t="str">
        <f t="shared" si="64"/>
        <v/>
      </c>
      <c r="AN70" s="298" t="str">
        <f t="shared" si="64"/>
        <v/>
      </c>
      <c r="AO70" s="296" t="str">
        <f t="shared" si="64"/>
        <v/>
      </c>
      <c r="AP70" s="296" t="str">
        <f t="shared" si="64"/>
        <v/>
      </c>
      <c r="AQ70" s="297" t="str">
        <f t="shared" si="64"/>
        <v/>
      </c>
      <c r="AR70" s="298" t="str">
        <f t="shared" si="64"/>
        <v/>
      </c>
      <c r="AS70" s="296" t="str">
        <f t="shared" si="64"/>
        <v/>
      </c>
      <c r="AT70" s="296" t="str">
        <f t="shared" si="64"/>
        <v/>
      </c>
      <c r="AU70" s="297" t="str">
        <f t="shared" si="64"/>
        <v/>
      </c>
      <c r="AV70" s="298" t="str">
        <f t="shared" si="64"/>
        <v/>
      </c>
      <c r="AW70" s="296" t="str">
        <f t="shared" si="64"/>
        <v/>
      </c>
      <c r="AX70" s="296" t="str">
        <f t="shared" si="64"/>
        <v/>
      </c>
      <c r="AY70" s="297" t="str">
        <f t="shared" si="64"/>
        <v/>
      </c>
      <c r="AZ70" s="298" t="str">
        <f t="shared" si="64"/>
        <v/>
      </c>
      <c r="BA70" s="296" t="str">
        <f t="shared" si="64"/>
        <v/>
      </c>
      <c r="BB70" s="296" t="str">
        <f t="shared" si="64"/>
        <v/>
      </c>
      <c r="BC70" s="297" t="str">
        <f t="shared" si="64"/>
        <v/>
      </c>
      <c r="BD70" s="298" t="str">
        <f t="shared" si="64"/>
        <v/>
      </c>
      <c r="BE70" s="296" t="str">
        <f t="shared" si="64"/>
        <v/>
      </c>
      <c r="BF70" s="296" t="str">
        <f t="shared" si="64"/>
        <v/>
      </c>
      <c r="BG70" s="297" t="str">
        <f t="shared" si="64"/>
        <v/>
      </c>
      <c r="BH70" s="298" t="str">
        <f t="shared" si="64"/>
        <v/>
      </c>
      <c r="BI70" s="296" t="str">
        <f t="shared" si="64"/>
        <v/>
      </c>
      <c r="BJ70" s="296" t="str">
        <f t="shared" si="64"/>
        <v/>
      </c>
      <c r="BK70" s="297" t="str">
        <f t="shared" si="64"/>
        <v/>
      </c>
      <c r="BL70" s="298" t="str">
        <f t="shared" si="64"/>
        <v/>
      </c>
      <c r="BM70" s="296" t="str">
        <f t="shared" si="64"/>
        <v/>
      </c>
      <c r="BN70" s="296" t="str">
        <f t="shared" si="64"/>
        <v/>
      </c>
      <c r="BO70" s="297" t="str">
        <f t="shared" si="64"/>
        <v/>
      </c>
      <c r="BP70" s="298" t="str">
        <f t="shared" si="64"/>
        <v/>
      </c>
      <c r="BQ70" s="296" t="str">
        <f t="shared" si="64"/>
        <v/>
      </c>
      <c r="BR70" s="296" t="str">
        <f t="shared" si="64"/>
        <v/>
      </c>
      <c r="BS70" s="297" t="str">
        <f t="shared" si="64"/>
        <v/>
      </c>
      <c r="BT70" s="299" t="str">
        <f t="shared" si="64"/>
        <v/>
      </c>
      <c r="BU70" s="300" t="str">
        <f t="shared" si="64"/>
        <v/>
      </c>
      <c r="BV70" s="300" t="str">
        <f t="shared" si="64"/>
        <v/>
      </c>
      <c r="BW70" s="301" t="str">
        <f t="shared" si="64"/>
        <v/>
      </c>
      <c r="BX70" s="299"/>
      <c r="BY70" s="300"/>
      <c r="BZ70" s="300"/>
      <c r="CA70" s="301"/>
      <c r="CB70" s="299"/>
      <c r="CC70" s="300"/>
      <c r="CD70" s="300"/>
      <c r="CE70" s="301"/>
    </row>
    <row r="71" spans="1:84" ht="20.100000000000001" customHeight="1">
      <c r="F71" s="152"/>
      <c r="G71" s="151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</row>
    <row r="72" spans="1:84" ht="20.100000000000001" customHeight="1">
      <c r="F72" s="152"/>
      <c r="G72" s="151"/>
    </row>
    <row r="73" spans="1:84" ht="20.100000000000001" customHeight="1">
      <c r="F73" s="152"/>
      <c r="G73" s="151"/>
    </row>
    <row r="74" spans="1:84" ht="20.100000000000001" customHeight="1">
      <c r="F74" s="152"/>
      <c r="G74" s="151"/>
    </row>
    <row r="75" spans="1:84" ht="20.100000000000001" customHeight="1">
      <c r="F75" s="152"/>
      <c r="G75" s="151"/>
    </row>
    <row r="76" spans="1:84" ht="20.100000000000001" customHeight="1">
      <c r="F76" s="152"/>
      <c r="G76" s="151"/>
    </row>
    <row r="77" spans="1:84" ht="20.100000000000001" customHeight="1">
      <c r="F77" s="152"/>
      <c r="G77" s="151"/>
    </row>
    <row r="78" spans="1:84" ht="20.100000000000001" customHeight="1">
      <c r="F78" s="152"/>
      <c r="G78" s="151"/>
    </row>
    <row r="79" spans="1:84" ht="20.100000000000001" customHeight="1">
      <c r="F79" s="152"/>
      <c r="G79" s="151"/>
    </row>
    <row r="80" spans="1:84" ht="20.100000000000001" customHeight="1">
      <c r="F80" s="152"/>
      <c r="G80" s="151"/>
    </row>
    <row r="81" spans="6:7" ht="20.100000000000001" customHeight="1">
      <c r="F81" s="152"/>
      <c r="G81" s="151"/>
    </row>
    <row r="82" spans="6:7" ht="20.100000000000001" customHeight="1">
      <c r="F82" s="152"/>
      <c r="G82" s="151"/>
    </row>
    <row r="83" spans="6:7" ht="20.100000000000001" customHeight="1">
      <c r="F83" s="152"/>
      <c r="G83" s="151"/>
    </row>
    <row r="84" spans="6:7" ht="20.100000000000001" customHeight="1">
      <c r="F84" s="152"/>
      <c r="G84" s="151"/>
    </row>
    <row r="85" spans="6:7" ht="20.100000000000001" customHeight="1">
      <c r="F85" s="152"/>
      <c r="G85" s="151"/>
    </row>
    <row r="86" spans="6:7" ht="20.100000000000001" customHeight="1">
      <c r="F86" s="152"/>
      <c r="G86" s="151"/>
    </row>
    <row r="87" spans="6:7" ht="20.100000000000001" customHeight="1">
      <c r="F87" s="152"/>
      <c r="G87" s="151"/>
    </row>
    <row r="88" spans="6:7" ht="20.100000000000001" customHeight="1">
      <c r="F88" s="152"/>
      <c r="G88" s="151"/>
    </row>
    <row r="89" spans="6:7" ht="20.100000000000001" customHeight="1">
      <c r="F89" s="152"/>
      <c r="G89" s="151"/>
    </row>
    <row r="90" spans="6:7" ht="20.100000000000001" customHeight="1">
      <c r="F90" s="152"/>
      <c r="G90" s="151"/>
    </row>
    <row r="91" spans="6:7" ht="20.100000000000001" customHeight="1">
      <c r="F91" s="152"/>
      <c r="G91" s="151"/>
    </row>
    <row r="92" spans="6:7" ht="20.100000000000001" customHeight="1">
      <c r="F92" s="152"/>
      <c r="G92" s="151"/>
    </row>
    <row r="93" spans="6:7" ht="20.100000000000001" customHeight="1">
      <c r="F93" s="152"/>
      <c r="G93" s="151"/>
    </row>
    <row r="94" spans="6:7" ht="20.100000000000001" customHeight="1">
      <c r="F94" s="152"/>
      <c r="G94" s="151"/>
    </row>
    <row r="95" spans="6:7" ht="20.100000000000001" customHeight="1">
      <c r="F95" s="152"/>
      <c r="G95" s="151"/>
    </row>
    <row r="96" spans="6:7" ht="20.100000000000001" customHeight="1">
      <c r="F96" s="152"/>
      <c r="G96" s="151"/>
    </row>
    <row r="97" spans="6:7" ht="20.100000000000001" customHeight="1">
      <c r="F97" s="152"/>
      <c r="G97" s="151"/>
    </row>
    <row r="98" spans="6:7" ht="20.100000000000001" customHeight="1">
      <c r="F98" s="152"/>
      <c r="G98" s="151"/>
    </row>
    <row r="99" spans="6:7" ht="20.100000000000001" customHeight="1">
      <c r="F99" s="152"/>
      <c r="G99" s="151"/>
    </row>
    <row r="100" spans="6:7" ht="20.100000000000001" customHeight="1">
      <c r="F100" s="152"/>
      <c r="G100" s="151"/>
    </row>
    <row r="101" spans="6:7" ht="20.100000000000001" customHeight="1">
      <c r="F101" s="152"/>
      <c r="G101" s="151"/>
    </row>
    <row r="102" spans="6:7" ht="20.100000000000001" customHeight="1">
      <c r="F102" s="152"/>
      <c r="G102" s="151"/>
    </row>
    <row r="103" spans="6:7" ht="20.100000000000001" customHeight="1">
      <c r="F103" s="152"/>
      <c r="G103" s="151"/>
    </row>
    <row r="104" spans="6:7" ht="20.100000000000001" customHeight="1">
      <c r="F104" s="152"/>
      <c r="G104" s="151"/>
    </row>
    <row r="105" spans="6:7" ht="20.100000000000001" customHeight="1">
      <c r="F105" s="152"/>
      <c r="G105" s="151"/>
    </row>
    <row r="106" spans="6:7" ht="20.100000000000001" customHeight="1">
      <c r="F106" s="152"/>
      <c r="G106" s="151"/>
    </row>
    <row r="107" spans="6:7" ht="20.100000000000001" customHeight="1">
      <c r="F107" s="152"/>
      <c r="G107" s="151"/>
    </row>
    <row r="108" spans="6:7" ht="20.100000000000001" customHeight="1">
      <c r="F108" s="152"/>
      <c r="G108" s="151"/>
    </row>
    <row r="109" spans="6:7" ht="20.100000000000001" customHeight="1">
      <c r="F109" s="152"/>
      <c r="G109" s="151"/>
    </row>
    <row r="110" spans="6:7" ht="20.100000000000001" customHeight="1">
      <c r="F110" s="152"/>
      <c r="G110" s="151"/>
    </row>
    <row r="111" spans="6:7" ht="20.100000000000001" customHeight="1">
      <c r="F111" s="152"/>
      <c r="G111" s="151"/>
    </row>
    <row r="112" spans="6:7" ht="20.100000000000001" customHeight="1">
      <c r="F112" s="152"/>
      <c r="G112" s="151"/>
    </row>
    <row r="113" spans="6:7" ht="20.100000000000001" customHeight="1">
      <c r="F113" s="152"/>
      <c r="G113" s="151"/>
    </row>
    <row r="114" spans="6:7" ht="20.100000000000001" customHeight="1">
      <c r="F114" s="152"/>
      <c r="G114" s="151"/>
    </row>
    <row r="115" spans="6:7" ht="20.100000000000001" customHeight="1">
      <c r="F115" s="152"/>
      <c r="G115" s="151"/>
    </row>
    <row r="116" spans="6:7" ht="20.100000000000001" customHeight="1">
      <c r="F116" s="152"/>
      <c r="G116" s="151"/>
    </row>
    <row r="117" spans="6:7" ht="20.100000000000001" customHeight="1">
      <c r="F117" s="152"/>
      <c r="G117" s="151"/>
    </row>
    <row r="118" spans="6:7" ht="20.100000000000001" customHeight="1">
      <c r="F118" s="152"/>
      <c r="G118" s="151"/>
    </row>
    <row r="119" spans="6:7" ht="20.100000000000001" customHeight="1">
      <c r="F119" s="152"/>
      <c r="G119" s="151"/>
    </row>
    <row r="120" spans="6:7" ht="20.100000000000001" customHeight="1">
      <c r="F120" s="152"/>
      <c r="G120" s="151"/>
    </row>
    <row r="121" spans="6:7" ht="20.100000000000001" customHeight="1">
      <c r="F121" s="152"/>
      <c r="G121" s="151"/>
    </row>
    <row r="122" spans="6:7" ht="20.100000000000001" customHeight="1">
      <c r="F122" s="152"/>
      <c r="G122" s="151"/>
    </row>
    <row r="123" spans="6:7" ht="20.100000000000001" customHeight="1">
      <c r="F123" s="152"/>
      <c r="G123" s="151"/>
    </row>
    <row r="124" spans="6:7" ht="20.100000000000001" customHeight="1">
      <c r="F124" s="152"/>
      <c r="G124" s="151"/>
    </row>
    <row r="125" spans="6:7" ht="20.100000000000001" customHeight="1">
      <c r="F125" s="152"/>
      <c r="G125" s="151"/>
    </row>
    <row r="126" spans="6:7" ht="20.100000000000001" customHeight="1">
      <c r="F126" s="152"/>
      <c r="G126" s="151"/>
    </row>
    <row r="127" spans="6:7" ht="20.100000000000001" customHeight="1">
      <c r="F127" s="152"/>
      <c r="G127" s="151"/>
    </row>
    <row r="128" spans="6:7" ht="20.100000000000001" customHeight="1">
      <c r="F128" s="152"/>
      <c r="G128" s="151"/>
    </row>
    <row r="129" spans="6:7" ht="20.100000000000001" customHeight="1">
      <c r="F129" s="152"/>
      <c r="G129" s="151"/>
    </row>
    <row r="130" spans="6:7" ht="20.100000000000001" customHeight="1">
      <c r="F130" s="152"/>
      <c r="G130" s="151"/>
    </row>
    <row r="131" spans="6:7" ht="20.100000000000001" customHeight="1">
      <c r="F131" s="152"/>
      <c r="G131" s="151"/>
    </row>
    <row r="132" spans="6:7" ht="20.100000000000001" customHeight="1">
      <c r="F132" s="152"/>
      <c r="G132" s="151"/>
    </row>
  </sheetData>
  <sheetProtection algorithmName="SHA-512" hashValue="jSfSr3jIb7WcvS4QM+HlklM70C2x1g4Xp+6dRhskLlw1TTbCbehVmQcWrk2At7KvJQn/KzZ+i/ipt7fDOxwEOA==" saltValue="Xpx5V6rQzfdTn1Ze2fL4Tg==" spinCount="100000" sheet="1" objects="1" scenarios="1"/>
  <autoFilter ref="F5:G54" xr:uid="{00000000-0009-0000-0000-000007000000}"/>
  <mergeCells count="2">
    <mergeCell ref="F69:F70"/>
    <mergeCell ref="F67:F68"/>
  </mergeCells>
  <phoneticPr fontId="0" type="noConversion"/>
  <conditionalFormatting sqref="H5:CE5 H46:CE54">
    <cfRule type="cellIs" dxfId="1" priority="1" stopIfTrue="1" operator="equal">
      <formula>0</formula>
    </cfRule>
  </conditionalFormatting>
  <printOptions horizontalCentered="1"/>
  <pageMargins left="0.31496062992125984" right="0.31496062992125984" top="0.55118110236220474" bottom="0.55118110236220474" header="0.31496062992125984" footer="0.31496062992125984"/>
  <pageSetup paperSize="9" scale="61" orientation="landscape" horizontalDpi="200" verticalDpi="200" r:id="rId1"/>
  <headerFooter>
    <oddFooter>&amp;L&amp;D - &amp;T&amp;R&amp;F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>
    <pageSetUpPr fitToPage="1"/>
  </sheetPr>
  <dimension ref="A1:CI132"/>
  <sheetViews>
    <sheetView zoomScaleNormal="100" workbookViewId="0">
      <pane xSplit="7" ySplit="5" topLeftCell="H12" activePane="bottomRight" state="frozen"/>
      <selection activeCell="H15" sqref="H15"/>
      <selection pane="topRight" activeCell="H15" sqref="H15"/>
      <selection pane="bottomLeft" activeCell="H15" sqref="H15"/>
      <selection pane="bottomRight" activeCell="L7" sqref="L7"/>
    </sheetView>
  </sheetViews>
  <sheetFormatPr defaultColWidth="9.140625" defaultRowHeight="20.100000000000001" customHeight="1"/>
  <cols>
    <col min="1" max="1" width="6.42578125" style="11" hidden="1" customWidth="1"/>
    <col min="2" max="4" width="7.5703125" style="11" hidden="1" customWidth="1"/>
    <col min="5" max="5" width="1" style="11" customWidth="1"/>
    <col min="6" max="6" width="5" style="12" bestFit="1" customWidth="1"/>
    <col min="7" max="7" width="21.7109375" style="12" customWidth="1"/>
    <col min="8" max="83" width="2.7109375" style="12" customWidth="1"/>
    <col min="84" max="84" width="3" style="12" bestFit="1" customWidth="1"/>
    <col min="85" max="16384" width="9.140625" style="12"/>
  </cols>
  <sheetData>
    <row r="1" spans="1:87" ht="3.75" customHeight="1"/>
    <row r="2" spans="1:87" s="44" customFormat="1" ht="23.25" customHeight="1">
      <c r="A2" s="43"/>
      <c r="B2" s="43"/>
      <c r="C2" s="148"/>
      <c r="D2" s="43"/>
      <c r="E2" s="43"/>
      <c r="F2" s="30" t="str">
        <f>+TABELLA!E4&amp;" - "&amp;"SABATO"</f>
        <v xml:space="preserve"> - SABATO</v>
      </c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2" t="str">
        <f>+TABELLA!E5&amp;" "&amp;TABELLA!G5&amp;"-"&amp;TABELLA!B7</f>
        <v>REPARTO -Settimana n° 47</v>
      </c>
    </row>
    <row r="3" spans="1:87" s="23" customFormat="1" ht="36" customHeight="1">
      <c r="G3" s="24">
        <v>5</v>
      </c>
      <c r="H3" s="33">
        <f>G3+0.15</f>
        <v>5.15</v>
      </c>
      <c r="I3" s="33">
        <f>H3+0.15</f>
        <v>5.3000000000000007</v>
      </c>
      <c r="J3" s="33">
        <f>I3+0.15</f>
        <v>5.4500000000000011</v>
      </c>
      <c r="K3" s="25">
        <f>G3+1</f>
        <v>6</v>
      </c>
      <c r="L3" s="33">
        <f>K3+0.15</f>
        <v>6.15</v>
      </c>
      <c r="M3" s="33">
        <f>L3+0.15</f>
        <v>6.3000000000000007</v>
      </c>
      <c r="N3" s="33">
        <f>M3+0.15</f>
        <v>6.4500000000000011</v>
      </c>
      <c r="O3" s="25">
        <f>K3+1</f>
        <v>7</v>
      </c>
      <c r="P3" s="33">
        <f>O3+0.15</f>
        <v>7.15</v>
      </c>
      <c r="Q3" s="33">
        <f>P3+0.15</f>
        <v>7.3000000000000007</v>
      </c>
      <c r="R3" s="33">
        <f>Q3+0.15</f>
        <v>7.4500000000000011</v>
      </c>
      <c r="S3" s="25">
        <f>O3+1</f>
        <v>8</v>
      </c>
      <c r="T3" s="33">
        <f>S3+0.15</f>
        <v>8.15</v>
      </c>
      <c r="U3" s="33">
        <f>T3+0.15</f>
        <v>8.3000000000000007</v>
      </c>
      <c r="V3" s="33">
        <f>U3+0.15</f>
        <v>8.4500000000000011</v>
      </c>
      <c r="W3" s="25">
        <f>S3+1</f>
        <v>9</v>
      </c>
      <c r="X3" s="33">
        <f>W3+0.15</f>
        <v>9.15</v>
      </c>
      <c r="Y3" s="33">
        <f>X3+0.15</f>
        <v>9.3000000000000007</v>
      </c>
      <c r="Z3" s="33">
        <f>Y3+0.15</f>
        <v>9.4500000000000011</v>
      </c>
      <c r="AA3" s="25">
        <f>W3+1</f>
        <v>10</v>
      </c>
      <c r="AB3" s="33">
        <f>AA3+0.15</f>
        <v>10.15</v>
      </c>
      <c r="AC3" s="33">
        <f>AB3+0.15</f>
        <v>10.3</v>
      </c>
      <c r="AD3" s="33">
        <f>AC3+0.15</f>
        <v>10.450000000000001</v>
      </c>
      <c r="AE3" s="25">
        <f>AA3+1</f>
        <v>11</v>
      </c>
      <c r="AF3" s="33">
        <f>AE3+0.15</f>
        <v>11.15</v>
      </c>
      <c r="AG3" s="33">
        <f>AF3+0.15</f>
        <v>11.3</v>
      </c>
      <c r="AH3" s="33">
        <f>AG3+0.15</f>
        <v>11.450000000000001</v>
      </c>
      <c r="AI3" s="25">
        <f>AE3+1</f>
        <v>12</v>
      </c>
      <c r="AJ3" s="33">
        <f>AI3+0.15</f>
        <v>12.15</v>
      </c>
      <c r="AK3" s="33">
        <f>AJ3+0.15</f>
        <v>12.3</v>
      </c>
      <c r="AL3" s="33">
        <f>AK3+0.15</f>
        <v>12.450000000000001</v>
      </c>
      <c r="AM3" s="25">
        <f>AI3+1</f>
        <v>13</v>
      </c>
      <c r="AN3" s="33">
        <f>AM3+0.15</f>
        <v>13.15</v>
      </c>
      <c r="AO3" s="33">
        <f>AN3+0.15</f>
        <v>13.3</v>
      </c>
      <c r="AP3" s="33">
        <f>AO3+0.15</f>
        <v>13.450000000000001</v>
      </c>
      <c r="AQ3" s="25">
        <f>AM3+1</f>
        <v>14</v>
      </c>
      <c r="AR3" s="33">
        <f>AQ3+0.15</f>
        <v>14.15</v>
      </c>
      <c r="AS3" s="33">
        <f>AR3+0.15</f>
        <v>14.3</v>
      </c>
      <c r="AT3" s="33">
        <f>AS3+0.15</f>
        <v>14.450000000000001</v>
      </c>
      <c r="AU3" s="25">
        <f>AQ3+1</f>
        <v>15</v>
      </c>
      <c r="AV3" s="33">
        <f>AU3+0.15</f>
        <v>15.15</v>
      </c>
      <c r="AW3" s="33">
        <f>AV3+0.15</f>
        <v>15.3</v>
      </c>
      <c r="AX3" s="33">
        <f>AW3+0.15</f>
        <v>15.450000000000001</v>
      </c>
      <c r="AY3" s="25">
        <f>AU3+1</f>
        <v>16</v>
      </c>
      <c r="AZ3" s="33">
        <f>AY3+0.15</f>
        <v>16.149999999999999</v>
      </c>
      <c r="BA3" s="33">
        <f>AZ3+0.15</f>
        <v>16.299999999999997</v>
      </c>
      <c r="BB3" s="33">
        <f>BA3+0.15</f>
        <v>16.449999999999996</v>
      </c>
      <c r="BC3" s="25">
        <f>AY3+1</f>
        <v>17</v>
      </c>
      <c r="BD3" s="33">
        <f>BC3+0.15</f>
        <v>17.149999999999999</v>
      </c>
      <c r="BE3" s="33">
        <f>BD3+0.15</f>
        <v>17.299999999999997</v>
      </c>
      <c r="BF3" s="33">
        <f>BE3+0.15</f>
        <v>17.449999999999996</v>
      </c>
      <c r="BG3" s="25">
        <f>BC3+1</f>
        <v>18</v>
      </c>
      <c r="BH3" s="33">
        <f>BG3+0.15</f>
        <v>18.149999999999999</v>
      </c>
      <c r="BI3" s="33">
        <f>BH3+0.15</f>
        <v>18.299999999999997</v>
      </c>
      <c r="BJ3" s="33">
        <f>BI3+0.15</f>
        <v>18.449999999999996</v>
      </c>
      <c r="BK3" s="25">
        <f>BG3+1</f>
        <v>19</v>
      </c>
      <c r="BL3" s="33">
        <f>BK3+0.15</f>
        <v>19.149999999999999</v>
      </c>
      <c r="BM3" s="33">
        <f>BL3+0.15</f>
        <v>19.299999999999997</v>
      </c>
      <c r="BN3" s="33">
        <f>BM3+0.15</f>
        <v>19.449999999999996</v>
      </c>
      <c r="BO3" s="25">
        <f>BK3+1</f>
        <v>20</v>
      </c>
      <c r="BP3" s="33">
        <f>BO3+0.15</f>
        <v>20.149999999999999</v>
      </c>
      <c r="BQ3" s="33">
        <f>BP3+0.15</f>
        <v>20.299999999999997</v>
      </c>
      <c r="BR3" s="33">
        <f>BQ3+0.15</f>
        <v>20.449999999999996</v>
      </c>
      <c r="BS3" s="25">
        <f>BO3+1</f>
        <v>21</v>
      </c>
      <c r="BT3" s="33">
        <f>BS3+0.15</f>
        <v>21.15</v>
      </c>
      <c r="BU3" s="33">
        <f>BT3+0.15</f>
        <v>21.299999999999997</v>
      </c>
      <c r="BV3" s="33">
        <f>BU3+0.15</f>
        <v>21.449999999999996</v>
      </c>
      <c r="BW3" s="25">
        <f>BS3+1</f>
        <v>22</v>
      </c>
      <c r="BX3" s="33">
        <f>BW3+0.15</f>
        <v>22.15</v>
      </c>
      <c r="BY3" s="33">
        <f>BX3+0.15</f>
        <v>22.299999999999997</v>
      </c>
      <c r="BZ3" s="33">
        <f>BY3+0.15</f>
        <v>22.449999999999996</v>
      </c>
      <c r="CA3" s="25">
        <f>BW3+1</f>
        <v>23</v>
      </c>
      <c r="CB3" s="33">
        <f>CA3+0.15</f>
        <v>23.15</v>
      </c>
      <c r="CC3" s="33">
        <f>CB3+0.15</f>
        <v>23.299999999999997</v>
      </c>
      <c r="CD3" s="33">
        <f>CC3+0.15</f>
        <v>23.449999999999996</v>
      </c>
      <c r="CE3" s="25">
        <f>CA3+1</f>
        <v>24</v>
      </c>
      <c r="CF3" s="34"/>
      <c r="CG3" s="34"/>
      <c r="CH3" s="34"/>
      <c r="CI3" s="34"/>
    </row>
    <row r="4" spans="1:87" ht="4.5" customHeight="1">
      <c r="H4" s="14"/>
      <c r="I4" s="15"/>
      <c r="J4" s="15"/>
      <c r="K4" s="15"/>
      <c r="L4" s="14"/>
      <c r="M4" s="15"/>
      <c r="N4" s="15"/>
      <c r="O4" s="15"/>
      <c r="P4" s="14"/>
      <c r="Q4" s="15"/>
      <c r="R4" s="15"/>
      <c r="S4" s="15"/>
      <c r="T4" s="14"/>
      <c r="U4" s="15"/>
      <c r="V4" s="15"/>
      <c r="W4" s="15"/>
      <c r="X4" s="14"/>
      <c r="Y4" s="15"/>
      <c r="Z4" s="15"/>
      <c r="AA4" s="15"/>
      <c r="AB4" s="14"/>
      <c r="AC4" s="15"/>
      <c r="AD4" s="15"/>
      <c r="AE4" s="15"/>
      <c r="AF4" s="14"/>
      <c r="AG4" s="15"/>
      <c r="AH4" s="15"/>
      <c r="AI4" s="15"/>
      <c r="AJ4" s="14"/>
      <c r="AK4" s="15"/>
      <c r="AL4" s="15"/>
      <c r="AM4" s="15"/>
      <c r="AN4" s="14"/>
      <c r="AO4" s="15"/>
      <c r="AP4" s="15"/>
      <c r="AQ4" s="15"/>
      <c r="AR4" s="14"/>
      <c r="AS4" s="15"/>
      <c r="AT4" s="15"/>
      <c r="AU4" s="15"/>
      <c r="AV4" s="14"/>
      <c r="AW4" s="15"/>
      <c r="AX4" s="15"/>
      <c r="AY4" s="15"/>
      <c r="AZ4" s="14"/>
      <c r="BA4" s="15"/>
      <c r="BB4" s="15"/>
      <c r="BC4" s="15"/>
      <c r="BD4" s="14"/>
      <c r="BE4" s="15"/>
      <c r="BF4" s="15"/>
      <c r="BG4" s="15"/>
      <c r="BH4" s="14"/>
      <c r="BI4" s="15"/>
      <c r="BJ4" s="15"/>
      <c r="BK4" s="15"/>
      <c r="BL4" s="14"/>
      <c r="BM4" s="15"/>
      <c r="BN4" s="15"/>
      <c r="BO4" s="15"/>
      <c r="BP4" s="14"/>
      <c r="BQ4" s="15"/>
      <c r="BR4" s="15"/>
      <c r="BS4" s="15"/>
      <c r="BT4" s="14"/>
      <c r="BU4" s="15"/>
      <c r="BV4" s="15"/>
      <c r="BW4" s="15"/>
      <c r="BX4" s="15"/>
      <c r="BY4" s="15"/>
      <c r="BZ4" s="15"/>
      <c r="CA4" s="15"/>
      <c r="CB4" s="14"/>
      <c r="CC4" s="15"/>
      <c r="CD4" s="15"/>
      <c r="CE4" s="15"/>
      <c r="CF4" s="13"/>
      <c r="CG4" s="13"/>
      <c r="CH4" s="13"/>
      <c r="CI4" s="13"/>
    </row>
    <row r="5" spans="1:87" s="29" customFormat="1" ht="49.5" customHeight="1">
      <c r="A5" s="35" t="s">
        <v>0</v>
      </c>
      <c r="B5" s="35" t="s">
        <v>1</v>
      </c>
      <c r="C5" s="35" t="s">
        <v>0</v>
      </c>
      <c r="D5" s="35" t="s">
        <v>1</v>
      </c>
      <c r="E5" s="35"/>
      <c r="F5" s="36" t="str">
        <f>+TABELLA!B8</f>
        <v>REP.</v>
      </c>
      <c r="G5" s="36" t="str">
        <f>+TABELLA!C8</f>
        <v>NOMINATIVO</v>
      </c>
      <c r="H5" s="37">
        <f>SUM(H6:H45)</f>
        <v>0</v>
      </c>
      <c r="I5" s="38">
        <f t="shared" ref="I5:BT5" si="0">SUM(I6:I45)</f>
        <v>0</v>
      </c>
      <c r="J5" s="38">
        <f t="shared" si="0"/>
        <v>0</v>
      </c>
      <c r="K5" s="39">
        <f t="shared" si="0"/>
        <v>0</v>
      </c>
      <c r="L5" s="37">
        <f t="shared" si="0"/>
        <v>0</v>
      </c>
      <c r="M5" s="38">
        <f t="shared" si="0"/>
        <v>0</v>
      </c>
      <c r="N5" s="38">
        <f t="shared" si="0"/>
        <v>0</v>
      </c>
      <c r="O5" s="39">
        <f t="shared" si="0"/>
        <v>0</v>
      </c>
      <c r="P5" s="37">
        <f t="shared" si="0"/>
        <v>0</v>
      </c>
      <c r="Q5" s="38">
        <f t="shared" si="0"/>
        <v>0</v>
      </c>
      <c r="R5" s="38">
        <f t="shared" si="0"/>
        <v>0</v>
      </c>
      <c r="S5" s="39">
        <f t="shared" si="0"/>
        <v>0</v>
      </c>
      <c r="T5" s="37">
        <f>SUM(T6:T45)</f>
        <v>2</v>
      </c>
      <c r="U5" s="38">
        <f t="shared" si="0"/>
        <v>2</v>
      </c>
      <c r="V5" s="38">
        <f t="shared" si="0"/>
        <v>2</v>
      </c>
      <c r="W5" s="39">
        <f t="shared" si="0"/>
        <v>2</v>
      </c>
      <c r="X5" s="37">
        <f t="shared" si="0"/>
        <v>2</v>
      </c>
      <c r="Y5" s="38">
        <f t="shared" si="0"/>
        <v>2</v>
      </c>
      <c r="Z5" s="38">
        <f t="shared" si="0"/>
        <v>2</v>
      </c>
      <c r="AA5" s="39">
        <f t="shared" si="0"/>
        <v>3</v>
      </c>
      <c r="AB5" s="37">
        <f t="shared" si="0"/>
        <v>3</v>
      </c>
      <c r="AC5" s="38">
        <f t="shared" si="0"/>
        <v>4</v>
      </c>
      <c r="AD5" s="38">
        <f t="shared" si="0"/>
        <v>4</v>
      </c>
      <c r="AE5" s="39">
        <f t="shared" si="0"/>
        <v>4</v>
      </c>
      <c r="AF5" s="37">
        <f t="shared" si="0"/>
        <v>4</v>
      </c>
      <c r="AG5" s="38">
        <f t="shared" si="0"/>
        <v>4</v>
      </c>
      <c r="AH5" s="38">
        <f t="shared" si="0"/>
        <v>4</v>
      </c>
      <c r="AI5" s="39">
        <f t="shared" si="0"/>
        <v>4</v>
      </c>
      <c r="AJ5" s="37">
        <f t="shared" si="0"/>
        <v>5</v>
      </c>
      <c r="AK5" s="38">
        <f t="shared" si="0"/>
        <v>5</v>
      </c>
      <c r="AL5" s="38">
        <f t="shared" si="0"/>
        <v>5</v>
      </c>
      <c r="AM5" s="39">
        <f t="shared" si="0"/>
        <v>5</v>
      </c>
      <c r="AN5" s="37">
        <f t="shared" si="0"/>
        <v>4</v>
      </c>
      <c r="AO5" s="38">
        <f t="shared" si="0"/>
        <v>3</v>
      </c>
      <c r="AP5" s="38">
        <f t="shared" si="0"/>
        <v>3</v>
      </c>
      <c r="AQ5" s="39">
        <f t="shared" si="0"/>
        <v>3</v>
      </c>
      <c r="AR5" s="37">
        <f t="shared" si="0"/>
        <v>2</v>
      </c>
      <c r="AS5" s="38">
        <f t="shared" si="0"/>
        <v>2</v>
      </c>
      <c r="AT5" s="38">
        <f t="shared" si="0"/>
        <v>3</v>
      </c>
      <c r="AU5" s="39">
        <f t="shared" si="0"/>
        <v>2</v>
      </c>
      <c r="AV5" s="37">
        <f t="shared" si="0"/>
        <v>2</v>
      </c>
      <c r="AW5" s="38">
        <f t="shared" si="0"/>
        <v>2</v>
      </c>
      <c r="AX5" s="38">
        <f t="shared" si="0"/>
        <v>2</v>
      </c>
      <c r="AY5" s="39">
        <f t="shared" si="0"/>
        <v>2</v>
      </c>
      <c r="AZ5" s="37">
        <f t="shared" si="0"/>
        <v>3</v>
      </c>
      <c r="BA5" s="38">
        <f t="shared" si="0"/>
        <v>2</v>
      </c>
      <c r="BB5" s="38">
        <f t="shared" si="0"/>
        <v>3</v>
      </c>
      <c r="BC5" s="39">
        <f t="shared" si="0"/>
        <v>3</v>
      </c>
      <c r="BD5" s="37">
        <f t="shared" si="0"/>
        <v>3</v>
      </c>
      <c r="BE5" s="38">
        <f t="shared" si="0"/>
        <v>3</v>
      </c>
      <c r="BF5" s="38">
        <f t="shared" si="0"/>
        <v>3</v>
      </c>
      <c r="BG5" s="39">
        <f t="shared" si="0"/>
        <v>3</v>
      </c>
      <c r="BH5" s="37">
        <f t="shared" si="0"/>
        <v>3</v>
      </c>
      <c r="BI5" s="38">
        <f t="shared" si="0"/>
        <v>3</v>
      </c>
      <c r="BJ5" s="38">
        <f t="shared" si="0"/>
        <v>3</v>
      </c>
      <c r="BK5" s="39">
        <f t="shared" si="0"/>
        <v>3</v>
      </c>
      <c r="BL5" s="37">
        <f t="shared" si="0"/>
        <v>3</v>
      </c>
      <c r="BM5" s="38">
        <f t="shared" si="0"/>
        <v>3</v>
      </c>
      <c r="BN5" s="38">
        <f t="shared" si="0"/>
        <v>2</v>
      </c>
      <c r="BO5" s="39">
        <f t="shared" si="0"/>
        <v>2</v>
      </c>
      <c r="BP5" s="37">
        <f t="shared" si="0"/>
        <v>2</v>
      </c>
      <c r="BQ5" s="38">
        <f t="shared" si="0"/>
        <v>2</v>
      </c>
      <c r="BR5" s="38">
        <f t="shared" si="0"/>
        <v>2</v>
      </c>
      <c r="BS5" s="39">
        <f t="shared" si="0"/>
        <v>0</v>
      </c>
      <c r="BT5" s="37">
        <f t="shared" si="0"/>
        <v>0</v>
      </c>
      <c r="BU5" s="38">
        <f t="shared" ref="BU5:CE5" si="1">SUM(BU6:BU45)</f>
        <v>0</v>
      </c>
      <c r="BV5" s="38">
        <f t="shared" si="1"/>
        <v>0</v>
      </c>
      <c r="BW5" s="39">
        <f t="shared" si="1"/>
        <v>0</v>
      </c>
      <c r="BX5" s="37">
        <f t="shared" si="1"/>
        <v>0</v>
      </c>
      <c r="BY5" s="38">
        <f t="shared" si="1"/>
        <v>0</v>
      </c>
      <c r="BZ5" s="38">
        <f t="shared" si="1"/>
        <v>0</v>
      </c>
      <c r="CA5" s="39">
        <f t="shared" si="1"/>
        <v>0</v>
      </c>
      <c r="CB5" s="37">
        <f t="shared" si="1"/>
        <v>0</v>
      </c>
      <c r="CC5" s="38">
        <f t="shared" si="1"/>
        <v>0</v>
      </c>
      <c r="CD5" s="38">
        <f t="shared" si="1"/>
        <v>0</v>
      </c>
      <c r="CE5" s="39">
        <f t="shared" si="1"/>
        <v>0</v>
      </c>
      <c r="CF5" s="174">
        <f>SUM(H5:CE5)</f>
        <v>149</v>
      </c>
      <c r="CG5" s="40"/>
      <c r="CH5" s="40"/>
      <c r="CI5" s="40"/>
    </row>
    <row r="6" spans="1:87" s="18" customFormat="1" ht="18" customHeight="1">
      <c r="A6" s="22">
        <f>+TABELLA!AC10</f>
        <v>8</v>
      </c>
      <c r="B6" s="22">
        <f>+TABELLA!AD10</f>
        <v>14</v>
      </c>
      <c r="C6" s="22">
        <f>+TABELLA!AE10</f>
        <v>0</v>
      </c>
      <c r="D6" s="22">
        <f>+TABELLA!AF10</f>
        <v>0</v>
      </c>
      <c r="E6" s="22"/>
      <c r="F6" s="26">
        <f>IF(TABELLA!B10="","",TABELLA!B10)</f>
        <v>12</v>
      </c>
      <c r="G6" s="27" t="str">
        <f>IF(TABELLA!C10="","",TABELLA!C10)</f>
        <v>RUSSO ANTONELLA</v>
      </c>
      <c r="H6" s="203" t="str">
        <f t="shared" ref="H6:W6" si="2">IF(AND(G$3&gt;=$A6,G$3&lt;$B6),1,IF(AND(G$3&gt;=$C6,G$3&lt;$D6),1,""))</f>
        <v/>
      </c>
      <c r="I6" s="203" t="str">
        <f t="shared" si="2"/>
        <v/>
      </c>
      <c r="J6" s="203" t="str">
        <f t="shared" si="2"/>
        <v/>
      </c>
      <c r="K6" s="204" t="str">
        <f t="shared" si="2"/>
        <v/>
      </c>
      <c r="L6" s="205" t="str">
        <f t="shared" si="2"/>
        <v/>
      </c>
      <c r="M6" s="203" t="str">
        <f t="shared" si="2"/>
        <v/>
      </c>
      <c r="N6" s="203" t="str">
        <f t="shared" si="2"/>
        <v/>
      </c>
      <c r="O6" s="204" t="str">
        <f t="shared" si="2"/>
        <v/>
      </c>
      <c r="P6" s="205" t="str">
        <f t="shared" si="2"/>
        <v/>
      </c>
      <c r="Q6" s="203" t="str">
        <f t="shared" si="2"/>
        <v/>
      </c>
      <c r="R6" s="203" t="str">
        <f t="shared" si="2"/>
        <v/>
      </c>
      <c r="S6" s="204" t="str">
        <f t="shared" si="2"/>
        <v/>
      </c>
      <c r="T6" s="205">
        <f t="shared" si="2"/>
        <v>1</v>
      </c>
      <c r="U6" s="203">
        <f t="shared" si="2"/>
        <v>1</v>
      </c>
      <c r="V6" s="203">
        <f t="shared" si="2"/>
        <v>1</v>
      </c>
      <c r="W6" s="204">
        <f t="shared" si="2"/>
        <v>1</v>
      </c>
      <c r="X6" s="205">
        <f t="shared" ref="X6:AM21" si="3">IF(AND(W$3&gt;=$A6,W$3&lt;$B6),1,IF(AND(W$3&gt;=$C6,W$3&lt;$D6),1,""))</f>
        <v>1</v>
      </c>
      <c r="Y6" s="203">
        <f t="shared" si="3"/>
        <v>1</v>
      </c>
      <c r="Z6" s="203">
        <f t="shared" si="3"/>
        <v>1</v>
      </c>
      <c r="AA6" s="204">
        <f t="shared" si="3"/>
        <v>1</v>
      </c>
      <c r="AB6" s="205">
        <f t="shared" si="3"/>
        <v>1</v>
      </c>
      <c r="AC6" s="203">
        <f t="shared" si="3"/>
        <v>1</v>
      </c>
      <c r="AD6" s="203">
        <f t="shared" si="3"/>
        <v>1</v>
      </c>
      <c r="AE6" s="204">
        <f t="shared" si="3"/>
        <v>1</v>
      </c>
      <c r="AF6" s="205">
        <f t="shared" si="3"/>
        <v>1</v>
      </c>
      <c r="AG6" s="203">
        <f t="shared" si="3"/>
        <v>1</v>
      </c>
      <c r="AH6" s="203">
        <f t="shared" si="3"/>
        <v>1</v>
      </c>
      <c r="AI6" s="204">
        <f t="shared" si="3"/>
        <v>1</v>
      </c>
      <c r="AJ6" s="205">
        <f t="shared" si="3"/>
        <v>1</v>
      </c>
      <c r="AK6" s="203">
        <f t="shared" si="3"/>
        <v>1</v>
      </c>
      <c r="AL6" s="203">
        <f t="shared" si="3"/>
        <v>1</v>
      </c>
      <c r="AM6" s="204">
        <f t="shared" si="3"/>
        <v>1</v>
      </c>
      <c r="AN6" s="205">
        <f t="shared" ref="AN6:BC21" si="4">IF(AND(AM$3&gt;=$A6,AM$3&lt;$B6),1,IF(AND(AM$3&gt;=$C6,AM$3&lt;$D6),1,""))</f>
        <v>1</v>
      </c>
      <c r="AO6" s="203">
        <f t="shared" si="4"/>
        <v>1</v>
      </c>
      <c r="AP6" s="203">
        <f t="shared" si="4"/>
        <v>1</v>
      </c>
      <c r="AQ6" s="204">
        <f t="shared" si="4"/>
        <v>1</v>
      </c>
      <c r="AR6" s="205" t="str">
        <f t="shared" si="4"/>
        <v/>
      </c>
      <c r="AS6" s="203" t="str">
        <f t="shared" si="4"/>
        <v/>
      </c>
      <c r="AT6" s="203" t="str">
        <f t="shared" si="4"/>
        <v/>
      </c>
      <c r="AU6" s="204" t="str">
        <f t="shared" si="4"/>
        <v/>
      </c>
      <c r="AV6" s="205" t="str">
        <f t="shared" si="4"/>
        <v/>
      </c>
      <c r="AW6" s="203" t="str">
        <f t="shared" si="4"/>
        <v/>
      </c>
      <c r="AX6" s="203" t="str">
        <f t="shared" si="4"/>
        <v/>
      </c>
      <c r="AY6" s="204" t="str">
        <f t="shared" si="4"/>
        <v/>
      </c>
      <c r="AZ6" s="205" t="str">
        <f t="shared" si="4"/>
        <v/>
      </c>
      <c r="BA6" s="203" t="str">
        <f t="shared" si="4"/>
        <v/>
      </c>
      <c r="BB6" s="203" t="str">
        <f t="shared" si="4"/>
        <v/>
      </c>
      <c r="BC6" s="204" t="str">
        <f t="shared" si="4"/>
        <v/>
      </c>
      <c r="BD6" s="205" t="str">
        <f t="shared" ref="BD6:BS20" si="5">IF(AND(BC$3&gt;=$A6,BC$3&lt;$B6),1,IF(AND(BC$3&gt;=$C6,BC$3&lt;$D6),1,""))</f>
        <v/>
      </c>
      <c r="BE6" s="203" t="str">
        <f t="shared" si="5"/>
        <v/>
      </c>
      <c r="BF6" s="203" t="str">
        <f t="shared" si="5"/>
        <v/>
      </c>
      <c r="BG6" s="204" t="str">
        <f t="shared" si="5"/>
        <v/>
      </c>
      <c r="BH6" s="205" t="str">
        <f t="shared" si="5"/>
        <v/>
      </c>
      <c r="BI6" s="203" t="str">
        <f t="shared" si="5"/>
        <v/>
      </c>
      <c r="BJ6" s="203" t="str">
        <f t="shared" si="5"/>
        <v/>
      </c>
      <c r="BK6" s="204" t="str">
        <f t="shared" si="5"/>
        <v/>
      </c>
      <c r="BL6" s="205" t="str">
        <f t="shared" si="5"/>
        <v/>
      </c>
      <c r="BM6" s="203" t="str">
        <f t="shared" si="5"/>
        <v/>
      </c>
      <c r="BN6" s="203" t="str">
        <f t="shared" si="5"/>
        <v/>
      </c>
      <c r="BO6" s="204" t="str">
        <f t="shared" si="5"/>
        <v/>
      </c>
      <c r="BP6" s="205" t="str">
        <f t="shared" si="5"/>
        <v/>
      </c>
      <c r="BQ6" s="203" t="str">
        <f t="shared" si="5"/>
        <v/>
      </c>
      <c r="BR6" s="203" t="str">
        <f t="shared" si="5"/>
        <v/>
      </c>
      <c r="BS6" s="204" t="str">
        <f t="shared" si="5"/>
        <v/>
      </c>
      <c r="BT6" s="205" t="str">
        <f t="shared" ref="BP6:CE21" si="6">IF(AND(BS$3&gt;=$A6,BS$3&lt;$B6),1,IF(AND(BS$3&gt;=$C6,BS$3&lt;$D6),1,""))</f>
        <v/>
      </c>
      <c r="BU6" s="203" t="str">
        <f t="shared" si="6"/>
        <v/>
      </c>
      <c r="BV6" s="203" t="str">
        <f t="shared" si="6"/>
        <v/>
      </c>
      <c r="BW6" s="204" t="str">
        <f t="shared" si="6"/>
        <v/>
      </c>
      <c r="BX6" s="205" t="str">
        <f t="shared" si="6"/>
        <v/>
      </c>
      <c r="BY6" s="203" t="str">
        <f t="shared" si="6"/>
        <v/>
      </c>
      <c r="BZ6" s="203" t="str">
        <f t="shared" si="6"/>
        <v/>
      </c>
      <c r="CA6" s="204" t="str">
        <f t="shared" si="6"/>
        <v/>
      </c>
      <c r="CB6" s="205" t="str">
        <f t="shared" si="6"/>
        <v/>
      </c>
      <c r="CC6" s="203" t="str">
        <f t="shared" si="6"/>
        <v/>
      </c>
      <c r="CD6" s="203" t="str">
        <f t="shared" si="6"/>
        <v/>
      </c>
      <c r="CE6" s="204" t="str">
        <f t="shared" si="6"/>
        <v/>
      </c>
      <c r="CF6" s="17"/>
      <c r="CG6" s="16"/>
      <c r="CH6" s="13"/>
      <c r="CI6" s="16"/>
    </row>
    <row r="7" spans="1:87" s="21" customFormat="1" ht="18" customHeight="1">
      <c r="A7" s="22">
        <f>+TABELLA!AC11</f>
        <v>0</v>
      </c>
      <c r="B7" s="22">
        <f>+TABELLA!AD11</f>
        <v>0</v>
      </c>
      <c r="C7" s="22">
        <f>+TABELLA!AE11</f>
        <v>0</v>
      </c>
      <c r="D7" s="22">
        <f>+TABELLA!AF11</f>
        <v>0</v>
      </c>
      <c r="E7" s="22"/>
      <c r="F7" s="41" t="str">
        <f>IF(TABELLA!B11="","",TABELLA!B11)</f>
        <v/>
      </c>
      <c r="G7" s="42" t="str">
        <f>IF(TABELLA!C11="","",TABELLA!C11)</f>
        <v/>
      </c>
      <c r="H7" s="206" t="str">
        <f t="shared" ref="H7:W7" si="7">IF(AND(G$3&gt;=$A7,G$3&lt;$B7),1,IF(AND(G$3&gt;=$C7,G$3&lt;$D7),1,""))</f>
        <v/>
      </c>
      <c r="I7" s="206" t="str">
        <f t="shared" si="7"/>
        <v/>
      </c>
      <c r="J7" s="206" t="str">
        <f t="shared" si="7"/>
        <v/>
      </c>
      <c r="K7" s="207" t="str">
        <f t="shared" si="7"/>
        <v/>
      </c>
      <c r="L7" s="208" t="str">
        <f t="shared" si="7"/>
        <v/>
      </c>
      <c r="M7" s="206" t="str">
        <f t="shared" si="7"/>
        <v/>
      </c>
      <c r="N7" s="206" t="str">
        <f t="shared" si="7"/>
        <v/>
      </c>
      <c r="O7" s="207" t="str">
        <f t="shared" si="7"/>
        <v/>
      </c>
      <c r="P7" s="208" t="str">
        <f t="shared" si="7"/>
        <v/>
      </c>
      <c r="Q7" s="206" t="str">
        <f t="shared" si="7"/>
        <v/>
      </c>
      <c r="R7" s="206" t="str">
        <f t="shared" si="7"/>
        <v/>
      </c>
      <c r="S7" s="207" t="str">
        <f t="shared" si="7"/>
        <v/>
      </c>
      <c r="T7" s="208" t="str">
        <f t="shared" si="7"/>
        <v/>
      </c>
      <c r="U7" s="206" t="str">
        <f t="shared" si="7"/>
        <v/>
      </c>
      <c r="V7" s="206" t="str">
        <f t="shared" si="7"/>
        <v/>
      </c>
      <c r="W7" s="207" t="str">
        <f t="shared" si="7"/>
        <v/>
      </c>
      <c r="X7" s="208" t="str">
        <f t="shared" si="3"/>
        <v/>
      </c>
      <c r="Y7" s="206" t="str">
        <f t="shared" si="3"/>
        <v/>
      </c>
      <c r="Z7" s="206" t="str">
        <f t="shared" si="3"/>
        <v/>
      </c>
      <c r="AA7" s="207" t="str">
        <f t="shared" si="3"/>
        <v/>
      </c>
      <c r="AB7" s="208" t="str">
        <f t="shared" si="3"/>
        <v/>
      </c>
      <c r="AC7" s="206" t="str">
        <f t="shared" si="3"/>
        <v/>
      </c>
      <c r="AD7" s="206" t="str">
        <f t="shared" si="3"/>
        <v/>
      </c>
      <c r="AE7" s="207" t="str">
        <f t="shared" si="3"/>
        <v/>
      </c>
      <c r="AF7" s="208" t="str">
        <f t="shared" si="3"/>
        <v/>
      </c>
      <c r="AG7" s="206" t="str">
        <f t="shared" si="3"/>
        <v/>
      </c>
      <c r="AH7" s="206" t="str">
        <f t="shared" si="3"/>
        <v/>
      </c>
      <c r="AI7" s="207" t="str">
        <f t="shared" si="3"/>
        <v/>
      </c>
      <c r="AJ7" s="208" t="str">
        <f t="shared" si="3"/>
        <v/>
      </c>
      <c r="AK7" s="206" t="str">
        <f t="shared" si="3"/>
        <v/>
      </c>
      <c r="AL7" s="206" t="str">
        <f t="shared" si="3"/>
        <v/>
      </c>
      <c r="AM7" s="207" t="str">
        <f t="shared" si="3"/>
        <v/>
      </c>
      <c r="AN7" s="208" t="str">
        <f t="shared" si="4"/>
        <v/>
      </c>
      <c r="AO7" s="206" t="str">
        <f t="shared" si="4"/>
        <v/>
      </c>
      <c r="AP7" s="206" t="str">
        <f t="shared" si="4"/>
        <v/>
      </c>
      <c r="AQ7" s="207" t="str">
        <f t="shared" si="4"/>
        <v/>
      </c>
      <c r="AR7" s="208" t="str">
        <f t="shared" si="4"/>
        <v/>
      </c>
      <c r="AS7" s="206" t="str">
        <f t="shared" si="4"/>
        <v/>
      </c>
      <c r="AT7" s="206" t="str">
        <f t="shared" si="4"/>
        <v/>
      </c>
      <c r="AU7" s="207" t="str">
        <f t="shared" si="4"/>
        <v/>
      </c>
      <c r="AV7" s="208" t="str">
        <f t="shared" si="4"/>
        <v/>
      </c>
      <c r="AW7" s="206" t="str">
        <f t="shared" si="4"/>
        <v/>
      </c>
      <c r="AX7" s="206" t="str">
        <f t="shared" si="4"/>
        <v/>
      </c>
      <c r="AY7" s="207" t="str">
        <f t="shared" si="4"/>
        <v/>
      </c>
      <c r="AZ7" s="208" t="str">
        <f t="shared" si="4"/>
        <v/>
      </c>
      <c r="BA7" s="206" t="str">
        <f t="shared" si="4"/>
        <v/>
      </c>
      <c r="BB7" s="206" t="str">
        <f t="shared" si="4"/>
        <v/>
      </c>
      <c r="BC7" s="207" t="str">
        <f t="shared" si="4"/>
        <v/>
      </c>
      <c r="BD7" s="208" t="str">
        <f t="shared" si="5"/>
        <v/>
      </c>
      <c r="BE7" s="206" t="str">
        <f t="shared" si="5"/>
        <v/>
      </c>
      <c r="BF7" s="206" t="str">
        <f t="shared" si="5"/>
        <v/>
      </c>
      <c r="BG7" s="207" t="str">
        <f t="shared" si="5"/>
        <v/>
      </c>
      <c r="BH7" s="208" t="str">
        <f t="shared" si="5"/>
        <v/>
      </c>
      <c r="BI7" s="206" t="str">
        <f t="shared" si="5"/>
        <v/>
      </c>
      <c r="BJ7" s="206" t="str">
        <f t="shared" si="5"/>
        <v/>
      </c>
      <c r="BK7" s="207" t="str">
        <f t="shared" si="5"/>
        <v/>
      </c>
      <c r="BL7" s="208" t="str">
        <f t="shared" si="5"/>
        <v/>
      </c>
      <c r="BM7" s="206" t="str">
        <f t="shared" si="5"/>
        <v/>
      </c>
      <c r="BN7" s="206" t="str">
        <f t="shared" si="5"/>
        <v/>
      </c>
      <c r="BO7" s="207" t="str">
        <f t="shared" si="5"/>
        <v/>
      </c>
      <c r="BP7" s="208" t="str">
        <f t="shared" si="6"/>
        <v/>
      </c>
      <c r="BQ7" s="206" t="str">
        <f t="shared" si="6"/>
        <v/>
      </c>
      <c r="BR7" s="206" t="str">
        <f t="shared" si="6"/>
        <v/>
      </c>
      <c r="BS7" s="207" t="str">
        <f t="shared" si="6"/>
        <v/>
      </c>
      <c r="BT7" s="208" t="str">
        <f t="shared" si="6"/>
        <v/>
      </c>
      <c r="BU7" s="206" t="str">
        <f t="shared" si="6"/>
        <v/>
      </c>
      <c r="BV7" s="206" t="str">
        <f t="shared" si="6"/>
        <v/>
      </c>
      <c r="BW7" s="207" t="str">
        <f t="shared" si="6"/>
        <v/>
      </c>
      <c r="BX7" s="208" t="str">
        <f t="shared" si="6"/>
        <v/>
      </c>
      <c r="BY7" s="206" t="str">
        <f t="shared" si="6"/>
        <v/>
      </c>
      <c r="BZ7" s="206" t="str">
        <f t="shared" si="6"/>
        <v/>
      </c>
      <c r="CA7" s="207" t="str">
        <f t="shared" si="6"/>
        <v/>
      </c>
      <c r="CB7" s="208" t="str">
        <f t="shared" si="6"/>
        <v/>
      </c>
      <c r="CC7" s="206" t="str">
        <f t="shared" si="6"/>
        <v/>
      </c>
      <c r="CD7" s="206" t="str">
        <f t="shared" si="6"/>
        <v/>
      </c>
      <c r="CE7" s="207" t="str">
        <f t="shared" si="6"/>
        <v/>
      </c>
      <c r="CF7" s="19"/>
      <c r="CG7" s="20"/>
      <c r="CH7" s="13"/>
      <c r="CI7" s="20"/>
    </row>
    <row r="8" spans="1:87" s="18" customFormat="1" ht="18" customHeight="1">
      <c r="A8" s="22">
        <f>+TABELLA!AC12</f>
        <v>0</v>
      </c>
      <c r="B8" s="22">
        <f>+TABELLA!AD12</f>
        <v>0</v>
      </c>
      <c r="C8" s="22">
        <f>+TABELLA!AE12</f>
        <v>0</v>
      </c>
      <c r="D8" s="22">
        <f>+TABELLA!AF12</f>
        <v>0</v>
      </c>
      <c r="E8" s="22"/>
      <c r="F8" s="26">
        <f>IF(TABELLA!B12="","",TABELLA!B12)</f>
        <v>10</v>
      </c>
      <c r="G8" s="27" t="str">
        <f>IF(TABELLA!C12="","",TABELLA!C12)</f>
        <v/>
      </c>
      <c r="H8" s="203" t="str">
        <f t="shared" ref="H8:W8" si="8">IF(AND(G$3&gt;=$A8,G$3&lt;$B8),1,IF(AND(G$3&gt;=$C8,G$3&lt;$D8),1,""))</f>
        <v/>
      </c>
      <c r="I8" s="203" t="str">
        <f t="shared" si="8"/>
        <v/>
      </c>
      <c r="J8" s="203" t="str">
        <f t="shared" si="8"/>
        <v/>
      </c>
      <c r="K8" s="204" t="str">
        <f t="shared" si="8"/>
        <v/>
      </c>
      <c r="L8" s="205" t="str">
        <f t="shared" si="8"/>
        <v/>
      </c>
      <c r="M8" s="203" t="str">
        <f t="shared" si="8"/>
        <v/>
      </c>
      <c r="N8" s="203" t="str">
        <f t="shared" si="8"/>
        <v/>
      </c>
      <c r="O8" s="204" t="str">
        <f t="shared" si="8"/>
        <v/>
      </c>
      <c r="P8" s="205" t="str">
        <f t="shared" si="8"/>
        <v/>
      </c>
      <c r="Q8" s="203" t="str">
        <f t="shared" si="8"/>
        <v/>
      </c>
      <c r="R8" s="203" t="str">
        <f t="shared" si="8"/>
        <v/>
      </c>
      <c r="S8" s="204" t="str">
        <f t="shared" si="8"/>
        <v/>
      </c>
      <c r="T8" s="205" t="str">
        <f t="shared" si="8"/>
        <v/>
      </c>
      <c r="U8" s="203" t="str">
        <f t="shared" si="8"/>
        <v/>
      </c>
      <c r="V8" s="203" t="str">
        <f t="shared" si="8"/>
        <v/>
      </c>
      <c r="W8" s="204" t="str">
        <f t="shared" si="8"/>
        <v/>
      </c>
      <c r="X8" s="205" t="str">
        <f t="shared" si="3"/>
        <v/>
      </c>
      <c r="Y8" s="203" t="str">
        <f t="shared" si="3"/>
        <v/>
      </c>
      <c r="Z8" s="203" t="str">
        <f t="shared" si="3"/>
        <v/>
      </c>
      <c r="AA8" s="204" t="str">
        <f t="shared" si="3"/>
        <v/>
      </c>
      <c r="AB8" s="205" t="str">
        <f t="shared" si="3"/>
        <v/>
      </c>
      <c r="AC8" s="203" t="str">
        <f t="shared" si="3"/>
        <v/>
      </c>
      <c r="AD8" s="203" t="str">
        <f t="shared" si="3"/>
        <v/>
      </c>
      <c r="AE8" s="204" t="str">
        <f t="shared" si="3"/>
        <v/>
      </c>
      <c r="AF8" s="205" t="str">
        <f t="shared" si="3"/>
        <v/>
      </c>
      <c r="AG8" s="203" t="str">
        <f t="shared" si="3"/>
        <v/>
      </c>
      <c r="AH8" s="203" t="str">
        <f t="shared" si="3"/>
        <v/>
      </c>
      <c r="AI8" s="204" t="str">
        <f t="shared" si="3"/>
        <v/>
      </c>
      <c r="AJ8" s="205" t="str">
        <f t="shared" si="3"/>
        <v/>
      </c>
      <c r="AK8" s="203" t="str">
        <f t="shared" si="3"/>
        <v/>
      </c>
      <c r="AL8" s="203" t="str">
        <f t="shared" si="3"/>
        <v/>
      </c>
      <c r="AM8" s="204" t="str">
        <f t="shared" si="3"/>
        <v/>
      </c>
      <c r="AN8" s="205" t="str">
        <f t="shared" si="4"/>
        <v/>
      </c>
      <c r="AO8" s="203" t="str">
        <f t="shared" si="4"/>
        <v/>
      </c>
      <c r="AP8" s="203" t="str">
        <f t="shared" si="4"/>
        <v/>
      </c>
      <c r="AQ8" s="204" t="str">
        <f t="shared" si="4"/>
        <v/>
      </c>
      <c r="AR8" s="205" t="str">
        <f t="shared" si="4"/>
        <v/>
      </c>
      <c r="AS8" s="203" t="str">
        <f t="shared" si="4"/>
        <v/>
      </c>
      <c r="AT8" s="203" t="str">
        <f t="shared" si="4"/>
        <v/>
      </c>
      <c r="AU8" s="204" t="str">
        <f t="shared" si="4"/>
        <v/>
      </c>
      <c r="AV8" s="205" t="str">
        <f t="shared" si="4"/>
        <v/>
      </c>
      <c r="AW8" s="203" t="str">
        <f t="shared" si="4"/>
        <v/>
      </c>
      <c r="AX8" s="203" t="str">
        <f t="shared" si="4"/>
        <v/>
      </c>
      <c r="AY8" s="204" t="str">
        <f t="shared" si="4"/>
        <v/>
      </c>
      <c r="AZ8" s="205" t="str">
        <f t="shared" si="4"/>
        <v/>
      </c>
      <c r="BA8" s="203" t="str">
        <f t="shared" si="4"/>
        <v/>
      </c>
      <c r="BB8" s="203" t="str">
        <f t="shared" si="4"/>
        <v/>
      </c>
      <c r="BC8" s="204" t="str">
        <f t="shared" si="4"/>
        <v/>
      </c>
      <c r="BD8" s="205" t="str">
        <f t="shared" si="5"/>
        <v/>
      </c>
      <c r="BE8" s="203" t="str">
        <f t="shared" si="5"/>
        <v/>
      </c>
      <c r="BF8" s="203" t="str">
        <f t="shared" si="5"/>
        <v/>
      </c>
      <c r="BG8" s="204" t="str">
        <f t="shared" si="5"/>
        <v/>
      </c>
      <c r="BH8" s="205" t="str">
        <f t="shared" si="5"/>
        <v/>
      </c>
      <c r="BI8" s="203" t="str">
        <f t="shared" si="5"/>
        <v/>
      </c>
      <c r="BJ8" s="203" t="str">
        <f t="shared" si="5"/>
        <v/>
      </c>
      <c r="BK8" s="204" t="str">
        <f t="shared" si="5"/>
        <v/>
      </c>
      <c r="BL8" s="205" t="str">
        <f t="shared" si="5"/>
        <v/>
      </c>
      <c r="BM8" s="203" t="str">
        <f t="shared" si="5"/>
        <v/>
      </c>
      <c r="BN8" s="203" t="str">
        <f t="shared" si="5"/>
        <v/>
      </c>
      <c r="BO8" s="204" t="str">
        <f t="shared" si="5"/>
        <v/>
      </c>
      <c r="BP8" s="205" t="str">
        <f t="shared" si="6"/>
        <v/>
      </c>
      <c r="BQ8" s="203" t="str">
        <f t="shared" si="6"/>
        <v/>
      </c>
      <c r="BR8" s="203" t="str">
        <f t="shared" si="6"/>
        <v/>
      </c>
      <c r="BS8" s="204" t="str">
        <f t="shared" si="6"/>
        <v/>
      </c>
      <c r="BT8" s="205" t="str">
        <f t="shared" si="6"/>
        <v/>
      </c>
      <c r="BU8" s="203" t="str">
        <f t="shared" si="6"/>
        <v/>
      </c>
      <c r="BV8" s="203" t="str">
        <f t="shared" si="6"/>
        <v/>
      </c>
      <c r="BW8" s="204" t="str">
        <f t="shared" si="6"/>
        <v/>
      </c>
      <c r="BX8" s="205" t="str">
        <f t="shared" si="6"/>
        <v/>
      </c>
      <c r="BY8" s="203" t="str">
        <f t="shared" si="6"/>
        <v/>
      </c>
      <c r="BZ8" s="203" t="str">
        <f t="shared" si="6"/>
        <v/>
      </c>
      <c r="CA8" s="204" t="str">
        <f t="shared" si="6"/>
        <v/>
      </c>
      <c r="CB8" s="205" t="str">
        <f t="shared" si="6"/>
        <v/>
      </c>
      <c r="CC8" s="203" t="str">
        <f t="shared" si="6"/>
        <v/>
      </c>
      <c r="CD8" s="203" t="str">
        <f t="shared" si="6"/>
        <v/>
      </c>
      <c r="CE8" s="204" t="str">
        <f t="shared" si="6"/>
        <v/>
      </c>
      <c r="CF8" s="17"/>
      <c r="CG8" s="16"/>
      <c r="CH8" s="16"/>
      <c r="CI8" s="16"/>
    </row>
    <row r="9" spans="1:87" ht="18" customHeight="1">
      <c r="A9" s="22">
        <f>+TABELLA!AC13</f>
        <v>10.15</v>
      </c>
      <c r="B9" s="22">
        <f>+TABELLA!AD13</f>
        <v>14.45</v>
      </c>
      <c r="C9" s="22">
        <f>+TABELLA!AE13</f>
        <v>0</v>
      </c>
      <c r="D9" s="22">
        <f>+TABELLA!AF13</f>
        <v>0</v>
      </c>
      <c r="E9" s="22"/>
      <c r="F9" s="41">
        <f>IF(TABELLA!B13="","",TABELLA!B13)</f>
        <v>10</v>
      </c>
      <c r="G9" s="42" t="str">
        <f>IF(TABELLA!C13="","",TABELLA!C13)</f>
        <v>PIANTA LISA</v>
      </c>
      <c r="H9" s="206" t="str">
        <f t="shared" ref="H9:W9" si="9">IF(AND(G$3&gt;=$A9,G$3&lt;$B9),1,IF(AND(G$3&gt;=$C9,G$3&lt;$D9),1,""))</f>
        <v/>
      </c>
      <c r="I9" s="206" t="str">
        <f t="shared" si="9"/>
        <v/>
      </c>
      <c r="J9" s="206" t="str">
        <f t="shared" si="9"/>
        <v/>
      </c>
      <c r="K9" s="207" t="str">
        <f t="shared" si="9"/>
        <v/>
      </c>
      <c r="L9" s="208" t="str">
        <f t="shared" si="9"/>
        <v/>
      </c>
      <c r="M9" s="206" t="str">
        <f t="shared" si="9"/>
        <v/>
      </c>
      <c r="N9" s="206" t="str">
        <f t="shared" si="9"/>
        <v/>
      </c>
      <c r="O9" s="207" t="str">
        <f t="shared" si="9"/>
        <v/>
      </c>
      <c r="P9" s="208" t="str">
        <f t="shared" si="9"/>
        <v/>
      </c>
      <c r="Q9" s="206" t="str">
        <f t="shared" si="9"/>
        <v/>
      </c>
      <c r="R9" s="206" t="str">
        <f t="shared" si="9"/>
        <v/>
      </c>
      <c r="S9" s="207" t="str">
        <f t="shared" si="9"/>
        <v/>
      </c>
      <c r="T9" s="208" t="str">
        <f t="shared" si="9"/>
        <v/>
      </c>
      <c r="U9" s="206" t="str">
        <f t="shared" si="9"/>
        <v/>
      </c>
      <c r="V9" s="206" t="str">
        <f t="shared" si="9"/>
        <v/>
      </c>
      <c r="W9" s="207" t="str">
        <f t="shared" si="9"/>
        <v/>
      </c>
      <c r="X9" s="208" t="str">
        <f t="shared" si="3"/>
        <v/>
      </c>
      <c r="Y9" s="206" t="str">
        <f t="shared" si="3"/>
        <v/>
      </c>
      <c r="Z9" s="206" t="str">
        <f t="shared" si="3"/>
        <v/>
      </c>
      <c r="AA9" s="207" t="str">
        <f t="shared" si="3"/>
        <v/>
      </c>
      <c r="AB9" s="208" t="str">
        <f t="shared" si="3"/>
        <v/>
      </c>
      <c r="AC9" s="206">
        <f t="shared" si="3"/>
        <v>1</v>
      </c>
      <c r="AD9" s="206">
        <f t="shared" si="3"/>
        <v>1</v>
      </c>
      <c r="AE9" s="207">
        <f t="shared" si="3"/>
        <v>1</v>
      </c>
      <c r="AF9" s="208">
        <f t="shared" si="3"/>
        <v>1</v>
      </c>
      <c r="AG9" s="206">
        <f t="shared" si="3"/>
        <v>1</v>
      </c>
      <c r="AH9" s="206">
        <f t="shared" si="3"/>
        <v>1</v>
      </c>
      <c r="AI9" s="207">
        <f t="shared" si="3"/>
        <v>1</v>
      </c>
      <c r="AJ9" s="208">
        <f t="shared" si="3"/>
        <v>1</v>
      </c>
      <c r="AK9" s="206">
        <f t="shared" si="3"/>
        <v>1</v>
      </c>
      <c r="AL9" s="206">
        <f t="shared" si="3"/>
        <v>1</v>
      </c>
      <c r="AM9" s="207">
        <f t="shared" si="3"/>
        <v>1</v>
      </c>
      <c r="AN9" s="208">
        <f t="shared" si="4"/>
        <v>1</v>
      </c>
      <c r="AO9" s="206">
        <f t="shared" si="4"/>
        <v>1</v>
      </c>
      <c r="AP9" s="206">
        <f t="shared" si="4"/>
        <v>1</v>
      </c>
      <c r="AQ9" s="207">
        <f t="shared" si="4"/>
        <v>1</v>
      </c>
      <c r="AR9" s="208">
        <f t="shared" si="4"/>
        <v>1</v>
      </c>
      <c r="AS9" s="206">
        <f t="shared" si="4"/>
        <v>1</v>
      </c>
      <c r="AT9" s="206">
        <f t="shared" si="4"/>
        <v>1</v>
      </c>
      <c r="AU9" s="207" t="str">
        <f t="shared" si="4"/>
        <v/>
      </c>
      <c r="AV9" s="208" t="str">
        <f t="shared" si="4"/>
        <v/>
      </c>
      <c r="AW9" s="206" t="str">
        <f t="shared" si="4"/>
        <v/>
      </c>
      <c r="AX9" s="206" t="str">
        <f t="shared" si="4"/>
        <v/>
      </c>
      <c r="AY9" s="207" t="str">
        <f t="shared" si="4"/>
        <v/>
      </c>
      <c r="AZ9" s="208" t="str">
        <f t="shared" si="4"/>
        <v/>
      </c>
      <c r="BA9" s="206" t="str">
        <f t="shared" si="4"/>
        <v/>
      </c>
      <c r="BB9" s="206" t="str">
        <f t="shared" si="4"/>
        <v/>
      </c>
      <c r="BC9" s="207" t="str">
        <f t="shared" si="4"/>
        <v/>
      </c>
      <c r="BD9" s="208" t="str">
        <f t="shared" si="5"/>
        <v/>
      </c>
      <c r="BE9" s="206" t="str">
        <f t="shared" si="5"/>
        <v/>
      </c>
      <c r="BF9" s="206" t="str">
        <f t="shared" si="5"/>
        <v/>
      </c>
      <c r="BG9" s="207" t="str">
        <f t="shared" si="5"/>
        <v/>
      </c>
      <c r="BH9" s="208" t="str">
        <f t="shared" si="5"/>
        <v/>
      </c>
      <c r="BI9" s="206" t="str">
        <f t="shared" si="5"/>
        <v/>
      </c>
      <c r="BJ9" s="206" t="str">
        <f t="shared" si="5"/>
        <v/>
      </c>
      <c r="BK9" s="207" t="str">
        <f t="shared" si="5"/>
        <v/>
      </c>
      <c r="BL9" s="208" t="str">
        <f t="shared" si="5"/>
        <v/>
      </c>
      <c r="BM9" s="206" t="str">
        <f t="shared" si="5"/>
        <v/>
      </c>
      <c r="BN9" s="206" t="str">
        <f t="shared" si="5"/>
        <v/>
      </c>
      <c r="BO9" s="207" t="str">
        <f t="shared" si="5"/>
        <v/>
      </c>
      <c r="BP9" s="208" t="str">
        <f t="shared" si="6"/>
        <v/>
      </c>
      <c r="BQ9" s="206" t="str">
        <f t="shared" si="6"/>
        <v/>
      </c>
      <c r="BR9" s="206" t="str">
        <f t="shared" si="6"/>
        <v/>
      </c>
      <c r="BS9" s="207" t="str">
        <f t="shared" si="6"/>
        <v/>
      </c>
      <c r="BT9" s="208" t="str">
        <f t="shared" si="6"/>
        <v/>
      </c>
      <c r="BU9" s="206" t="str">
        <f t="shared" si="6"/>
        <v/>
      </c>
      <c r="BV9" s="206" t="str">
        <f t="shared" si="6"/>
        <v/>
      </c>
      <c r="BW9" s="207" t="str">
        <f t="shared" si="6"/>
        <v/>
      </c>
      <c r="BX9" s="208" t="str">
        <f t="shared" si="6"/>
        <v/>
      </c>
      <c r="BY9" s="206" t="str">
        <f t="shared" si="6"/>
        <v/>
      </c>
      <c r="BZ9" s="206" t="str">
        <f t="shared" si="6"/>
        <v/>
      </c>
      <c r="CA9" s="207" t="str">
        <f t="shared" si="6"/>
        <v/>
      </c>
      <c r="CB9" s="208" t="str">
        <f t="shared" si="6"/>
        <v/>
      </c>
      <c r="CC9" s="206" t="str">
        <f t="shared" si="6"/>
        <v/>
      </c>
      <c r="CD9" s="206" t="str">
        <f t="shared" si="6"/>
        <v/>
      </c>
      <c r="CE9" s="207" t="str">
        <f t="shared" si="6"/>
        <v/>
      </c>
    </row>
    <row r="10" spans="1:87" ht="18" customHeight="1">
      <c r="A10" s="22">
        <f>+TABELLA!AC14</f>
        <v>0</v>
      </c>
      <c r="B10" s="22">
        <f>+TABELLA!AD14</f>
        <v>0</v>
      </c>
      <c r="C10" s="22">
        <f>+TABELLA!AE14</f>
        <v>16</v>
      </c>
      <c r="D10" s="22">
        <f>+TABELLA!AF14</f>
        <v>20.45</v>
      </c>
      <c r="E10" s="22"/>
      <c r="F10" s="26">
        <f>IF(TABELLA!B14="","",TABELLA!B14)</f>
        <v>10</v>
      </c>
      <c r="G10" s="27" t="str">
        <f>IF(TABELLA!C14="","",TABELLA!C14)</f>
        <v>VELENCINA ELAINE</v>
      </c>
      <c r="H10" s="203" t="str">
        <f t="shared" ref="H10:W10" si="10">IF(AND(G$3&gt;=$A10,G$3&lt;$B10),1,IF(AND(G$3&gt;=$C10,G$3&lt;$D10),1,""))</f>
        <v/>
      </c>
      <c r="I10" s="203" t="str">
        <f t="shared" si="10"/>
        <v/>
      </c>
      <c r="J10" s="203" t="str">
        <f t="shared" si="10"/>
        <v/>
      </c>
      <c r="K10" s="204" t="str">
        <f t="shared" si="10"/>
        <v/>
      </c>
      <c r="L10" s="205" t="str">
        <f t="shared" si="10"/>
        <v/>
      </c>
      <c r="M10" s="203" t="str">
        <f t="shared" si="10"/>
        <v/>
      </c>
      <c r="N10" s="203" t="str">
        <f t="shared" si="10"/>
        <v/>
      </c>
      <c r="O10" s="204" t="str">
        <f t="shared" si="10"/>
        <v/>
      </c>
      <c r="P10" s="205" t="str">
        <f t="shared" si="10"/>
        <v/>
      </c>
      <c r="Q10" s="203" t="str">
        <f t="shared" si="10"/>
        <v/>
      </c>
      <c r="R10" s="203" t="str">
        <f t="shared" si="10"/>
        <v/>
      </c>
      <c r="S10" s="204" t="str">
        <f t="shared" si="10"/>
        <v/>
      </c>
      <c r="T10" s="205" t="str">
        <f t="shared" si="10"/>
        <v/>
      </c>
      <c r="U10" s="203" t="str">
        <f t="shared" si="10"/>
        <v/>
      </c>
      <c r="V10" s="203" t="str">
        <f t="shared" si="10"/>
        <v/>
      </c>
      <c r="W10" s="204" t="str">
        <f t="shared" si="10"/>
        <v/>
      </c>
      <c r="X10" s="205" t="str">
        <f t="shared" si="3"/>
        <v/>
      </c>
      <c r="Y10" s="203" t="str">
        <f t="shared" si="3"/>
        <v/>
      </c>
      <c r="Z10" s="203" t="str">
        <f t="shared" si="3"/>
        <v/>
      </c>
      <c r="AA10" s="204" t="str">
        <f t="shared" si="3"/>
        <v/>
      </c>
      <c r="AB10" s="205" t="str">
        <f t="shared" si="3"/>
        <v/>
      </c>
      <c r="AC10" s="203" t="str">
        <f t="shared" si="3"/>
        <v/>
      </c>
      <c r="AD10" s="203" t="str">
        <f t="shared" si="3"/>
        <v/>
      </c>
      <c r="AE10" s="204" t="str">
        <f t="shared" si="3"/>
        <v/>
      </c>
      <c r="AF10" s="205" t="str">
        <f t="shared" si="3"/>
        <v/>
      </c>
      <c r="AG10" s="203" t="str">
        <f t="shared" si="3"/>
        <v/>
      </c>
      <c r="AH10" s="203" t="str">
        <f t="shared" si="3"/>
        <v/>
      </c>
      <c r="AI10" s="204" t="str">
        <f t="shared" si="3"/>
        <v/>
      </c>
      <c r="AJ10" s="205" t="str">
        <f t="shared" si="3"/>
        <v/>
      </c>
      <c r="AK10" s="203" t="str">
        <f t="shared" si="3"/>
        <v/>
      </c>
      <c r="AL10" s="203" t="str">
        <f t="shared" si="3"/>
        <v/>
      </c>
      <c r="AM10" s="204" t="str">
        <f t="shared" si="3"/>
        <v/>
      </c>
      <c r="AN10" s="205" t="str">
        <f t="shared" si="4"/>
        <v/>
      </c>
      <c r="AO10" s="203" t="str">
        <f t="shared" si="4"/>
        <v/>
      </c>
      <c r="AP10" s="203" t="str">
        <f t="shared" si="4"/>
        <v/>
      </c>
      <c r="AQ10" s="204" t="str">
        <f t="shared" si="4"/>
        <v/>
      </c>
      <c r="AR10" s="205" t="str">
        <f t="shared" si="4"/>
        <v/>
      </c>
      <c r="AS10" s="203" t="str">
        <f t="shared" si="4"/>
        <v/>
      </c>
      <c r="AT10" s="203" t="str">
        <f t="shared" si="4"/>
        <v/>
      </c>
      <c r="AU10" s="204" t="str">
        <f t="shared" si="4"/>
        <v/>
      </c>
      <c r="AV10" s="205" t="str">
        <f t="shared" si="4"/>
        <v/>
      </c>
      <c r="AW10" s="203" t="str">
        <f t="shared" si="4"/>
        <v/>
      </c>
      <c r="AX10" s="203" t="str">
        <f t="shared" si="4"/>
        <v/>
      </c>
      <c r="AY10" s="204" t="str">
        <f t="shared" si="4"/>
        <v/>
      </c>
      <c r="AZ10" s="205">
        <f t="shared" si="4"/>
        <v>1</v>
      </c>
      <c r="BA10" s="203">
        <f t="shared" si="4"/>
        <v>1</v>
      </c>
      <c r="BB10" s="203">
        <f t="shared" si="4"/>
        <v>1</v>
      </c>
      <c r="BC10" s="204">
        <f t="shared" si="4"/>
        <v>1</v>
      </c>
      <c r="BD10" s="205">
        <f t="shared" si="5"/>
        <v>1</v>
      </c>
      <c r="BE10" s="203">
        <f t="shared" si="5"/>
        <v>1</v>
      </c>
      <c r="BF10" s="203">
        <f t="shared" si="5"/>
        <v>1</v>
      </c>
      <c r="BG10" s="204">
        <f t="shared" si="5"/>
        <v>1</v>
      </c>
      <c r="BH10" s="205">
        <f t="shared" si="5"/>
        <v>1</v>
      </c>
      <c r="BI10" s="203">
        <f t="shared" si="5"/>
        <v>1</v>
      </c>
      <c r="BJ10" s="203">
        <f t="shared" si="5"/>
        <v>1</v>
      </c>
      <c r="BK10" s="204">
        <f t="shared" si="5"/>
        <v>1</v>
      </c>
      <c r="BL10" s="205">
        <f t="shared" si="5"/>
        <v>1</v>
      </c>
      <c r="BM10" s="203">
        <f t="shared" si="5"/>
        <v>1</v>
      </c>
      <c r="BN10" s="203">
        <f t="shared" si="5"/>
        <v>1</v>
      </c>
      <c r="BO10" s="204">
        <f t="shared" si="5"/>
        <v>1</v>
      </c>
      <c r="BP10" s="205">
        <f t="shared" si="6"/>
        <v>1</v>
      </c>
      <c r="BQ10" s="203">
        <f t="shared" si="6"/>
        <v>1</v>
      </c>
      <c r="BR10" s="203">
        <f t="shared" si="6"/>
        <v>1</v>
      </c>
      <c r="BS10" s="204" t="str">
        <f t="shared" si="6"/>
        <v/>
      </c>
      <c r="BT10" s="205" t="str">
        <f t="shared" si="6"/>
        <v/>
      </c>
      <c r="BU10" s="203" t="str">
        <f t="shared" si="6"/>
        <v/>
      </c>
      <c r="BV10" s="203" t="str">
        <f t="shared" si="6"/>
        <v/>
      </c>
      <c r="BW10" s="204" t="str">
        <f t="shared" si="6"/>
        <v/>
      </c>
      <c r="BX10" s="205" t="str">
        <f t="shared" si="6"/>
        <v/>
      </c>
      <c r="BY10" s="203" t="str">
        <f t="shared" si="6"/>
        <v/>
      </c>
      <c r="BZ10" s="203" t="str">
        <f t="shared" si="6"/>
        <v/>
      </c>
      <c r="CA10" s="204" t="str">
        <f t="shared" si="6"/>
        <v/>
      </c>
      <c r="CB10" s="205" t="str">
        <f t="shared" si="6"/>
        <v/>
      </c>
      <c r="CC10" s="203" t="str">
        <f t="shared" si="6"/>
        <v/>
      </c>
      <c r="CD10" s="203" t="str">
        <f t="shared" si="6"/>
        <v/>
      </c>
      <c r="CE10" s="204" t="str">
        <f t="shared" si="6"/>
        <v/>
      </c>
    </row>
    <row r="11" spans="1:87" ht="18" customHeight="1">
      <c r="A11" s="22">
        <f>+TABELLA!AC15</f>
        <v>0</v>
      </c>
      <c r="B11" s="22">
        <f>+TABELLA!AD15</f>
        <v>0</v>
      </c>
      <c r="C11" s="22">
        <f>+TABELLA!AE15</f>
        <v>0</v>
      </c>
      <c r="D11" s="22">
        <f>+TABELLA!AF15</f>
        <v>0</v>
      </c>
      <c r="E11" s="22"/>
      <c r="F11" s="41">
        <f>IF(TABELLA!B15="","",TABELLA!B15)</f>
        <v>10</v>
      </c>
      <c r="G11" s="42" t="str">
        <f>IF(TABELLA!C15="","",TABELLA!C15)</f>
        <v/>
      </c>
      <c r="H11" s="206" t="str">
        <f t="shared" ref="H11:W11" si="11">IF(AND(G$3&gt;=$A11,G$3&lt;$B11),1,IF(AND(G$3&gt;=$C11,G$3&lt;$D11),1,""))</f>
        <v/>
      </c>
      <c r="I11" s="206" t="str">
        <f t="shared" si="11"/>
        <v/>
      </c>
      <c r="J11" s="206" t="str">
        <f t="shared" si="11"/>
        <v/>
      </c>
      <c r="K11" s="207" t="str">
        <f t="shared" si="11"/>
        <v/>
      </c>
      <c r="L11" s="208" t="str">
        <f t="shared" si="11"/>
        <v/>
      </c>
      <c r="M11" s="206" t="str">
        <f t="shared" si="11"/>
        <v/>
      </c>
      <c r="N11" s="206" t="str">
        <f t="shared" si="11"/>
        <v/>
      </c>
      <c r="O11" s="207" t="str">
        <f t="shared" si="11"/>
        <v/>
      </c>
      <c r="P11" s="208" t="str">
        <f t="shared" si="11"/>
        <v/>
      </c>
      <c r="Q11" s="206" t="str">
        <f t="shared" si="11"/>
        <v/>
      </c>
      <c r="R11" s="206" t="str">
        <f t="shared" si="11"/>
        <v/>
      </c>
      <c r="S11" s="207" t="str">
        <f t="shared" si="11"/>
        <v/>
      </c>
      <c r="T11" s="208" t="str">
        <f t="shared" si="11"/>
        <v/>
      </c>
      <c r="U11" s="206" t="str">
        <f t="shared" si="11"/>
        <v/>
      </c>
      <c r="V11" s="206" t="str">
        <f t="shared" si="11"/>
        <v/>
      </c>
      <c r="W11" s="207" t="str">
        <f t="shared" si="11"/>
        <v/>
      </c>
      <c r="X11" s="208" t="str">
        <f t="shared" si="3"/>
        <v/>
      </c>
      <c r="Y11" s="206" t="str">
        <f t="shared" si="3"/>
        <v/>
      </c>
      <c r="Z11" s="206" t="str">
        <f t="shared" si="3"/>
        <v/>
      </c>
      <c r="AA11" s="207" t="str">
        <f t="shared" si="3"/>
        <v/>
      </c>
      <c r="AB11" s="208" t="str">
        <f t="shared" si="3"/>
        <v/>
      </c>
      <c r="AC11" s="206" t="str">
        <f t="shared" si="3"/>
        <v/>
      </c>
      <c r="AD11" s="206" t="str">
        <f t="shared" si="3"/>
        <v/>
      </c>
      <c r="AE11" s="207" t="str">
        <f t="shared" si="3"/>
        <v/>
      </c>
      <c r="AF11" s="208" t="str">
        <f t="shared" si="3"/>
        <v/>
      </c>
      <c r="AG11" s="206" t="str">
        <f t="shared" si="3"/>
        <v/>
      </c>
      <c r="AH11" s="206" t="str">
        <f t="shared" si="3"/>
        <v/>
      </c>
      <c r="AI11" s="207" t="str">
        <f t="shared" si="3"/>
        <v/>
      </c>
      <c r="AJ11" s="208" t="str">
        <f t="shared" si="3"/>
        <v/>
      </c>
      <c r="AK11" s="206" t="str">
        <f t="shared" si="3"/>
        <v/>
      </c>
      <c r="AL11" s="206" t="str">
        <f t="shared" si="3"/>
        <v/>
      </c>
      <c r="AM11" s="207" t="str">
        <f t="shared" si="3"/>
        <v/>
      </c>
      <c r="AN11" s="208" t="str">
        <f t="shared" si="4"/>
        <v/>
      </c>
      <c r="AO11" s="206" t="str">
        <f t="shared" si="4"/>
        <v/>
      </c>
      <c r="AP11" s="206" t="str">
        <f t="shared" si="4"/>
        <v/>
      </c>
      <c r="AQ11" s="207" t="str">
        <f t="shared" si="4"/>
        <v/>
      </c>
      <c r="AR11" s="208" t="str">
        <f t="shared" si="4"/>
        <v/>
      </c>
      <c r="AS11" s="206" t="str">
        <f t="shared" si="4"/>
        <v/>
      </c>
      <c r="AT11" s="206" t="str">
        <f t="shared" si="4"/>
        <v/>
      </c>
      <c r="AU11" s="207" t="str">
        <f t="shared" si="4"/>
        <v/>
      </c>
      <c r="AV11" s="208" t="str">
        <f t="shared" si="4"/>
        <v/>
      </c>
      <c r="AW11" s="206" t="str">
        <f t="shared" si="4"/>
        <v/>
      </c>
      <c r="AX11" s="206" t="str">
        <f t="shared" si="4"/>
        <v/>
      </c>
      <c r="AY11" s="207" t="str">
        <f t="shared" si="4"/>
        <v/>
      </c>
      <c r="AZ11" s="208" t="str">
        <f t="shared" si="4"/>
        <v/>
      </c>
      <c r="BA11" s="206" t="str">
        <f t="shared" si="4"/>
        <v/>
      </c>
      <c r="BB11" s="206" t="str">
        <f t="shared" si="4"/>
        <v/>
      </c>
      <c r="BC11" s="207" t="str">
        <f t="shared" si="4"/>
        <v/>
      </c>
      <c r="BD11" s="208" t="str">
        <f t="shared" si="5"/>
        <v/>
      </c>
      <c r="BE11" s="206" t="str">
        <f t="shared" si="5"/>
        <v/>
      </c>
      <c r="BF11" s="206" t="str">
        <f t="shared" si="5"/>
        <v/>
      </c>
      <c r="BG11" s="207" t="str">
        <f t="shared" si="5"/>
        <v/>
      </c>
      <c r="BH11" s="208" t="str">
        <f t="shared" si="5"/>
        <v/>
      </c>
      <c r="BI11" s="206" t="str">
        <f t="shared" si="5"/>
        <v/>
      </c>
      <c r="BJ11" s="206" t="str">
        <f t="shared" si="5"/>
        <v/>
      </c>
      <c r="BK11" s="207" t="str">
        <f t="shared" si="5"/>
        <v/>
      </c>
      <c r="BL11" s="208" t="str">
        <f t="shared" si="5"/>
        <v/>
      </c>
      <c r="BM11" s="206" t="str">
        <f t="shared" si="5"/>
        <v/>
      </c>
      <c r="BN11" s="206" t="str">
        <f t="shared" si="5"/>
        <v/>
      </c>
      <c r="BO11" s="207" t="str">
        <f t="shared" si="5"/>
        <v/>
      </c>
      <c r="BP11" s="208" t="str">
        <f t="shared" si="6"/>
        <v/>
      </c>
      <c r="BQ11" s="206" t="str">
        <f t="shared" si="6"/>
        <v/>
      </c>
      <c r="BR11" s="206" t="str">
        <f t="shared" si="6"/>
        <v/>
      </c>
      <c r="BS11" s="207" t="str">
        <f t="shared" si="6"/>
        <v/>
      </c>
      <c r="BT11" s="208" t="str">
        <f t="shared" si="6"/>
        <v/>
      </c>
      <c r="BU11" s="206" t="str">
        <f t="shared" si="6"/>
        <v/>
      </c>
      <c r="BV11" s="206" t="str">
        <f t="shared" si="6"/>
        <v/>
      </c>
      <c r="BW11" s="207" t="str">
        <f t="shared" si="6"/>
        <v/>
      </c>
      <c r="BX11" s="208" t="str">
        <f t="shared" si="6"/>
        <v/>
      </c>
      <c r="BY11" s="206" t="str">
        <f t="shared" si="6"/>
        <v/>
      </c>
      <c r="BZ11" s="206" t="str">
        <f t="shared" si="6"/>
        <v/>
      </c>
      <c r="CA11" s="207" t="str">
        <f t="shared" si="6"/>
        <v/>
      </c>
      <c r="CB11" s="208" t="str">
        <f t="shared" si="6"/>
        <v/>
      </c>
      <c r="CC11" s="206" t="str">
        <f t="shared" si="6"/>
        <v/>
      </c>
      <c r="CD11" s="206" t="str">
        <f t="shared" si="6"/>
        <v/>
      </c>
      <c r="CE11" s="207" t="str">
        <f t="shared" si="6"/>
        <v/>
      </c>
    </row>
    <row r="12" spans="1:87" ht="18" customHeight="1">
      <c r="A12" s="22">
        <f>+TABELLA!AC16</f>
        <v>0</v>
      </c>
      <c r="B12" s="22">
        <f>+TABELLA!AD16</f>
        <v>0</v>
      </c>
      <c r="C12" s="22">
        <f>+TABELLA!AE16</f>
        <v>14.3</v>
      </c>
      <c r="D12" s="22">
        <f>+TABELLA!AF16</f>
        <v>19.3</v>
      </c>
      <c r="E12" s="22"/>
      <c r="F12" s="26">
        <f>IF(TABELLA!B16="","",TABELLA!B16)</f>
        <v>10</v>
      </c>
      <c r="G12" s="27" t="str">
        <f>IF(TABELLA!C16="","",TABELLA!C16)</f>
        <v>ALAM ARA</v>
      </c>
      <c r="H12" s="203" t="str">
        <f t="shared" ref="H12:W12" si="12">IF(AND(G$3&gt;=$A12,G$3&lt;$B12),1,IF(AND(G$3&gt;=$C12,G$3&lt;$D12),1,""))</f>
        <v/>
      </c>
      <c r="I12" s="203" t="str">
        <f t="shared" si="12"/>
        <v/>
      </c>
      <c r="J12" s="203" t="str">
        <f t="shared" si="12"/>
        <v/>
      </c>
      <c r="K12" s="204" t="str">
        <f t="shared" si="12"/>
        <v/>
      </c>
      <c r="L12" s="205" t="str">
        <f t="shared" si="12"/>
        <v/>
      </c>
      <c r="M12" s="203" t="str">
        <f t="shared" si="12"/>
        <v/>
      </c>
      <c r="N12" s="203" t="str">
        <f t="shared" si="12"/>
        <v/>
      </c>
      <c r="O12" s="204" t="str">
        <f t="shared" si="12"/>
        <v/>
      </c>
      <c r="P12" s="205" t="str">
        <f t="shared" si="12"/>
        <v/>
      </c>
      <c r="Q12" s="203" t="str">
        <f t="shared" si="12"/>
        <v/>
      </c>
      <c r="R12" s="203" t="str">
        <f t="shared" si="12"/>
        <v/>
      </c>
      <c r="S12" s="204" t="str">
        <f t="shared" si="12"/>
        <v/>
      </c>
      <c r="T12" s="205" t="str">
        <f t="shared" si="12"/>
        <v/>
      </c>
      <c r="U12" s="203" t="str">
        <f t="shared" si="12"/>
        <v/>
      </c>
      <c r="V12" s="203" t="str">
        <f t="shared" si="12"/>
        <v/>
      </c>
      <c r="W12" s="204" t="str">
        <f t="shared" si="12"/>
        <v/>
      </c>
      <c r="X12" s="205" t="str">
        <f t="shared" si="3"/>
        <v/>
      </c>
      <c r="Y12" s="203" t="str">
        <f t="shared" si="3"/>
        <v/>
      </c>
      <c r="Z12" s="203" t="str">
        <f t="shared" si="3"/>
        <v/>
      </c>
      <c r="AA12" s="204" t="str">
        <f t="shared" si="3"/>
        <v/>
      </c>
      <c r="AB12" s="205" t="str">
        <f t="shared" si="3"/>
        <v/>
      </c>
      <c r="AC12" s="203" t="str">
        <f t="shared" si="3"/>
        <v/>
      </c>
      <c r="AD12" s="203" t="str">
        <f t="shared" si="3"/>
        <v/>
      </c>
      <c r="AE12" s="204" t="str">
        <f t="shared" si="3"/>
        <v/>
      </c>
      <c r="AF12" s="205" t="str">
        <f t="shared" si="3"/>
        <v/>
      </c>
      <c r="AG12" s="203" t="str">
        <f t="shared" si="3"/>
        <v/>
      </c>
      <c r="AH12" s="203" t="str">
        <f t="shared" si="3"/>
        <v/>
      </c>
      <c r="AI12" s="204" t="str">
        <f t="shared" si="3"/>
        <v/>
      </c>
      <c r="AJ12" s="205" t="str">
        <f t="shared" si="3"/>
        <v/>
      </c>
      <c r="AK12" s="203" t="str">
        <f t="shared" si="3"/>
        <v/>
      </c>
      <c r="AL12" s="203" t="str">
        <f t="shared" si="3"/>
        <v/>
      </c>
      <c r="AM12" s="204" t="str">
        <f t="shared" si="3"/>
        <v/>
      </c>
      <c r="AN12" s="205" t="str">
        <f t="shared" si="4"/>
        <v/>
      </c>
      <c r="AO12" s="203" t="str">
        <f t="shared" si="4"/>
        <v/>
      </c>
      <c r="AP12" s="203" t="str">
        <f t="shared" si="4"/>
        <v/>
      </c>
      <c r="AQ12" s="204" t="str">
        <f t="shared" si="4"/>
        <v/>
      </c>
      <c r="AR12" s="205" t="str">
        <f t="shared" si="4"/>
        <v/>
      </c>
      <c r="AS12" s="203" t="str">
        <f t="shared" si="4"/>
        <v/>
      </c>
      <c r="AT12" s="203">
        <f t="shared" si="4"/>
        <v>1</v>
      </c>
      <c r="AU12" s="204">
        <f t="shared" si="4"/>
        <v>1</v>
      </c>
      <c r="AV12" s="205">
        <f t="shared" si="4"/>
        <v>1</v>
      </c>
      <c r="AW12" s="203">
        <f t="shared" si="4"/>
        <v>1</v>
      </c>
      <c r="AX12" s="203">
        <f t="shared" si="4"/>
        <v>1</v>
      </c>
      <c r="AY12" s="204">
        <f t="shared" si="4"/>
        <v>1</v>
      </c>
      <c r="AZ12" s="205">
        <f t="shared" si="4"/>
        <v>1</v>
      </c>
      <c r="BA12" s="203">
        <f t="shared" si="4"/>
        <v>1</v>
      </c>
      <c r="BB12" s="203">
        <f t="shared" si="4"/>
        <v>1</v>
      </c>
      <c r="BC12" s="204">
        <f t="shared" si="4"/>
        <v>1</v>
      </c>
      <c r="BD12" s="205">
        <f t="shared" si="5"/>
        <v>1</v>
      </c>
      <c r="BE12" s="203">
        <f t="shared" si="5"/>
        <v>1</v>
      </c>
      <c r="BF12" s="203">
        <f t="shared" si="5"/>
        <v>1</v>
      </c>
      <c r="BG12" s="204">
        <f t="shared" si="5"/>
        <v>1</v>
      </c>
      <c r="BH12" s="205">
        <f t="shared" si="5"/>
        <v>1</v>
      </c>
      <c r="BI12" s="203">
        <f t="shared" si="5"/>
        <v>1</v>
      </c>
      <c r="BJ12" s="203">
        <f t="shared" si="5"/>
        <v>1</v>
      </c>
      <c r="BK12" s="204">
        <f t="shared" si="5"/>
        <v>1</v>
      </c>
      <c r="BL12" s="205">
        <f t="shared" si="5"/>
        <v>1</v>
      </c>
      <c r="BM12" s="203">
        <f t="shared" si="5"/>
        <v>1</v>
      </c>
      <c r="BN12" s="203" t="str">
        <f t="shared" si="5"/>
        <v/>
      </c>
      <c r="BO12" s="204" t="str">
        <f t="shared" si="5"/>
        <v/>
      </c>
      <c r="BP12" s="205" t="str">
        <f t="shared" si="6"/>
        <v/>
      </c>
      <c r="BQ12" s="203" t="str">
        <f t="shared" si="6"/>
        <v/>
      </c>
      <c r="BR12" s="203" t="str">
        <f t="shared" si="6"/>
        <v/>
      </c>
      <c r="BS12" s="204" t="str">
        <f t="shared" si="6"/>
        <v/>
      </c>
      <c r="BT12" s="205" t="str">
        <f t="shared" si="6"/>
        <v/>
      </c>
      <c r="BU12" s="203" t="str">
        <f t="shared" si="6"/>
        <v/>
      </c>
      <c r="BV12" s="203" t="str">
        <f t="shared" si="6"/>
        <v/>
      </c>
      <c r="BW12" s="204" t="str">
        <f t="shared" si="6"/>
        <v/>
      </c>
      <c r="BX12" s="205" t="str">
        <f t="shared" si="6"/>
        <v/>
      </c>
      <c r="BY12" s="203" t="str">
        <f t="shared" si="6"/>
        <v/>
      </c>
      <c r="BZ12" s="203" t="str">
        <f t="shared" si="6"/>
        <v/>
      </c>
      <c r="CA12" s="204" t="str">
        <f t="shared" si="6"/>
        <v/>
      </c>
      <c r="CB12" s="205" t="str">
        <f t="shared" si="6"/>
        <v/>
      </c>
      <c r="CC12" s="203" t="str">
        <f t="shared" si="6"/>
        <v/>
      </c>
      <c r="CD12" s="203" t="str">
        <f t="shared" si="6"/>
        <v/>
      </c>
      <c r="CE12" s="204" t="str">
        <f t="shared" si="6"/>
        <v/>
      </c>
    </row>
    <row r="13" spans="1:87" ht="18" customHeight="1">
      <c r="A13" s="22">
        <f>+TABELLA!AC17</f>
        <v>0</v>
      </c>
      <c r="B13" s="22">
        <f>+TABELLA!AD17</f>
        <v>0</v>
      </c>
      <c r="C13" s="22">
        <f>+TABELLA!AE17</f>
        <v>16.3</v>
      </c>
      <c r="D13" s="22">
        <f>+TABELLA!AF17</f>
        <v>20.45</v>
      </c>
      <c r="E13" s="22"/>
      <c r="F13" s="41">
        <f>IF(TABELLA!B17="","",TABELLA!B17)</f>
        <v>10</v>
      </c>
      <c r="G13" s="42" t="str">
        <f>IF(TABELLA!C17="","",TABELLA!C17)</f>
        <v>BONATO ANGELO</v>
      </c>
      <c r="H13" s="206" t="str">
        <f t="shared" ref="H13:W13" si="13">IF(AND(G$3&gt;=$A13,G$3&lt;$B13),1,IF(AND(G$3&gt;=$C13,G$3&lt;$D13),1,""))</f>
        <v/>
      </c>
      <c r="I13" s="206" t="str">
        <f t="shared" si="13"/>
        <v/>
      </c>
      <c r="J13" s="206" t="str">
        <f t="shared" si="13"/>
        <v/>
      </c>
      <c r="K13" s="207" t="str">
        <f t="shared" si="13"/>
        <v/>
      </c>
      <c r="L13" s="208" t="str">
        <f t="shared" si="13"/>
        <v/>
      </c>
      <c r="M13" s="206" t="str">
        <f t="shared" si="13"/>
        <v/>
      </c>
      <c r="N13" s="206" t="str">
        <f t="shared" si="13"/>
        <v/>
      </c>
      <c r="O13" s="207" t="str">
        <f t="shared" si="13"/>
        <v/>
      </c>
      <c r="P13" s="208" t="str">
        <f t="shared" si="13"/>
        <v/>
      </c>
      <c r="Q13" s="206" t="str">
        <f t="shared" si="13"/>
        <v/>
      </c>
      <c r="R13" s="206" t="str">
        <f t="shared" si="13"/>
        <v/>
      </c>
      <c r="S13" s="207" t="str">
        <f t="shared" si="13"/>
        <v/>
      </c>
      <c r="T13" s="208" t="str">
        <f t="shared" si="13"/>
        <v/>
      </c>
      <c r="U13" s="206" t="str">
        <f t="shared" si="13"/>
        <v/>
      </c>
      <c r="V13" s="206" t="str">
        <f t="shared" si="13"/>
        <v/>
      </c>
      <c r="W13" s="207" t="str">
        <f t="shared" si="13"/>
        <v/>
      </c>
      <c r="X13" s="208" t="str">
        <f t="shared" si="3"/>
        <v/>
      </c>
      <c r="Y13" s="206" t="str">
        <f t="shared" si="3"/>
        <v/>
      </c>
      <c r="Z13" s="206" t="str">
        <f t="shared" si="3"/>
        <v/>
      </c>
      <c r="AA13" s="207" t="str">
        <f t="shared" si="3"/>
        <v/>
      </c>
      <c r="AB13" s="208" t="str">
        <f t="shared" si="3"/>
        <v/>
      </c>
      <c r="AC13" s="206" t="str">
        <f t="shared" si="3"/>
        <v/>
      </c>
      <c r="AD13" s="206" t="str">
        <f t="shared" si="3"/>
        <v/>
      </c>
      <c r="AE13" s="207" t="str">
        <f t="shared" si="3"/>
        <v/>
      </c>
      <c r="AF13" s="208" t="str">
        <f t="shared" si="3"/>
        <v/>
      </c>
      <c r="AG13" s="206" t="str">
        <f t="shared" si="3"/>
        <v/>
      </c>
      <c r="AH13" s="206" t="str">
        <f t="shared" si="3"/>
        <v/>
      </c>
      <c r="AI13" s="207" t="str">
        <f t="shared" si="3"/>
        <v/>
      </c>
      <c r="AJ13" s="208" t="str">
        <f t="shared" si="3"/>
        <v/>
      </c>
      <c r="AK13" s="206" t="str">
        <f t="shared" si="3"/>
        <v/>
      </c>
      <c r="AL13" s="206" t="str">
        <f t="shared" si="3"/>
        <v/>
      </c>
      <c r="AM13" s="207" t="str">
        <f t="shared" si="3"/>
        <v/>
      </c>
      <c r="AN13" s="208" t="str">
        <f t="shared" si="4"/>
        <v/>
      </c>
      <c r="AO13" s="206" t="str">
        <f t="shared" si="4"/>
        <v/>
      </c>
      <c r="AP13" s="206" t="str">
        <f t="shared" si="4"/>
        <v/>
      </c>
      <c r="AQ13" s="207" t="str">
        <f t="shared" si="4"/>
        <v/>
      </c>
      <c r="AR13" s="208" t="str">
        <f t="shared" si="4"/>
        <v/>
      </c>
      <c r="AS13" s="206" t="str">
        <f t="shared" si="4"/>
        <v/>
      </c>
      <c r="AT13" s="206" t="str">
        <f t="shared" si="4"/>
        <v/>
      </c>
      <c r="AU13" s="207" t="str">
        <f t="shared" si="4"/>
        <v/>
      </c>
      <c r="AV13" s="208" t="str">
        <f t="shared" si="4"/>
        <v/>
      </c>
      <c r="AW13" s="206" t="str">
        <f t="shared" si="4"/>
        <v/>
      </c>
      <c r="AX13" s="206" t="str">
        <f t="shared" si="4"/>
        <v/>
      </c>
      <c r="AY13" s="207" t="str">
        <f t="shared" si="4"/>
        <v/>
      </c>
      <c r="AZ13" s="208" t="str">
        <f t="shared" si="4"/>
        <v/>
      </c>
      <c r="BA13" s="206" t="str">
        <f t="shared" si="4"/>
        <v/>
      </c>
      <c r="BB13" s="206">
        <f t="shared" si="4"/>
        <v>1</v>
      </c>
      <c r="BC13" s="207">
        <f t="shared" si="4"/>
        <v>1</v>
      </c>
      <c r="BD13" s="208">
        <f t="shared" si="5"/>
        <v>1</v>
      </c>
      <c r="BE13" s="206">
        <f t="shared" si="5"/>
        <v>1</v>
      </c>
      <c r="BF13" s="206">
        <f t="shared" si="5"/>
        <v>1</v>
      </c>
      <c r="BG13" s="207">
        <f t="shared" si="5"/>
        <v>1</v>
      </c>
      <c r="BH13" s="208">
        <f t="shared" si="5"/>
        <v>1</v>
      </c>
      <c r="BI13" s="206">
        <f t="shared" si="5"/>
        <v>1</v>
      </c>
      <c r="BJ13" s="206">
        <f t="shared" si="5"/>
        <v>1</v>
      </c>
      <c r="BK13" s="207">
        <f t="shared" si="5"/>
        <v>1</v>
      </c>
      <c r="BL13" s="208">
        <f t="shared" si="5"/>
        <v>1</v>
      </c>
      <c r="BM13" s="206">
        <f t="shared" si="5"/>
        <v>1</v>
      </c>
      <c r="BN13" s="206">
        <f t="shared" si="5"/>
        <v>1</v>
      </c>
      <c r="BO13" s="207">
        <f t="shared" si="5"/>
        <v>1</v>
      </c>
      <c r="BP13" s="208">
        <f t="shared" si="6"/>
        <v>1</v>
      </c>
      <c r="BQ13" s="206">
        <f t="shared" si="6"/>
        <v>1</v>
      </c>
      <c r="BR13" s="206">
        <f t="shared" si="6"/>
        <v>1</v>
      </c>
      <c r="BS13" s="207" t="str">
        <f t="shared" si="6"/>
        <v/>
      </c>
      <c r="BT13" s="208" t="str">
        <f t="shared" si="6"/>
        <v/>
      </c>
      <c r="BU13" s="206" t="str">
        <f t="shared" si="6"/>
        <v/>
      </c>
      <c r="BV13" s="206" t="str">
        <f t="shared" si="6"/>
        <v/>
      </c>
      <c r="BW13" s="207" t="str">
        <f t="shared" si="6"/>
        <v/>
      </c>
      <c r="BX13" s="208" t="str">
        <f t="shared" si="6"/>
        <v/>
      </c>
      <c r="BY13" s="206" t="str">
        <f t="shared" si="6"/>
        <v/>
      </c>
      <c r="BZ13" s="206" t="str">
        <f t="shared" si="6"/>
        <v/>
      </c>
      <c r="CA13" s="207" t="str">
        <f t="shared" si="6"/>
        <v/>
      </c>
      <c r="CB13" s="208" t="str">
        <f t="shared" si="6"/>
        <v/>
      </c>
      <c r="CC13" s="206" t="str">
        <f t="shared" si="6"/>
        <v/>
      </c>
      <c r="CD13" s="206" t="str">
        <f t="shared" si="6"/>
        <v/>
      </c>
      <c r="CE13" s="207" t="str">
        <f t="shared" si="6"/>
        <v/>
      </c>
    </row>
    <row r="14" spans="1:87" ht="18" customHeight="1">
      <c r="A14" s="22">
        <f>+TABELLA!AC18</f>
        <v>8</v>
      </c>
      <c r="B14" s="22">
        <f>+TABELLA!AD18</f>
        <v>13.15</v>
      </c>
      <c r="C14" s="22">
        <f>+TABELLA!AE18</f>
        <v>0</v>
      </c>
      <c r="D14" s="22">
        <f>+TABELLA!AF18</f>
        <v>0</v>
      </c>
      <c r="E14" s="22"/>
      <c r="F14" s="26">
        <f>IF(TABELLA!B18="","",TABELLA!B18)</f>
        <v>10</v>
      </c>
      <c r="G14" s="27" t="str">
        <f>IF(TABELLA!C18="","",TABELLA!C18)</f>
        <v>SALVATO CRISTIAN</v>
      </c>
      <c r="H14" s="203" t="str">
        <f t="shared" ref="H14:W14" si="14">IF(AND(G$3&gt;=$A14,G$3&lt;$B14),1,IF(AND(G$3&gt;=$C14,G$3&lt;$D14),1,""))</f>
        <v/>
      </c>
      <c r="I14" s="203" t="str">
        <f t="shared" si="14"/>
        <v/>
      </c>
      <c r="J14" s="203" t="str">
        <f t="shared" si="14"/>
        <v/>
      </c>
      <c r="K14" s="204" t="str">
        <f t="shared" si="14"/>
        <v/>
      </c>
      <c r="L14" s="205" t="str">
        <f t="shared" si="14"/>
        <v/>
      </c>
      <c r="M14" s="203" t="str">
        <f t="shared" si="14"/>
        <v/>
      </c>
      <c r="N14" s="203" t="str">
        <f t="shared" si="14"/>
        <v/>
      </c>
      <c r="O14" s="204" t="str">
        <f t="shared" si="14"/>
        <v/>
      </c>
      <c r="P14" s="205" t="str">
        <f t="shared" si="14"/>
        <v/>
      </c>
      <c r="Q14" s="203" t="str">
        <f t="shared" si="14"/>
        <v/>
      </c>
      <c r="R14" s="203" t="str">
        <f t="shared" si="14"/>
        <v/>
      </c>
      <c r="S14" s="204" t="str">
        <f t="shared" si="14"/>
        <v/>
      </c>
      <c r="T14" s="205">
        <f t="shared" si="14"/>
        <v>1</v>
      </c>
      <c r="U14" s="203">
        <f t="shared" si="14"/>
        <v>1</v>
      </c>
      <c r="V14" s="203">
        <f t="shared" si="14"/>
        <v>1</v>
      </c>
      <c r="W14" s="204">
        <f t="shared" si="14"/>
        <v>1</v>
      </c>
      <c r="X14" s="205">
        <f t="shared" si="3"/>
        <v>1</v>
      </c>
      <c r="Y14" s="203">
        <f t="shared" si="3"/>
        <v>1</v>
      </c>
      <c r="Z14" s="203">
        <f t="shared" si="3"/>
        <v>1</v>
      </c>
      <c r="AA14" s="204">
        <f t="shared" si="3"/>
        <v>1</v>
      </c>
      <c r="AB14" s="205">
        <f t="shared" si="3"/>
        <v>1</v>
      </c>
      <c r="AC14" s="203">
        <f t="shared" si="3"/>
        <v>1</v>
      </c>
      <c r="AD14" s="203">
        <f t="shared" si="3"/>
        <v>1</v>
      </c>
      <c r="AE14" s="204">
        <f t="shared" si="3"/>
        <v>1</v>
      </c>
      <c r="AF14" s="205">
        <f t="shared" si="3"/>
        <v>1</v>
      </c>
      <c r="AG14" s="203">
        <f t="shared" si="3"/>
        <v>1</v>
      </c>
      <c r="AH14" s="203">
        <f t="shared" si="3"/>
        <v>1</v>
      </c>
      <c r="AI14" s="204">
        <f t="shared" si="3"/>
        <v>1</v>
      </c>
      <c r="AJ14" s="205">
        <f t="shared" si="3"/>
        <v>1</v>
      </c>
      <c r="AK14" s="203">
        <f t="shared" si="3"/>
        <v>1</v>
      </c>
      <c r="AL14" s="203">
        <f t="shared" si="3"/>
        <v>1</v>
      </c>
      <c r="AM14" s="204">
        <f t="shared" si="3"/>
        <v>1</v>
      </c>
      <c r="AN14" s="205">
        <f t="shared" si="4"/>
        <v>1</v>
      </c>
      <c r="AO14" s="203" t="str">
        <f t="shared" si="4"/>
        <v/>
      </c>
      <c r="AP14" s="203" t="str">
        <f t="shared" si="4"/>
        <v/>
      </c>
      <c r="AQ14" s="204" t="str">
        <f t="shared" si="4"/>
        <v/>
      </c>
      <c r="AR14" s="205" t="str">
        <f t="shared" si="4"/>
        <v/>
      </c>
      <c r="AS14" s="203" t="str">
        <f t="shared" si="4"/>
        <v/>
      </c>
      <c r="AT14" s="203" t="str">
        <f t="shared" si="4"/>
        <v/>
      </c>
      <c r="AU14" s="204" t="str">
        <f t="shared" si="4"/>
        <v/>
      </c>
      <c r="AV14" s="205" t="str">
        <f t="shared" si="4"/>
        <v/>
      </c>
      <c r="AW14" s="203" t="str">
        <f t="shared" si="4"/>
        <v/>
      </c>
      <c r="AX14" s="203" t="str">
        <f t="shared" si="4"/>
        <v/>
      </c>
      <c r="AY14" s="204" t="str">
        <f t="shared" si="4"/>
        <v/>
      </c>
      <c r="AZ14" s="205" t="str">
        <f t="shared" si="4"/>
        <v/>
      </c>
      <c r="BA14" s="203" t="str">
        <f t="shared" si="4"/>
        <v/>
      </c>
      <c r="BB14" s="203" t="str">
        <f t="shared" si="4"/>
        <v/>
      </c>
      <c r="BC14" s="204" t="str">
        <f t="shared" si="4"/>
        <v/>
      </c>
      <c r="BD14" s="205" t="str">
        <f t="shared" si="5"/>
        <v/>
      </c>
      <c r="BE14" s="203" t="str">
        <f t="shared" si="5"/>
        <v/>
      </c>
      <c r="BF14" s="203" t="str">
        <f t="shared" si="5"/>
        <v/>
      </c>
      <c r="BG14" s="204" t="str">
        <f t="shared" si="5"/>
        <v/>
      </c>
      <c r="BH14" s="205" t="str">
        <f t="shared" si="5"/>
        <v/>
      </c>
      <c r="BI14" s="203" t="str">
        <f t="shared" si="5"/>
        <v/>
      </c>
      <c r="BJ14" s="203" t="str">
        <f t="shared" si="5"/>
        <v/>
      </c>
      <c r="BK14" s="204" t="str">
        <f t="shared" si="5"/>
        <v/>
      </c>
      <c r="BL14" s="205" t="str">
        <f t="shared" si="5"/>
        <v/>
      </c>
      <c r="BM14" s="203" t="str">
        <f t="shared" si="5"/>
        <v/>
      </c>
      <c r="BN14" s="203" t="str">
        <f t="shared" si="5"/>
        <v/>
      </c>
      <c r="BO14" s="204" t="str">
        <f t="shared" si="5"/>
        <v/>
      </c>
      <c r="BP14" s="205" t="str">
        <f t="shared" si="6"/>
        <v/>
      </c>
      <c r="BQ14" s="203" t="str">
        <f t="shared" si="6"/>
        <v/>
      </c>
      <c r="BR14" s="203" t="str">
        <f t="shared" si="6"/>
        <v/>
      </c>
      <c r="BS14" s="204" t="str">
        <f t="shared" si="6"/>
        <v/>
      </c>
      <c r="BT14" s="205" t="str">
        <f t="shared" si="6"/>
        <v/>
      </c>
      <c r="BU14" s="203" t="str">
        <f t="shared" si="6"/>
        <v/>
      </c>
      <c r="BV14" s="203" t="str">
        <f t="shared" si="6"/>
        <v/>
      </c>
      <c r="BW14" s="204" t="str">
        <f t="shared" si="6"/>
        <v/>
      </c>
      <c r="BX14" s="205" t="str">
        <f t="shared" si="6"/>
        <v/>
      </c>
      <c r="BY14" s="203" t="str">
        <f t="shared" si="6"/>
        <v/>
      </c>
      <c r="BZ14" s="203" t="str">
        <f t="shared" si="6"/>
        <v/>
      </c>
      <c r="CA14" s="204" t="str">
        <f t="shared" si="6"/>
        <v/>
      </c>
      <c r="CB14" s="205" t="str">
        <f t="shared" si="6"/>
        <v/>
      </c>
      <c r="CC14" s="203" t="str">
        <f t="shared" si="6"/>
        <v/>
      </c>
      <c r="CD14" s="203" t="str">
        <f t="shared" si="6"/>
        <v/>
      </c>
      <c r="CE14" s="204" t="str">
        <f t="shared" si="6"/>
        <v/>
      </c>
    </row>
    <row r="15" spans="1:87" ht="18" customHeight="1">
      <c r="A15" s="22">
        <f>+TABELLA!AC19</f>
        <v>12</v>
      </c>
      <c r="B15" s="22">
        <f>+TABELLA!AD19</f>
        <v>16.149999999999999</v>
      </c>
      <c r="C15" s="22">
        <f>+TABELLA!AE19</f>
        <v>0</v>
      </c>
      <c r="D15" s="22">
        <f>+TABELLA!AF19</f>
        <v>0</v>
      </c>
      <c r="E15" s="22"/>
      <c r="F15" s="41">
        <f>IF(TABELLA!B19="","",TABELLA!B19)</f>
        <v>10</v>
      </c>
      <c r="G15" s="42" t="str">
        <f>IF(TABELLA!C19="","",TABELLA!C19)</f>
        <v>VALENTINI TAMARA</v>
      </c>
      <c r="H15" s="206" t="str">
        <f t="shared" ref="H15:W15" si="15">IF(AND(G$3&gt;=$A15,G$3&lt;$B15),1,IF(AND(G$3&gt;=$C15,G$3&lt;$D15),1,""))</f>
        <v/>
      </c>
      <c r="I15" s="206" t="str">
        <f t="shared" si="15"/>
        <v/>
      </c>
      <c r="J15" s="206" t="str">
        <f t="shared" si="15"/>
        <v/>
      </c>
      <c r="K15" s="207" t="str">
        <f t="shared" si="15"/>
        <v/>
      </c>
      <c r="L15" s="208" t="str">
        <f t="shared" si="15"/>
        <v/>
      </c>
      <c r="M15" s="206" t="str">
        <f t="shared" si="15"/>
        <v/>
      </c>
      <c r="N15" s="206" t="str">
        <f t="shared" si="15"/>
        <v/>
      </c>
      <c r="O15" s="207" t="str">
        <f t="shared" si="15"/>
        <v/>
      </c>
      <c r="P15" s="208" t="str">
        <f t="shared" si="15"/>
        <v/>
      </c>
      <c r="Q15" s="206" t="str">
        <f t="shared" si="15"/>
        <v/>
      </c>
      <c r="R15" s="206" t="str">
        <f t="shared" si="15"/>
        <v/>
      </c>
      <c r="S15" s="207" t="str">
        <f t="shared" si="15"/>
        <v/>
      </c>
      <c r="T15" s="208" t="str">
        <f t="shared" si="15"/>
        <v/>
      </c>
      <c r="U15" s="206" t="str">
        <f t="shared" si="15"/>
        <v/>
      </c>
      <c r="V15" s="206" t="str">
        <f t="shared" si="15"/>
        <v/>
      </c>
      <c r="W15" s="207" t="str">
        <f t="shared" si="15"/>
        <v/>
      </c>
      <c r="X15" s="208" t="str">
        <f t="shared" si="3"/>
        <v/>
      </c>
      <c r="Y15" s="206" t="str">
        <f t="shared" si="3"/>
        <v/>
      </c>
      <c r="Z15" s="206" t="str">
        <f t="shared" si="3"/>
        <v/>
      </c>
      <c r="AA15" s="207" t="str">
        <f t="shared" si="3"/>
        <v/>
      </c>
      <c r="AB15" s="208" t="str">
        <f t="shared" si="3"/>
        <v/>
      </c>
      <c r="AC15" s="206" t="str">
        <f t="shared" si="3"/>
        <v/>
      </c>
      <c r="AD15" s="206" t="str">
        <f t="shared" si="3"/>
        <v/>
      </c>
      <c r="AE15" s="207" t="str">
        <f t="shared" si="3"/>
        <v/>
      </c>
      <c r="AF15" s="208" t="str">
        <f t="shared" si="3"/>
        <v/>
      </c>
      <c r="AG15" s="206" t="str">
        <f t="shared" si="3"/>
        <v/>
      </c>
      <c r="AH15" s="206" t="str">
        <f t="shared" si="3"/>
        <v/>
      </c>
      <c r="AI15" s="207" t="str">
        <f t="shared" si="3"/>
        <v/>
      </c>
      <c r="AJ15" s="208">
        <f t="shared" si="3"/>
        <v>1</v>
      </c>
      <c r="AK15" s="206">
        <f t="shared" si="3"/>
        <v>1</v>
      </c>
      <c r="AL15" s="206">
        <f t="shared" si="3"/>
        <v>1</v>
      </c>
      <c r="AM15" s="207">
        <f t="shared" si="3"/>
        <v>1</v>
      </c>
      <c r="AN15" s="208">
        <f t="shared" si="4"/>
        <v>1</v>
      </c>
      <c r="AO15" s="206">
        <f t="shared" si="4"/>
        <v>1</v>
      </c>
      <c r="AP15" s="206">
        <f t="shared" si="4"/>
        <v>1</v>
      </c>
      <c r="AQ15" s="207">
        <f t="shared" si="4"/>
        <v>1</v>
      </c>
      <c r="AR15" s="208">
        <f t="shared" si="4"/>
        <v>1</v>
      </c>
      <c r="AS15" s="206">
        <f t="shared" si="4"/>
        <v>1</v>
      </c>
      <c r="AT15" s="206">
        <f t="shared" si="4"/>
        <v>1</v>
      </c>
      <c r="AU15" s="207">
        <f t="shared" si="4"/>
        <v>1</v>
      </c>
      <c r="AV15" s="208">
        <f t="shared" si="4"/>
        <v>1</v>
      </c>
      <c r="AW15" s="206">
        <f t="shared" si="4"/>
        <v>1</v>
      </c>
      <c r="AX15" s="206">
        <f t="shared" si="4"/>
        <v>1</v>
      </c>
      <c r="AY15" s="207">
        <f t="shared" si="4"/>
        <v>1</v>
      </c>
      <c r="AZ15" s="208">
        <f t="shared" si="4"/>
        <v>1</v>
      </c>
      <c r="BA15" s="206" t="str">
        <f t="shared" si="4"/>
        <v/>
      </c>
      <c r="BB15" s="206" t="str">
        <f t="shared" si="4"/>
        <v/>
      </c>
      <c r="BC15" s="207" t="str">
        <f t="shared" si="4"/>
        <v/>
      </c>
      <c r="BD15" s="208" t="str">
        <f t="shared" si="5"/>
        <v/>
      </c>
      <c r="BE15" s="206" t="str">
        <f t="shared" si="5"/>
        <v/>
      </c>
      <c r="BF15" s="206" t="str">
        <f t="shared" si="5"/>
        <v/>
      </c>
      <c r="BG15" s="207" t="str">
        <f t="shared" si="5"/>
        <v/>
      </c>
      <c r="BH15" s="208" t="str">
        <f t="shared" si="5"/>
        <v/>
      </c>
      <c r="BI15" s="206" t="str">
        <f t="shared" si="5"/>
        <v/>
      </c>
      <c r="BJ15" s="206" t="str">
        <f t="shared" si="5"/>
        <v/>
      </c>
      <c r="BK15" s="207" t="str">
        <f t="shared" si="5"/>
        <v/>
      </c>
      <c r="BL15" s="208" t="str">
        <f t="shared" si="5"/>
        <v/>
      </c>
      <c r="BM15" s="206" t="str">
        <f t="shared" si="5"/>
        <v/>
      </c>
      <c r="BN15" s="206" t="str">
        <f t="shared" si="5"/>
        <v/>
      </c>
      <c r="BO15" s="207" t="str">
        <f t="shared" si="5"/>
        <v/>
      </c>
      <c r="BP15" s="208" t="str">
        <f t="shared" si="6"/>
        <v/>
      </c>
      <c r="BQ15" s="206" t="str">
        <f t="shared" si="6"/>
        <v/>
      </c>
      <c r="BR15" s="206" t="str">
        <f t="shared" si="6"/>
        <v/>
      </c>
      <c r="BS15" s="207" t="str">
        <f t="shared" si="6"/>
        <v/>
      </c>
      <c r="BT15" s="208" t="str">
        <f t="shared" si="6"/>
        <v/>
      </c>
      <c r="BU15" s="206" t="str">
        <f t="shared" si="6"/>
        <v/>
      </c>
      <c r="BV15" s="206" t="str">
        <f t="shared" si="6"/>
        <v/>
      </c>
      <c r="BW15" s="207" t="str">
        <f t="shared" si="6"/>
        <v/>
      </c>
      <c r="BX15" s="208" t="str">
        <f t="shared" si="6"/>
        <v/>
      </c>
      <c r="BY15" s="206" t="str">
        <f t="shared" si="6"/>
        <v/>
      </c>
      <c r="BZ15" s="206" t="str">
        <f t="shared" si="6"/>
        <v/>
      </c>
      <c r="CA15" s="207" t="str">
        <f t="shared" si="6"/>
        <v/>
      </c>
      <c r="CB15" s="208" t="str">
        <f t="shared" si="6"/>
        <v/>
      </c>
      <c r="CC15" s="206" t="str">
        <f t="shared" si="6"/>
        <v/>
      </c>
      <c r="CD15" s="206" t="str">
        <f t="shared" si="6"/>
        <v/>
      </c>
      <c r="CE15" s="207" t="str">
        <f t="shared" si="6"/>
        <v/>
      </c>
    </row>
    <row r="16" spans="1:87" ht="18" customHeight="1">
      <c r="A16" s="22">
        <f>+TABELLA!AC20</f>
        <v>9.4499999999999993</v>
      </c>
      <c r="B16" s="22">
        <f>+TABELLA!AD20</f>
        <v>13</v>
      </c>
      <c r="C16" s="22">
        <f>+TABELLA!AE20</f>
        <v>0</v>
      </c>
      <c r="D16" s="22">
        <f>+TABELLA!AF20</f>
        <v>0</v>
      </c>
      <c r="E16" s="22"/>
      <c r="F16" s="26">
        <f>IF(TABELLA!B20="","",TABELLA!B20)</f>
        <v>10</v>
      </c>
      <c r="G16" s="27" t="str">
        <f>IF(TABELLA!C20="","",TABELLA!C20)</f>
        <v>ALESSANDRO</v>
      </c>
      <c r="H16" s="203" t="str">
        <f t="shared" ref="H16:W16" si="16">IF(AND(G$3&gt;=$A16,G$3&lt;$B16),1,IF(AND(G$3&gt;=$C16,G$3&lt;$D16),1,""))</f>
        <v/>
      </c>
      <c r="I16" s="203" t="str">
        <f t="shared" si="16"/>
        <v/>
      </c>
      <c r="J16" s="203" t="str">
        <f t="shared" si="16"/>
        <v/>
      </c>
      <c r="K16" s="204" t="str">
        <f t="shared" si="16"/>
        <v/>
      </c>
      <c r="L16" s="205" t="str">
        <f t="shared" si="16"/>
        <v/>
      </c>
      <c r="M16" s="203" t="str">
        <f t="shared" si="16"/>
        <v/>
      </c>
      <c r="N16" s="203" t="str">
        <f t="shared" si="16"/>
        <v/>
      </c>
      <c r="O16" s="204" t="str">
        <f t="shared" si="16"/>
        <v/>
      </c>
      <c r="P16" s="205" t="str">
        <f t="shared" si="16"/>
        <v/>
      </c>
      <c r="Q16" s="203" t="str">
        <f t="shared" si="16"/>
        <v/>
      </c>
      <c r="R16" s="203" t="str">
        <f t="shared" si="16"/>
        <v/>
      </c>
      <c r="S16" s="204" t="str">
        <f t="shared" si="16"/>
        <v/>
      </c>
      <c r="T16" s="205" t="str">
        <f t="shared" si="16"/>
        <v/>
      </c>
      <c r="U16" s="203" t="str">
        <f t="shared" si="16"/>
        <v/>
      </c>
      <c r="V16" s="203" t="str">
        <f t="shared" si="16"/>
        <v/>
      </c>
      <c r="W16" s="204" t="str">
        <f t="shared" si="16"/>
        <v/>
      </c>
      <c r="X16" s="205" t="str">
        <f t="shared" si="3"/>
        <v/>
      </c>
      <c r="Y16" s="203" t="str">
        <f t="shared" si="3"/>
        <v/>
      </c>
      <c r="Z16" s="203" t="str">
        <f t="shared" si="3"/>
        <v/>
      </c>
      <c r="AA16" s="204">
        <f t="shared" si="3"/>
        <v>1</v>
      </c>
      <c r="AB16" s="205">
        <f t="shared" si="3"/>
        <v>1</v>
      </c>
      <c r="AC16" s="203">
        <f t="shared" si="3"/>
        <v>1</v>
      </c>
      <c r="AD16" s="203">
        <f t="shared" si="3"/>
        <v>1</v>
      </c>
      <c r="AE16" s="204">
        <f t="shared" si="3"/>
        <v>1</v>
      </c>
      <c r="AF16" s="205">
        <f t="shared" si="3"/>
        <v>1</v>
      </c>
      <c r="AG16" s="203">
        <f t="shared" si="3"/>
        <v>1</v>
      </c>
      <c r="AH16" s="203">
        <f t="shared" si="3"/>
        <v>1</v>
      </c>
      <c r="AI16" s="204">
        <f t="shared" si="3"/>
        <v>1</v>
      </c>
      <c r="AJ16" s="205">
        <f t="shared" si="3"/>
        <v>1</v>
      </c>
      <c r="AK16" s="203">
        <f t="shared" si="3"/>
        <v>1</v>
      </c>
      <c r="AL16" s="203">
        <f t="shared" si="3"/>
        <v>1</v>
      </c>
      <c r="AM16" s="204">
        <f t="shared" si="3"/>
        <v>1</v>
      </c>
      <c r="AN16" s="205" t="str">
        <f t="shared" si="4"/>
        <v/>
      </c>
      <c r="AO16" s="203" t="str">
        <f t="shared" si="4"/>
        <v/>
      </c>
      <c r="AP16" s="203" t="str">
        <f t="shared" si="4"/>
        <v/>
      </c>
      <c r="AQ16" s="204" t="str">
        <f t="shared" si="4"/>
        <v/>
      </c>
      <c r="AR16" s="205" t="str">
        <f t="shared" si="4"/>
        <v/>
      </c>
      <c r="AS16" s="203" t="str">
        <f t="shared" si="4"/>
        <v/>
      </c>
      <c r="AT16" s="203" t="str">
        <f t="shared" si="4"/>
        <v/>
      </c>
      <c r="AU16" s="204" t="str">
        <f t="shared" si="4"/>
        <v/>
      </c>
      <c r="AV16" s="205" t="str">
        <f t="shared" si="4"/>
        <v/>
      </c>
      <c r="AW16" s="203" t="str">
        <f t="shared" si="4"/>
        <v/>
      </c>
      <c r="AX16" s="203" t="str">
        <f t="shared" si="4"/>
        <v/>
      </c>
      <c r="AY16" s="204" t="str">
        <f t="shared" si="4"/>
        <v/>
      </c>
      <c r="AZ16" s="205" t="str">
        <f t="shared" si="4"/>
        <v/>
      </c>
      <c r="BA16" s="203" t="str">
        <f t="shared" si="4"/>
        <v/>
      </c>
      <c r="BB16" s="203" t="str">
        <f t="shared" si="4"/>
        <v/>
      </c>
      <c r="BC16" s="204" t="str">
        <f t="shared" si="4"/>
        <v/>
      </c>
      <c r="BD16" s="205" t="str">
        <f t="shared" si="5"/>
        <v/>
      </c>
      <c r="BE16" s="203" t="str">
        <f t="shared" si="5"/>
        <v/>
      </c>
      <c r="BF16" s="203" t="str">
        <f t="shared" si="5"/>
        <v/>
      </c>
      <c r="BG16" s="204" t="str">
        <f t="shared" si="5"/>
        <v/>
      </c>
      <c r="BH16" s="205" t="str">
        <f t="shared" si="5"/>
        <v/>
      </c>
      <c r="BI16" s="203" t="str">
        <f t="shared" si="5"/>
        <v/>
      </c>
      <c r="BJ16" s="203" t="str">
        <f t="shared" si="5"/>
        <v/>
      </c>
      <c r="BK16" s="204" t="str">
        <f t="shared" si="5"/>
        <v/>
      </c>
      <c r="BL16" s="205" t="str">
        <f t="shared" si="5"/>
        <v/>
      </c>
      <c r="BM16" s="203" t="str">
        <f t="shared" si="5"/>
        <v/>
      </c>
      <c r="BN16" s="203" t="str">
        <f t="shared" si="5"/>
        <v/>
      </c>
      <c r="BO16" s="204" t="str">
        <f t="shared" si="5"/>
        <v/>
      </c>
      <c r="BP16" s="205" t="str">
        <f t="shared" si="6"/>
        <v/>
      </c>
      <c r="BQ16" s="203" t="str">
        <f t="shared" si="6"/>
        <v/>
      </c>
      <c r="BR16" s="203" t="str">
        <f t="shared" si="6"/>
        <v/>
      </c>
      <c r="BS16" s="204" t="str">
        <f t="shared" si="6"/>
        <v/>
      </c>
      <c r="BT16" s="205" t="str">
        <f t="shared" si="6"/>
        <v/>
      </c>
      <c r="BU16" s="203" t="str">
        <f t="shared" si="6"/>
        <v/>
      </c>
      <c r="BV16" s="203" t="str">
        <f t="shared" si="6"/>
        <v/>
      </c>
      <c r="BW16" s="204" t="str">
        <f t="shared" si="6"/>
        <v/>
      </c>
      <c r="BX16" s="205" t="str">
        <f t="shared" si="6"/>
        <v/>
      </c>
      <c r="BY16" s="203" t="str">
        <f t="shared" si="6"/>
        <v/>
      </c>
      <c r="BZ16" s="203" t="str">
        <f t="shared" si="6"/>
        <v/>
      </c>
      <c r="CA16" s="204" t="str">
        <f t="shared" si="6"/>
        <v/>
      </c>
      <c r="CB16" s="205" t="str">
        <f t="shared" si="6"/>
        <v/>
      </c>
      <c r="CC16" s="203" t="str">
        <f t="shared" si="6"/>
        <v/>
      </c>
      <c r="CD16" s="203" t="str">
        <f t="shared" si="6"/>
        <v/>
      </c>
      <c r="CE16" s="204" t="str">
        <f t="shared" si="6"/>
        <v/>
      </c>
    </row>
    <row r="17" spans="1:83" ht="18" customHeight="1">
      <c r="A17" s="22">
        <f>+TABELLA!AC21</f>
        <v>0</v>
      </c>
      <c r="B17" s="22">
        <f>+TABELLA!AD21</f>
        <v>0</v>
      </c>
      <c r="C17" s="22">
        <f>+TABELLA!AE21</f>
        <v>0</v>
      </c>
      <c r="D17" s="22">
        <f>+TABELLA!AF21</f>
        <v>0</v>
      </c>
      <c r="E17" s="22"/>
      <c r="F17" s="41">
        <f>IF(TABELLA!B21="","",TABELLA!B21)</f>
        <v>1</v>
      </c>
      <c r="G17" s="42" t="str">
        <f>IF(TABELLA!C21="","",TABELLA!C21)</f>
        <v/>
      </c>
      <c r="H17" s="206" t="str">
        <f t="shared" ref="H17:W17" si="17">IF(AND(G$3&gt;=$A17,G$3&lt;$B17),1,IF(AND(G$3&gt;=$C17,G$3&lt;$D17),1,""))</f>
        <v/>
      </c>
      <c r="I17" s="206" t="str">
        <f t="shared" si="17"/>
        <v/>
      </c>
      <c r="J17" s="206" t="str">
        <f t="shared" si="17"/>
        <v/>
      </c>
      <c r="K17" s="207" t="str">
        <f t="shared" si="17"/>
        <v/>
      </c>
      <c r="L17" s="208" t="str">
        <f t="shared" si="17"/>
        <v/>
      </c>
      <c r="M17" s="206" t="str">
        <f t="shared" si="17"/>
        <v/>
      </c>
      <c r="N17" s="206" t="str">
        <f t="shared" si="17"/>
        <v/>
      </c>
      <c r="O17" s="207" t="str">
        <f t="shared" si="17"/>
        <v/>
      </c>
      <c r="P17" s="208" t="str">
        <f t="shared" si="17"/>
        <v/>
      </c>
      <c r="Q17" s="206" t="str">
        <f t="shared" si="17"/>
        <v/>
      </c>
      <c r="R17" s="206" t="str">
        <f t="shared" si="17"/>
        <v/>
      </c>
      <c r="S17" s="207" t="str">
        <f t="shared" si="17"/>
        <v/>
      </c>
      <c r="T17" s="208" t="str">
        <f t="shared" si="17"/>
        <v/>
      </c>
      <c r="U17" s="206" t="str">
        <f t="shared" si="17"/>
        <v/>
      </c>
      <c r="V17" s="206" t="str">
        <f t="shared" si="17"/>
        <v/>
      </c>
      <c r="W17" s="207" t="str">
        <f t="shared" si="17"/>
        <v/>
      </c>
      <c r="X17" s="208" t="str">
        <f t="shared" si="3"/>
        <v/>
      </c>
      <c r="Y17" s="206" t="str">
        <f t="shared" si="3"/>
        <v/>
      </c>
      <c r="Z17" s="206" t="str">
        <f t="shared" si="3"/>
        <v/>
      </c>
      <c r="AA17" s="207" t="str">
        <f t="shared" si="3"/>
        <v/>
      </c>
      <c r="AB17" s="208" t="str">
        <f t="shared" si="3"/>
        <v/>
      </c>
      <c r="AC17" s="206" t="str">
        <f t="shared" si="3"/>
        <v/>
      </c>
      <c r="AD17" s="206" t="str">
        <f t="shared" si="3"/>
        <v/>
      </c>
      <c r="AE17" s="207" t="str">
        <f t="shared" si="3"/>
        <v/>
      </c>
      <c r="AF17" s="208" t="str">
        <f t="shared" si="3"/>
        <v/>
      </c>
      <c r="AG17" s="206" t="str">
        <f t="shared" si="3"/>
        <v/>
      </c>
      <c r="AH17" s="206" t="str">
        <f t="shared" si="3"/>
        <v/>
      </c>
      <c r="AI17" s="207" t="str">
        <f t="shared" si="3"/>
        <v/>
      </c>
      <c r="AJ17" s="208" t="str">
        <f t="shared" si="3"/>
        <v/>
      </c>
      <c r="AK17" s="206" t="str">
        <f t="shared" si="3"/>
        <v/>
      </c>
      <c r="AL17" s="206" t="str">
        <f t="shared" si="3"/>
        <v/>
      </c>
      <c r="AM17" s="207" t="str">
        <f t="shared" si="3"/>
        <v/>
      </c>
      <c r="AN17" s="208" t="str">
        <f t="shared" si="4"/>
        <v/>
      </c>
      <c r="AO17" s="206" t="str">
        <f t="shared" si="4"/>
        <v/>
      </c>
      <c r="AP17" s="206" t="str">
        <f t="shared" si="4"/>
        <v/>
      </c>
      <c r="AQ17" s="207" t="str">
        <f t="shared" si="4"/>
        <v/>
      </c>
      <c r="AR17" s="208" t="str">
        <f t="shared" si="4"/>
        <v/>
      </c>
      <c r="AS17" s="206" t="str">
        <f t="shared" si="4"/>
        <v/>
      </c>
      <c r="AT17" s="206" t="str">
        <f t="shared" si="4"/>
        <v/>
      </c>
      <c r="AU17" s="207" t="str">
        <f t="shared" si="4"/>
        <v/>
      </c>
      <c r="AV17" s="208" t="str">
        <f t="shared" si="4"/>
        <v/>
      </c>
      <c r="AW17" s="206" t="str">
        <f t="shared" si="4"/>
        <v/>
      </c>
      <c r="AX17" s="206" t="str">
        <f t="shared" si="4"/>
        <v/>
      </c>
      <c r="AY17" s="207" t="str">
        <f t="shared" si="4"/>
        <v/>
      </c>
      <c r="AZ17" s="208" t="str">
        <f t="shared" si="4"/>
        <v/>
      </c>
      <c r="BA17" s="206" t="str">
        <f t="shared" si="4"/>
        <v/>
      </c>
      <c r="BB17" s="206" t="str">
        <f t="shared" si="4"/>
        <v/>
      </c>
      <c r="BC17" s="207" t="str">
        <f t="shared" si="4"/>
        <v/>
      </c>
      <c r="BD17" s="208" t="str">
        <f t="shared" si="5"/>
        <v/>
      </c>
      <c r="BE17" s="206" t="str">
        <f t="shared" si="5"/>
        <v/>
      </c>
      <c r="BF17" s="206" t="str">
        <f t="shared" si="5"/>
        <v/>
      </c>
      <c r="BG17" s="207" t="str">
        <f t="shared" si="5"/>
        <v/>
      </c>
      <c r="BH17" s="208" t="str">
        <f t="shared" si="5"/>
        <v/>
      </c>
      <c r="BI17" s="206" t="str">
        <f t="shared" si="5"/>
        <v/>
      </c>
      <c r="BJ17" s="206" t="str">
        <f t="shared" si="5"/>
        <v/>
      </c>
      <c r="BK17" s="207" t="str">
        <f t="shared" si="5"/>
        <v/>
      </c>
      <c r="BL17" s="208" t="str">
        <f t="shared" si="5"/>
        <v/>
      </c>
      <c r="BM17" s="206" t="str">
        <f t="shared" si="5"/>
        <v/>
      </c>
      <c r="BN17" s="206" t="str">
        <f t="shared" si="5"/>
        <v/>
      </c>
      <c r="BO17" s="207" t="str">
        <f t="shared" si="5"/>
        <v/>
      </c>
      <c r="BP17" s="208" t="str">
        <f t="shared" si="6"/>
        <v/>
      </c>
      <c r="BQ17" s="206" t="str">
        <f t="shared" si="6"/>
        <v/>
      </c>
      <c r="BR17" s="206" t="str">
        <f t="shared" si="6"/>
        <v/>
      </c>
      <c r="BS17" s="207" t="str">
        <f t="shared" si="6"/>
        <v/>
      </c>
      <c r="BT17" s="208" t="str">
        <f t="shared" si="6"/>
        <v/>
      </c>
      <c r="BU17" s="206" t="str">
        <f t="shared" si="6"/>
        <v/>
      </c>
      <c r="BV17" s="206" t="str">
        <f t="shared" si="6"/>
        <v/>
      </c>
      <c r="BW17" s="207" t="str">
        <f t="shared" si="6"/>
        <v/>
      </c>
      <c r="BX17" s="208" t="str">
        <f t="shared" si="6"/>
        <v/>
      </c>
      <c r="BY17" s="206" t="str">
        <f t="shared" si="6"/>
        <v/>
      </c>
      <c r="BZ17" s="206" t="str">
        <f t="shared" si="6"/>
        <v/>
      </c>
      <c r="CA17" s="207" t="str">
        <f t="shared" si="6"/>
        <v/>
      </c>
      <c r="CB17" s="208" t="str">
        <f t="shared" si="6"/>
        <v/>
      </c>
      <c r="CC17" s="206" t="str">
        <f t="shared" si="6"/>
        <v/>
      </c>
      <c r="CD17" s="206" t="str">
        <f t="shared" si="6"/>
        <v/>
      </c>
      <c r="CE17" s="207" t="str">
        <f t="shared" si="6"/>
        <v/>
      </c>
    </row>
    <row r="18" spans="1:83" ht="18" customHeight="1">
      <c r="A18" s="22">
        <f>+TABELLA!AC22</f>
        <v>0</v>
      </c>
      <c r="B18" s="22">
        <f>+TABELLA!AD22</f>
        <v>0</v>
      </c>
      <c r="C18" s="22">
        <f>+TABELLA!AE22</f>
        <v>0</v>
      </c>
      <c r="D18" s="22">
        <f>+TABELLA!AF22</f>
        <v>0</v>
      </c>
      <c r="E18" s="22"/>
      <c r="F18" s="26">
        <f>IF(TABELLA!B22="","",TABELLA!B22)</f>
        <v>1</v>
      </c>
      <c r="G18" s="27" t="str">
        <f>IF(TABELLA!C22="","",TABELLA!C22)</f>
        <v/>
      </c>
      <c r="H18" s="203" t="str">
        <f t="shared" ref="H18:W18" si="18">IF(AND(G$3&gt;=$A18,G$3&lt;$B18),1,IF(AND(G$3&gt;=$C18,G$3&lt;$D18),1,""))</f>
        <v/>
      </c>
      <c r="I18" s="203" t="str">
        <f t="shared" si="18"/>
        <v/>
      </c>
      <c r="J18" s="203" t="str">
        <f t="shared" si="18"/>
        <v/>
      </c>
      <c r="K18" s="204" t="str">
        <f t="shared" si="18"/>
        <v/>
      </c>
      <c r="L18" s="205" t="str">
        <f t="shared" si="18"/>
        <v/>
      </c>
      <c r="M18" s="203" t="str">
        <f t="shared" si="18"/>
        <v/>
      </c>
      <c r="N18" s="203" t="str">
        <f t="shared" si="18"/>
        <v/>
      </c>
      <c r="O18" s="204" t="str">
        <f t="shared" si="18"/>
        <v/>
      </c>
      <c r="P18" s="205" t="str">
        <f t="shared" si="18"/>
        <v/>
      </c>
      <c r="Q18" s="203" t="str">
        <f t="shared" si="18"/>
        <v/>
      </c>
      <c r="R18" s="203" t="str">
        <f t="shared" si="18"/>
        <v/>
      </c>
      <c r="S18" s="204" t="str">
        <f t="shared" si="18"/>
        <v/>
      </c>
      <c r="T18" s="205" t="str">
        <f t="shared" si="18"/>
        <v/>
      </c>
      <c r="U18" s="203" t="str">
        <f t="shared" si="18"/>
        <v/>
      </c>
      <c r="V18" s="203" t="str">
        <f t="shared" si="18"/>
        <v/>
      </c>
      <c r="W18" s="204" t="str">
        <f t="shared" si="18"/>
        <v/>
      </c>
      <c r="X18" s="205" t="str">
        <f t="shared" si="3"/>
        <v/>
      </c>
      <c r="Y18" s="203" t="str">
        <f t="shared" si="3"/>
        <v/>
      </c>
      <c r="Z18" s="203" t="str">
        <f t="shared" si="3"/>
        <v/>
      </c>
      <c r="AA18" s="204" t="str">
        <f t="shared" si="3"/>
        <v/>
      </c>
      <c r="AB18" s="205" t="str">
        <f t="shared" si="3"/>
        <v/>
      </c>
      <c r="AC18" s="203" t="str">
        <f t="shared" si="3"/>
        <v/>
      </c>
      <c r="AD18" s="203" t="str">
        <f t="shared" si="3"/>
        <v/>
      </c>
      <c r="AE18" s="204" t="str">
        <f t="shared" si="3"/>
        <v/>
      </c>
      <c r="AF18" s="205" t="str">
        <f t="shared" si="3"/>
        <v/>
      </c>
      <c r="AG18" s="203" t="str">
        <f t="shared" si="3"/>
        <v/>
      </c>
      <c r="AH18" s="203" t="str">
        <f t="shared" si="3"/>
        <v/>
      </c>
      <c r="AI18" s="204" t="str">
        <f t="shared" si="3"/>
        <v/>
      </c>
      <c r="AJ18" s="205" t="str">
        <f t="shared" si="3"/>
        <v/>
      </c>
      <c r="AK18" s="203" t="str">
        <f t="shared" si="3"/>
        <v/>
      </c>
      <c r="AL18" s="203" t="str">
        <f t="shared" si="3"/>
        <v/>
      </c>
      <c r="AM18" s="204" t="str">
        <f t="shared" si="3"/>
        <v/>
      </c>
      <c r="AN18" s="205" t="str">
        <f t="shared" si="4"/>
        <v/>
      </c>
      <c r="AO18" s="203" t="str">
        <f t="shared" si="4"/>
        <v/>
      </c>
      <c r="AP18" s="203" t="str">
        <f t="shared" si="4"/>
        <v/>
      </c>
      <c r="AQ18" s="204" t="str">
        <f t="shared" si="4"/>
        <v/>
      </c>
      <c r="AR18" s="205" t="str">
        <f t="shared" si="4"/>
        <v/>
      </c>
      <c r="AS18" s="203" t="str">
        <f t="shared" si="4"/>
        <v/>
      </c>
      <c r="AT18" s="203" t="str">
        <f t="shared" si="4"/>
        <v/>
      </c>
      <c r="AU18" s="204" t="str">
        <f t="shared" si="4"/>
        <v/>
      </c>
      <c r="AV18" s="205" t="str">
        <f t="shared" si="4"/>
        <v/>
      </c>
      <c r="AW18" s="203" t="str">
        <f t="shared" si="4"/>
        <v/>
      </c>
      <c r="AX18" s="203" t="str">
        <f t="shared" si="4"/>
        <v/>
      </c>
      <c r="AY18" s="204" t="str">
        <f t="shared" si="4"/>
        <v/>
      </c>
      <c r="AZ18" s="205" t="str">
        <f t="shared" si="4"/>
        <v/>
      </c>
      <c r="BA18" s="203" t="str">
        <f t="shared" si="4"/>
        <v/>
      </c>
      <c r="BB18" s="203" t="str">
        <f t="shared" si="4"/>
        <v/>
      </c>
      <c r="BC18" s="204" t="str">
        <f t="shared" si="4"/>
        <v/>
      </c>
      <c r="BD18" s="205" t="str">
        <f t="shared" si="5"/>
        <v/>
      </c>
      <c r="BE18" s="203" t="str">
        <f t="shared" si="5"/>
        <v/>
      </c>
      <c r="BF18" s="203" t="str">
        <f t="shared" si="5"/>
        <v/>
      </c>
      <c r="BG18" s="204" t="str">
        <f t="shared" si="5"/>
        <v/>
      </c>
      <c r="BH18" s="205" t="str">
        <f t="shared" si="5"/>
        <v/>
      </c>
      <c r="BI18" s="203" t="str">
        <f t="shared" si="5"/>
        <v/>
      </c>
      <c r="BJ18" s="203" t="str">
        <f t="shared" si="5"/>
        <v/>
      </c>
      <c r="BK18" s="204" t="str">
        <f t="shared" si="5"/>
        <v/>
      </c>
      <c r="BL18" s="205" t="str">
        <f t="shared" si="5"/>
        <v/>
      </c>
      <c r="BM18" s="203" t="str">
        <f t="shared" si="5"/>
        <v/>
      </c>
      <c r="BN18" s="203" t="str">
        <f t="shared" si="5"/>
        <v/>
      </c>
      <c r="BO18" s="204" t="str">
        <f t="shared" si="5"/>
        <v/>
      </c>
      <c r="BP18" s="205" t="str">
        <f t="shared" si="6"/>
        <v/>
      </c>
      <c r="BQ18" s="203" t="str">
        <f t="shared" si="6"/>
        <v/>
      </c>
      <c r="BR18" s="203" t="str">
        <f t="shared" si="6"/>
        <v/>
      </c>
      <c r="BS18" s="204" t="str">
        <f t="shared" si="6"/>
        <v/>
      </c>
      <c r="BT18" s="205" t="str">
        <f t="shared" si="6"/>
        <v/>
      </c>
      <c r="BU18" s="203" t="str">
        <f t="shared" si="6"/>
        <v/>
      </c>
      <c r="BV18" s="203" t="str">
        <f t="shared" si="6"/>
        <v/>
      </c>
      <c r="BW18" s="204" t="str">
        <f t="shared" si="6"/>
        <v/>
      </c>
      <c r="BX18" s="205" t="str">
        <f t="shared" si="6"/>
        <v/>
      </c>
      <c r="BY18" s="203" t="str">
        <f t="shared" si="6"/>
        <v/>
      </c>
      <c r="BZ18" s="203" t="str">
        <f t="shared" si="6"/>
        <v/>
      </c>
      <c r="CA18" s="204" t="str">
        <f t="shared" si="6"/>
        <v/>
      </c>
      <c r="CB18" s="205" t="str">
        <f t="shared" si="6"/>
        <v/>
      </c>
      <c r="CC18" s="203" t="str">
        <f t="shared" si="6"/>
        <v/>
      </c>
      <c r="CD18" s="203" t="str">
        <f t="shared" si="6"/>
        <v/>
      </c>
      <c r="CE18" s="204" t="str">
        <f t="shared" si="6"/>
        <v/>
      </c>
    </row>
    <row r="19" spans="1:83" ht="18" customHeight="1">
      <c r="A19" s="22">
        <f>+TABELLA!AC23</f>
        <v>0</v>
      </c>
      <c r="B19" s="22">
        <f>+TABELLA!AD23</f>
        <v>0</v>
      </c>
      <c r="C19" s="22">
        <f>+TABELLA!AE23</f>
        <v>0</v>
      </c>
      <c r="D19" s="22">
        <f>+TABELLA!AF23</f>
        <v>0</v>
      </c>
      <c r="E19" s="22"/>
      <c r="F19" s="41">
        <f>IF(TABELLA!B23="","",TABELLA!B23)</f>
        <v>1</v>
      </c>
      <c r="G19" s="42" t="str">
        <f>IF(TABELLA!C23="","",TABELLA!C23)</f>
        <v>BALDAZZI ENRICO</v>
      </c>
      <c r="H19" s="206" t="str">
        <f t="shared" ref="H19:W19" si="19">IF(AND(G$3&gt;=$A19,G$3&lt;$B19),1,IF(AND(G$3&gt;=$C19,G$3&lt;$D19),1,""))</f>
        <v/>
      </c>
      <c r="I19" s="206" t="str">
        <f t="shared" si="19"/>
        <v/>
      </c>
      <c r="J19" s="206" t="str">
        <f t="shared" si="19"/>
        <v/>
      </c>
      <c r="K19" s="207" t="str">
        <f t="shared" si="19"/>
        <v/>
      </c>
      <c r="L19" s="208" t="str">
        <f t="shared" si="19"/>
        <v/>
      </c>
      <c r="M19" s="206" t="str">
        <f t="shared" si="19"/>
        <v/>
      </c>
      <c r="N19" s="206" t="str">
        <f t="shared" si="19"/>
        <v/>
      </c>
      <c r="O19" s="207" t="str">
        <f t="shared" si="19"/>
        <v/>
      </c>
      <c r="P19" s="208" t="str">
        <f t="shared" si="19"/>
        <v/>
      </c>
      <c r="Q19" s="206" t="str">
        <f t="shared" si="19"/>
        <v/>
      </c>
      <c r="R19" s="206" t="str">
        <f t="shared" si="19"/>
        <v/>
      </c>
      <c r="S19" s="207" t="str">
        <f t="shared" si="19"/>
        <v/>
      </c>
      <c r="T19" s="208" t="str">
        <f t="shared" si="19"/>
        <v/>
      </c>
      <c r="U19" s="206" t="str">
        <f t="shared" si="19"/>
        <v/>
      </c>
      <c r="V19" s="206" t="str">
        <f t="shared" si="19"/>
        <v/>
      </c>
      <c r="W19" s="207" t="str">
        <f t="shared" si="19"/>
        <v/>
      </c>
      <c r="X19" s="208" t="str">
        <f t="shared" si="3"/>
        <v/>
      </c>
      <c r="Y19" s="206" t="str">
        <f t="shared" si="3"/>
        <v/>
      </c>
      <c r="Z19" s="206" t="str">
        <f t="shared" si="3"/>
        <v/>
      </c>
      <c r="AA19" s="207" t="str">
        <f t="shared" si="3"/>
        <v/>
      </c>
      <c r="AB19" s="208" t="str">
        <f t="shared" si="3"/>
        <v/>
      </c>
      <c r="AC19" s="206" t="str">
        <f t="shared" si="3"/>
        <v/>
      </c>
      <c r="AD19" s="206" t="str">
        <f t="shared" si="3"/>
        <v/>
      </c>
      <c r="AE19" s="207" t="str">
        <f t="shared" si="3"/>
        <v/>
      </c>
      <c r="AF19" s="208" t="str">
        <f t="shared" si="3"/>
        <v/>
      </c>
      <c r="AG19" s="206" t="str">
        <f t="shared" si="3"/>
        <v/>
      </c>
      <c r="AH19" s="206" t="str">
        <f t="shared" si="3"/>
        <v/>
      </c>
      <c r="AI19" s="207" t="str">
        <f t="shared" si="3"/>
        <v/>
      </c>
      <c r="AJ19" s="208" t="str">
        <f t="shared" si="3"/>
        <v/>
      </c>
      <c r="AK19" s="206" t="str">
        <f t="shared" si="3"/>
        <v/>
      </c>
      <c r="AL19" s="206" t="str">
        <f t="shared" si="3"/>
        <v/>
      </c>
      <c r="AM19" s="207" t="str">
        <f t="shared" si="3"/>
        <v/>
      </c>
      <c r="AN19" s="208" t="str">
        <f t="shared" si="4"/>
        <v/>
      </c>
      <c r="AO19" s="206" t="str">
        <f t="shared" si="4"/>
        <v/>
      </c>
      <c r="AP19" s="206" t="str">
        <f t="shared" si="4"/>
        <v/>
      </c>
      <c r="AQ19" s="207" t="str">
        <f t="shared" si="4"/>
        <v/>
      </c>
      <c r="AR19" s="208" t="str">
        <f t="shared" si="4"/>
        <v/>
      </c>
      <c r="AS19" s="206" t="str">
        <f t="shared" si="4"/>
        <v/>
      </c>
      <c r="AT19" s="206" t="str">
        <f t="shared" si="4"/>
        <v/>
      </c>
      <c r="AU19" s="207" t="str">
        <f t="shared" si="4"/>
        <v/>
      </c>
      <c r="AV19" s="208" t="str">
        <f t="shared" si="4"/>
        <v/>
      </c>
      <c r="AW19" s="206" t="str">
        <f t="shared" si="4"/>
        <v/>
      </c>
      <c r="AX19" s="206" t="str">
        <f t="shared" si="4"/>
        <v/>
      </c>
      <c r="AY19" s="207" t="str">
        <f t="shared" si="4"/>
        <v/>
      </c>
      <c r="AZ19" s="208" t="str">
        <f t="shared" si="4"/>
        <v/>
      </c>
      <c r="BA19" s="206" t="str">
        <f t="shared" si="4"/>
        <v/>
      </c>
      <c r="BB19" s="206" t="str">
        <f t="shared" si="4"/>
        <v/>
      </c>
      <c r="BC19" s="207" t="str">
        <f t="shared" si="4"/>
        <v/>
      </c>
      <c r="BD19" s="208" t="str">
        <f t="shared" si="5"/>
        <v/>
      </c>
      <c r="BE19" s="206" t="str">
        <f t="shared" si="5"/>
        <v/>
      </c>
      <c r="BF19" s="206" t="str">
        <f t="shared" si="5"/>
        <v/>
      </c>
      <c r="BG19" s="207" t="str">
        <f t="shared" si="5"/>
        <v/>
      </c>
      <c r="BH19" s="208" t="str">
        <f t="shared" si="5"/>
        <v/>
      </c>
      <c r="BI19" s="206" t="str">
        <f t="shared" si="5"/>
        <v/>
      </c>
      <c r="BJ19" s="206" t="str">
        <f t="shared" si="5"/>
        <v/>
      </c>
      <c r="BK19" s="207" t="str">
        <f t="shared" si="5"/>
        <v/>
      </c>
      <c r="BL19" s="208" t="str">
        <f t="shared" si="5"/>
        <v/>
      </c>
      <c r="BM19" s="206" t="str">
        <f t="shared" si="5"/>
        <v/>
      </c>
      <c r="BN19" s="206" t="str">
        <f t="shared" si="5"/>
        <v/>
      </c>
      <c r="BO19" s="207" t="str">
        <f t="shared" si="5"/>
        <v/>
      </c>
      <c r="BP19" s="208" t="str">
        <f t="shared" si="6"/>
        <v/>
      </c>
      <c r="BQ19" s="206" t="str">
        <f t="shared" si="6"/>
        <v/>
      </c>
      <c r="BR19" s="206" t="str">
        <f t="shared" si="6"/>
        <v/>
      </c>
      <c r="BS19" s="207" t="str">
        <f t="shared" si="6"/>
        <v/>
      </c>
      <c r="BT19" s="208" t="str">
        <f t="shared" si="6"/>
        <v/>
      </c>
      <c r="BU19" s="206" t="str">
        <f t="shared" si="6"/>
        <v/>
      </c>
      <c r="BV19" s="206" t="str">
        <f t="shared" si="6"/>
        <v/>
      </c>
      <c r="BW19" s="207" t="str">
        <f t="shared" si="6"/>
        <v/>
      </c>
      <c r="BX19" s="208" t="str">
        <f t="shared" si="6"/>
        <v/>
      </c>
      <c r="BY19" s="206" t="str">
        <f t="shared" si="6"/>
        <v/>
      </c>
      <c r="BZ19" s="206" t="str">
        <f t="shared" si="6"/>
        <v/>
      </c>
      <c r="CA19" s="207" t="str">
        <f t="shared" si="6"/>
        <v/>
      </c>
      <c r="CB19" s="208" t="str">
        <f t="shared" si="6"/>
        <v/>
      </c>
      <c r="CC19" s="206" t="str">
        <f t="shared" si="6"/>
        <v/>
      </c>
      <c r="CD19" s="206" t="str">
        <f t="shared" si="6"/>
        <v/>
      </c>
      <c r="CE19" s="207" t="str">
        <f t="shared" si="6"/>
        <v/>
      </c>
    </row>
    <row r="20" spans="1:83" ht="18" customHeight="1">
      <c r="A20" s="22">
        <f>+TABELLA!AC24</f>
        <v>0</v>
      </c>
      <c r="B20" s="22">
        <f>+TABELLA!AD24</f>
        <v>0</v>
      </c>
      <c r="C20" s="22">
        <f>+TABELLA!AE24</f>
        <v>0</v>
      </c>
      <c r="D20" s="22">
        <f>+TABELLA!AF24</f>
        <v>0</v>
      </c>
      <c r="E20" s="22"/>
      <c r="F20" s="26">
        <f>IF(TABELLA!B24="","",TABELLA!B24)</f>
        <v>12</v>
      </c>
      <c r="G20" s="27" t="str">
        <f>IF(TABELLA!C24="","",TABELLA!C24)</f>
        <v>xx</v>
      </c>
      <c r="H20" s="203" t="str">
        <f t="shared" ref="H20:W20" si="20">IF(AND(G$3&gt;=$A20,G$3&lt;$B20),1,IF(AND(G$3&gt;=$C20,G$3&lt;$D20),1,""))</f>
        <v/>
      </c>
      <c r="I20" s="203" t="str">
        <f t="shared" si="20"/>
        <v/>
      </c>
      <c r="J20" s="203" t="str">
        <f t="shared" si="20"/>
        <v/>
      </c>
      <c r="K20" s="204" t="str">
        <f t="shared" si="20"/>
        <v/>
      </c>
      <c r="L20" s="205" t="str">
        <f t="shared" si="20"/>
        <v/>
      </c>
      <c r="M20" s="203" t="str">
        <f t="shared" si="20"/>
        <v/>
      </c>
      <c r="N20" s="203" t="str">
        <f t="shared" si="20"/>
        <v/>
      </c>
      <c r="O20" s="204" t="str">
        <f t="shared" si="20"/>
        <v/>
      </c>
      <c r="P20" s="205" t="str">
        <f t="shared" si="20"/>
        <v/>
      </c>
      <c r="Q20" s="203" t="str">
        <f t="shared" si="20"/>
        <v/>
      </c>
      <c r="R20" s="203" t="str">
        <f t="shared" si="20"/>
        <v/>
      </c>
      <c r="S20" s="204" t="str">
        <f t="shared" si="20"/>
        <v/>
      </c>
      <c r="T20" s="205" t="str">
        <f t="shared" si="20"/>
        <v/>
      </c>
      <c r="U20" s="203" t="str">
        <f t="shared" si="20"/>
        <v/>
      </c>
      <c r="V20" s="203" t="str">
        <f t="shared" si="20"/>
        <v/>
      </c>
      <c r="W20" s="204" t="str">
        <f t="shared" si="20"/>
        <v/>
      </c>
      <c r="X20" s="205" t="str">
        <f t="shared" si="3"/>
        <v/>
      </c>
      <c r="Y20" s="203" t="str">
        <f t="shared" si="3"/>
        <v/>
      </c>
      <c r="Z20" s="203" t="str">
        <f t="shared" si="3"/>
        <v/>
      </c>
      <c r="AA20" s="204" t="str">
        <f t="shared" si="3"/>
        <v/>
      </c>
      <c r="AB20" s="205" t="str">
        <f t="shared" si="3"/>
        <v/>
      </c>
      <c r="AC20" s="203" t="str">
        <f t="shared" si="3"/>
        <v/>
      </c>
      <c r="AD20" s="203" t="str">
        <f t="shared" si="3"/>
        <v/>
      </c>
      <c r="AE20" s="204" t="str">
        <f t="shared" si="3"/>
        <v/>
      </c>
      <c r="AF20" s="205" t="str">
        <f t="shared" si="3"/>
        <v/>
      </c>
      <c r="AG20" s="203" t="str">
        <f t="shared" si="3"/>
        <v/>
      </c>
      <c r="AH20" s="203" t="str">
        <f t="shared" si="3"/>
        <v/>
      </c>
      <c r="AI20" s="204" t="str">
        <f t="shared" si="3"/>
        <v/>
      </c>
      <c r="AJ20" s="205" t="str">
        <f t="shared" si="3"/>
        <v/>
      </c>
      <c r="AK20" s="203" t="str">
        <f t="shared" si="3"/>
        <v/>
      </c>
      <c r="AL20" s="203" t="str">
        <f t="shared" si="3"/>
        <v/>
      </c>
      <c r="AM20" s="204" t="str">
        <f t="shared" si="3"/>
        <v/>
      </c>
      <c r="AN20" s="205" t="str">
        <f t="shared" si="4"/>
        <v/>
      </c>
      <c r="AO20" s="203" t="str">
        <f t="shared" si="4"/>
        <v/>
      </c>
      <c r="AP20" s="203" t="str">
        <f t="shared" si="4"/>
        <v/>
      </c>
      <c r="AQ20" s="204" t="str">
        <f t="shared" si="4"/>
        <v/>
      </c>
      <c r="AR20" s="205" t="str">
        <f t="shared" si="4"/>
        <v/>
      </c>
      <c r="AS20" s="203" t="str">
        <f t="shared" si="4"/>
        <v/>
      </c>
      <c r="AT20" s="203" t="str">
        <f t="shared" si="4"/>
        <v/>
      </c>
      <c r="AU20" s="204" t="str">
        <f t="shared" si="4"/>
        <v/>
      </c>
      <c r="AV20" s="205" t="str">
        <f t="shared" si="4"/>
        <v/>
      </c>
      <c r="AW20" s="203" t="str">
        <f t="shared" si="4"/>
        <v/>
      </c>
      <c r="AX20" s="203" t="str">
        <f t="shared" si="4"/>
        <v/>
      </c>
      <c r="AY20" s="204" t="str">
        <f t="shared" si="4"/>
        <v/>
      </c>
      <c r="AZ20" s="205" t="str">
        <f t="shared" si="4"/>
        <v/>
      </c>
      <c r="BA20" s="203" t="str">
        <f t="shared" si="4"/>
        <v/>
      </c>
      <c r="BB20" s="203" t="str">
        <f t="shared" si="4"/>
        <v/>
      </c>
      <c r="BC20" s="204" t="str">
        <f t="shared" si="4"/>
        <v/>
      </c>
      <c r="BD20" s="205" t="str">
        <f t="shared" si="5"/>
        <v/>
      </c>
      <c r="BE20" s="203" t="str">
        <f t="shared" si="5"/>
        <v/>
      </c>
      <c r="BF20" s="203" t="str">
        <f t="shared" si="5"/>
        <v/>
      </c>
      <c r="BG20" s="204" t="str">
        <f t="shared" si="5"/>
        <v/>
      </c>
      <c r="BH20" s="205" t="str">
        <f t="shared" si="5"/>
        <v/>
      </c>
      <c r="BI20" s="203" t="str">
        <f t="shared" si="5"/>
        <v/>
      </c>
      <c r="BJ20" s="203" t="str">
        <f t="shared" si="5"/>
        <v/>
      </c>
      <c r="BK20" s="204" t="str">
        <f t="shared" si="5"/>
        <v/>
      </c>
      <c r="BL20" s="205" t="str">
        <f t="shared" si="5"/>
        <v/>
      </c>
      <c r="BM20" s="203" t="str">
        <f t="shared" si="5"/>
        <v/>
      </c>
      <c r="BN20" s="203" t="str">
        <f t="shared" si="5"/>
        <v/>
      </c>
      <c r="BO20" s="204" t="str">
        <f t="shared" si="5"/>
        <v/>
      </c>
      <c r="BP20" s="205" t="str">
        <f t="shared" si="6"/>
        <v/>
      </c>
      <c r="BQ20" s="203" t="str">
        <f t="shared" si="6"/>
        <v/>
      </c>
      <c r="BR20" s="203" t="str">
        <f t="shared" si="6"/>
        <v/>
      </c>
      <c r="BS20" s="204" t="str">
        <f t="shared" si="6"/>
        <v/>
      </c>
      <c r="BT20" s="205" t="str">
        <f t="shared" si="6"/>
        <v/>
      </c>
      <c r="BU20" s="203" t="str">
        <f t="shared" si="6"/>
        <v/>
      </c>
      <c r="BV20" s="203" t="str">
        <f t="shared" si="6"/>
        <v/>
      </c>
      <c r="BW20" s="204" t="str">
        <f t="shared" si="6"/>
        <v/>
      </c>
      <c r="BX20" s="205" t="str">
        <f t="shared" si="6"/>
        <v/>
      </c>
      <c r="BY20" s="203" t="str">
        <f t="shared" si="6"/>
        <v/>
      </c>
      <c r="BZ20" s="203" t="str">
        <f t="shared" si="6"/>
        <v/>
      </c>
      <c r="CA20" s="204" t="str">
        <f t="shared" si="6"/>
        <v/>
      </c>
      <c r="CB20" s="205" t="str">
        <f t="shared" si="6"/>
        <v/>
      </c>
      <c r="CC20" s="203" t="str">
        <f t="shared" si="6"/>
        <v/>
      </c>
      <c r="CD20" s="203" t="str">
        <f t="shared" si="6"/>
        <v/>
      </c>
      <c r="CE20" s="204" t="str">
        <f t="shared" si="6"/>
        <v/>
      </c>
    </row>
    <row r="21" spans="1:83" ht="18" customHeight="1">
      <c r="A21" s="22">
        <f>+TABELLA!AC25</f>
        <v>0</v>
      </c>
      <c r="B21" s="22">
        <f>+TABELLA!AD25</f>
        <v>0</v>
      </c>
      <c r="C21" s="22">
        <f>+TABELLA!AE25</f>
        <v>0</v>
      </c>
      <c r="D21" s="22">
        <f>+TABELLA!AF25</f>
        <v>0</v>
      </c>
      <c r="E21" s="22"/>
      <c r="F21" s="41">
        <f>IF(TABELLA!B25="","",TABELLA!B25)</f>
        <v>1</v>
      </c>
      <c r="G21" s="42" t="str">
        <f>IF(TABELLA!C25="","",TABELLA!C25)</f>
        <v/>
      </c>
      <c r="H21" s="206" t="str">
        <f t="shared" ref="H21:V21" si="21">IF(AND(G$3&gt;=$A21,G$3&lt;$B21),1,IF(AND(G$3&gt;=$C21,G$3&lt;$D21),1,""))</f>
        <v/>
      </c>
      <c r="I21" s="206" t="str">
        <f t="shared" si="21"/>
        <v/>
      </c>
      <c r="J21" s="206" t="str">
        <f t="shared" si="21"/>
        <v/>
      </c>
      <c r="K21" s="207" t="str">
        <f t="shared" si="21"/>
        <v/>
      </c>
      <c r="L21" s="208" t="str">
        <f t="shared" si="21"/>
        <v/>
      </c>
      <c r="M21" s="206" t="str">
        <f t="shared" si="21"/>
        <v/>
      </c>
      <c r="N21" s="206" t="str">
        <f t="shared" si="21"/>
        <v/>
      </c>
      <c r="O21" s="207" t="str">
        <f t="shared" si="21"/>
        <v/>
      </c>
      <c r="P21" s="208" t="str">
        <f t="shared" si="21"/>
        <v/>
      </c>
      <c r="Q21" s="206" t="str">
        <f t="shared" si="21"/>
        <v/>
      </c>
      <c r="R21" s="206" t="str">
        <f t="shared" si="21"/>
        <v/>
      </c>
      <c r="S21" s="207" t="str">
        <f t="shared" si="21"/>
        <v/>
      </c>
      <c r="T21" s="208" t="str">
        <f t="shared" si="21"/>
        <v/>
      </c>
      <c r="U21" s="206" t="str">
        <f t="shared" si="21"/>
        <v/>
      </c>
      <c r="V21" s="206" t="str">
        <f t="shared" si="21"/>
        <v/>
      </c>
      <c r="W21" s="207" t="str">
        <f t="shared" ref="W21:AL36" si="22">IF(AND(V$3&gt;=$A21,V$3&lt;$B21),1,IF(AND(V$3&gt;=$C21,V$3&lt;$D21),1,""))</f>
        <v/>
      </c>
      <c r="X21" s="208" t="str">
        <f t="shared" si="22"/>
        <v/>
      </c>
      <c r="Y21" s="206" t="str">
        <f t="shared" si="22"/>
        <v/>
      </c>
      <c r="Z21" s="206" t="str">
        <f t="shared" si="22"/>
        <v/>
      </c>
      <c r="AA21" s="207" t="str">
        <f t="shared" si="22"/>
        <v/>
      </c>
      <c r="AB21" s="208" t="str">
        <f t="shared" si="22"/>
        <v/>
      </c>
      <c r="AC21" s="206" t="str">
        <f t="shared" si="22"/>
        <v/>
      </c>
      <c r="AD21" s="206" t="str">
        <f t="shared" si="22"/>
        <v/>
      </c>
      <c r="AE21" s="207" t="str">
        <f t="shared" si="22"/>
        <v/>
      </c>
      <c r="AF21" s="208" t="str">
        <f t="shared" si="22"/>
        <v/>
      </c>
      <c r="AG21" s="206" t="str">
        <f t="shared" si="22"/>
        <v/>
      </c>
      <c r="AH21" s="206" t="str">
        <f t="shared" si="22"/>
        <v/>
      </c>
      <c r="AI21" s="207" t="str">
        <f t="shared" si="22"/>
        <v/>
      </c>
      <c r="AJ21" s="208" t="str">
        <f t="shared" si="22"/>
        <v/>
      </c>
      <c r="AK21" s="206" t="str">
        <f t="shared" si="22"/>
        <v/>
      </c>
      <c r="AL21" s="206" t="str">
        <f t="shared" si="22"/>
        <v/>
      </c>
      <c r="AM21" s="207" t="str">
        <f t="shared" si="3"/>
        <v/>
      </c>
      <c r="AN21" s="208" t="str">
        <f t="shared" si="4"/>
        <v/>
      </c>
      <c r="AO21" s="206" t="str">
        <f t="shared" si="4"/>
        <v/>
      </c>
      <c r="AP21" s="206" t="str">
        <f t="shared" si="4"/>
        <v/>
      </c>
      <c r="AQ21" s="207" t="str">
        <f t="shared" si="4"/>
        <v/>
      </c>
      <c r="AR21" s="208" t="str">
        <f t="shared" si="4"/>
        <v/>
      </c>
      <c r="AS21" s="206" t="str">
        <f t="shared" si="4"/>
        <v/>
      </c>
      <c r="AT21" s="206" t="str">
        <f t="shared" si="4"/>
        <v/>
      </c>
      <c r="AU21" s="207" t="str">
        <f t="shared" si="4"/>
        <v/>
      </c>
      <c r="AV21" s="208" t="str">
        <f t="shared" si="4"/>
        <v/>
      </c>
      <c r="AW21" s="206" t="str">
        <f t="shared" si="4"/>
        <v/>
      </c>
      <c r="AX21" s="206" t="str">
        <f t="shared" si="4"/>
        <v/>
      </c>
      <c r="AY21" s="207" t="str">
        <f t="shared" si="4"/>
        <v/>
      </c>
      <c r="AZ21" s="208" t="str">
        <f t="shared" si="4"/>
        <v/>
      </c>
      <c r="BA21" s="206" t="str">
        <f t="shared" si="4"/>
        <v/>
      </c>
      <c r="BB21" s="206" t="str">
        <f t="shared" si="4"/>
        <v/>
      </c>
      <c r="BC21" s="207" t="str">
        <f t="shared" ref="BC21:BR36" si="23">IF(AND(BB$3&gt;=$A21,BB$3&lt;$B21),1,IF(AND(BB$3&gt;=$C21,BB$3&lt;$D21),1,""))</f>
        <v/>
      </c>
      <c r="BD21" s="208" t="str">
        <f t="shared" si="23"/>
        <v/>
      </c>
      <c r="BE21" s="206" t="str">
        <f t="shared" si="23"/>
        <v/>
      </c>
      <c r="BF21" s="206" t="str">
        <f t="shared" si="23"/>
        <v/>
      </c>
      <c r="BG21" s="207" t="str">
        <f t="shared" si="23"/>
        <v/>
      </c>
      <c r="BH21" s="208" t="str">
        <f t="shared" si="23"/>
        <v/>
      </c>
      <c r="BI21" s="206" t="str">
        <f t="shared" si="23"/>
        <v/>
      </c>
      <c r="BJ21" s="206" t="str">
        <f t="shared" si="23"/>
        <v/>
      </c>
      <c r="BK21" s="207" t="str">
        <f t="shared" si="23"/>
        <v/>
      </c>
      <c r="BL21" s="208" t="str">
        <f t="shared" si="23"/>
        <v/>
      </c>
      <c r="BM21" s="206" t="str">
        <f t="shared" si="23"/>
        <v/>
      </c>
      <c r="BN21" s="206" t="str">
        <f t="shared" si="23"/>
        <v/>
      </c>
      <c r="BO21" s="207" t="str">
        <f t="shared" si="23"/>
        <v/>
      </c>
      <c r="BP21" s="208" t="str">
        <f t="shared" si="6"/>
        <v/>
      </c>
      <c r="BQ21" s="206" t="str">
        <f t="shared" si="6"/>
        <v/>
      </c>
      <c r="BR21" s="206" t="str">
        <f t="shared" si="6"/>
        <v/>
      </c>
      <c r="BS21" s="207" t="str">
        <f t="shared" si="6"/>
        <v/>
      </c>
      <c r="BT21" s="208" t="str">
        <f t="shared" si="6"/>
        <v/>
      </c>
      <c r="BU21" s="206" t="str">
        <f t="shared" si="6"/>
        <v/>
      </c>
      <c r="BV21" s="206" t="str">
        <f t="shared" si="6"/>
        <v/>
      </c>
      <c r="BW21" s="207" t="str">
        <f t="shared" si="6"/>
        <v/>
      </c>
      <c r="BX21" s="208" t="str">
        <f t="shared" si="6"/>
        <v/>
      </c>
      <c r="BY21" s="206" t="str">
        <f t="shared" si="6"/>
        <v/>
      </c>
      <c r="BZ21" s="206" t="str">
        <f t="shared" si="6"/>
        <v/>
      </c>
      <c r="CA21" s="207" t="str">
        <f t="shared" si="6"/>
        <v/>
      </c>
      <c r="CB21" s="208" t="str">
        <f t="shared" si="6"/>
        <v/>
      </c>
      <c r="CC21" s="206" t="str">
        <f t="shared" si="6"/>
        <v/>
      </c>
      <c r="CD21" s="206" t="str">
        <f t="shared" si="6"/>
        <v/>
      </c>
      <c r="CE21" s="207" t="str">
        <f t="shared" si="6"/>
        <v/>
      </c>
    </row>
    <row r="22" spans="1:83" ht="18" customHeight="1">
      <c r="A22" s="22">
        <f>+TABELLA!AC26</f>
        <v>0</v>
      </c>
      <c r="B22" s="22">
        <f>+TABELLA!AD26</f>
        <v>0</v>
      </c>
      <c r="C22" s="22">
        <f>+TABELLA!AE26</f>
        <v>0</v>
      </c>
      <c r="D22" s="22">
        <f>+TABELLA!AF26</f>
        <v>0</v>
      </c>
      <c r="E22" s="22"/>
      <c r="F22" s="26">
        <f>IF(TABELLA!B26="","",TABELLA!B26)</f>
        <v>1</v>
      </c>
      <c r="G22" s="27" t="str">
        <f>IF(TABELLA!C26="","",TABELLA!C26)</f>
        <v/>
      </c>
      <c r="H22" s="203" t="str">
        <f t="shared" ref="H22:V22" si="24">IF(AND(G$3&gt;=$A22,G$3&lt;$B22),1,IF(AND(G$3&gt;=$C22,G$3&lt;$D22),1,""))</f>
        <v/>
      </c>
      <c r="I22" s="203" t="str">
        <f t="shared" si="24"/>
        <v/>
      </c>
      <c r="J22" s="203" t="str">
        <f t="shared" si="24"/>
        <v/>
      </c>
      <c r="K22" s="204" t="str">
        <f t="shared" si="24"/>
        <v/>
      </c>
      <c r="L22" s="205" t="str">
        <f t="shared" si="24"/>
        <v/>
      </c>
      <c r="M22" s="203" t="str">
        <f t="shared" si="24"/>
        <v/>
      </c>
      <c r="N22" s="203" t="str">
        <f t="shared" si="24"/>
        <v/>
      </c>
      <c r="O22" s="204" t="str">
        <f t="shared" si="24"/>
        <v/>
      </c>
      <c r="P22" s="205" t="str">
        <f t="shared" si="24"/>
        <v/>
      </c>
      <c r="Q22" s="203" t="str">
        <f t="shared" si="24"/>
        <v/>
      </c>
      <c r="R22" s="203" t="str">
        <f t="shared" si="24"/>
        <v/>
      </c>
      <c r="S22" s="204" t="str">
        <f t="shared" si="24"/>
        <v/>
      </c>
      <c r="T22" s="205" t="str">
        <f t="shared" si="24"/>
        <v/>
      </c>
      <c r="U22" s="203" t="str">
        <f t="shared" si="24"/>
        <v/>
      </c>
      <c r="V22" s="203" t="str">
        <f t="shared" si="24"/>
        <v/>
      </c>
      <c r="W22" s="204" t="str">
        <f t="shared" ref="W22:W36" si="25">IF(AND(V$3&gt;=$A22,V$3&lt;$B22),1,IF(AND(V$3&gt;=$C22,V$3&lt;$D22),1,""))</f>
        <v/>
      </c>
      <c r="X22" s="205" t="str">
        <f t="shared" si="22"/>
        <v/>
      </c>
      <c r="Y22" s="203" t="str">
        <f t="shared" si="22"/>
        <v/>
      </c>
      <c r="Z22" s="203" t="str">
        <f t="shared" si="22"/>
        <v/>
      </c>
      <c r="AA22" s="204" t="str">
        <f t="shared" si="22"/>
        <v/>
      </c>
      <c r="AB22" s="205" t="str">
        <f t="shared" si="22"/>
        <v/>
      </c>
      <c r="AC22" s="203" t="str">
        <f t="shared" si="22"/>
        <v/>
      </c>
      <c r="AD22" s="203" t="str">
        <f t="shared" si="22"/>
        <v/>
      </c>
      <c r="AE22" s="204" t="str">
        <f t="shared" si="22"/>
        <v/>
      </c>
      <c r="AF22" s="205" t="str">
        <f t="shared" si="22"/>
        <v/>
      </c>
      <c r="AG22" s="203" t="str">
        <f t="shared" si="22"/>
        <v/>
      </c>
      <c r="AH22" s="203" t="str">
        <f t="shared" si="22"/>
        <v/>
      </c>
      <c r="AI22" s="204" t="str">
        <f t="shared" si="22"/>
        <v/>
      </c>
      <c r="AJ22" s="205" t="str">
        <f t="shared" si="22"/>
        <v/>
      </c>
      <c r="AK22" s="203" t="str">
        <f t="shared" si="22"/>
        <v/>
      </c>
      <c r="AL22" s="203" t="str">
        <f t="shared" si="22"/>
        <v/>
      </c>
      <c r="AM22" s="204" t="str">
        <f t="shared" ref="AM22:BB37" si="26">IF(AND(AL$3&gt;=$A22,AL$3&lt;$B22),1,IF(AND(AL$3&gt;=$C22,AL$3&lt;$D22),1,""))</f>
        <v/>
      </c>
      <c r="AN22" s="205" t="str">
        <f t="shared" si="26"/>
        <v/>
      </c>
      <c r="AO22" s="203" t="str">
        <f t="shared" si="26"/>
        <v/>
      </c>
      <c r="AP22" s="203" t="str">
        <f t="shared" si="26"/>
        <v/>
      </c>
      <c r="AQ22" s="204" t="str">
        <f t="shared" si="26"/>
        <v/>
      </c>
      <c r="AR22" s="205" t="str">
        <f t="shared" si="26"/>
        <v/>
      </c>
      <c r="AS22" s="203" t="str">
        <f t="shared" si="26"/>
        <v/>
      </c>
      <c r="AT22" s="203" t="str">
        <f t="shared" si="26"/>
        <v/>
      </c>
      <c r="AU22" s="204" t="str">
        <f t="shared" si="26"/>
        <v/>
      </c>
      <c r="AV22" s="205" t="str">
        <f t="shared" si="26"/>
        <v/>
      </c>
      <c r="AW22" s="203" t="str">
        <f t="shared" si="26"/>
        <v/>
      </c>
      <c r="AX22" s="203" t="str">
        <f t="shared" si="26"/>
        <v/>
      </c>
      <c r="AY22" s="204" t="str">
        <f t="shared" si="26"/>
        <v/>
      </c>
      <c r="AZ22" s="205" t="str">
        <f t="shared" si="26"/>
        <v/>
      </c>
      <c r="BA22" s="203" t="str">
        <f t="shared" si="26"/>
        <v/>
      </c>
      <c r="BB22" s="203" t="str">
        <f t="shared" si="26"/>
        <v/>
      </c>
      <c r="BC22" s="204" t="str">
        <f t="shared" si="23"/>
        <v/>
      </c>
      <c r="BD22" s="205" t="str">
        <f t="shared" si="23"/>
        <v/>
      </c>
      <c r="BE22" s="203" t="str">
        <f t="shared" si="23"/>
        <v/>
      </c>
      <c r="BF22" s="203" t="str">
        <f t="shared" si="23"/>
        <v/>
      </c>
      <c r="BG22" s="204" t="str">
        <f t="shared" si="23"/>
        <v/>
      </c>
      <c r="BH22" s="205" t="str">
        <f t="shared" si="23"/>
        <v/>
      </c>
      <c r="BI22" s="203" t="str">
        <f t="shared" si="23"/>
        <v/>
      </c>
      <c r="BJ22" s="203" t="str">
        <f t="shared" si="23"/>
        <v/>
      </c>
      <c r="BK22" s="204" t="str">
        <f t="shared" si="23"/>
        <v/>
      </c>
      <c r="BL22" s="205" t="str">
        <f t="shared" si="23"/>
        <v/>
      </c>
      <c r="BM22" s="203" t="str">
        <f t="shared" si="23"/>
        <v/>
      </c>
      <c r="BN22" s="203" t="str">
        <f t="shared" si="23"/>
        <v/>
      </c>
      <c r="BO22" s="204" t="str">
        <f t="shared" si="23"/>
        <v/>
      </c>
      <c r="BP22" s="205" t="str">
        <f t="shared" si="23"/>
        <v/>
      </c>
      <c r="BQ22" s="203" t="str">
        <f t="shared" si="23"/>
        <v/>
      </c>
      <c r="BR22" s="203" t="str">
        <f t="shared" si="23"/>
        <v/>
      </c>
      <c r="BS22" s="204" t="str">
        <f t="shared" ref="BP22:CE37" si="27">IF(AND(BR$3&gt;=$A22,BR$3&lt;$B22),1,IF(AND(BR$3&gt;=$C22,BR$3&lt;$D22),1,""))</f>
        <v/>
      </c>
      <c r="BT22" s="205" t="str">
        <f t="shared" si="27"/>
        <v/>
      </c>
      <c r="BU22" s="203" t="str">
        <f t="shared" si="27"/>
        <v/>
      </c>
      <c r="BV22" s="203" t="str">
        <f t="shared" si="27"/>
        <v/>
      </c>
      <c r="BW22" s="204" t="str">
        <f t="shared" si="27"/>
        <v/>
      </c>
      <c r="BX22" s="205" t="str">
        <f t="shared" si="27"/>
        <v/>
      </c>
      <c r="BY22" s="203" t="str">
        <f t="shared" si="27"/>
        <v/>
      </c>
      <c r="BZ22" s="203" t="str">
        <f t="shared" si="27"/>
        <v/>
      </c>
      <c r="CA22" s="204" t="str">
        <f t="shared" si="27"/>
        <v/>
      </c>
      <c r="CB22" s="205" t="str">
        <f t="shared" si="27"/>
        <v/>
      </c>
      <c r="CC22" s="203" t="str">
        <f t="shared" si="27"/>
        <v/>
      </c>
      <c r="CD22" s="203" t="str">
        <f t="shared" si="27"/>
        <v/>
      </c>
      <c r="CE22" s="204" t="str">
        <f t="shared" si="27"/>
        <v/>
      </c>
    </row>
    <row r="23" spans="1:83" ht="18" customHeight="1">
      <c r="A23" s="22">
        <f>+TABELLA!AC27</f>
        <v>0</v>
      </c>
      <c r="B23" s="22">
        <f>+TABELLA!AD27</f>
        <v>0</v>
      </c>
      <c r="C23" s="22">
        <f>+TABELLA!AE27</f>
        <v>0</v>
      </c>
      <c r="D23" s="22">
        <f>+TABELLA!AF27</f>
        <v>0</v>
      </c>
      <c r="E23" s="22"/>
      <c r="F23" s="41" t="str">
        <f>IF(TABELLA!B27="","",TABELLA!B27)</f>
        <v/>
      </c>
      <c r="G23" s="42" t="str">
        <f>IF(TABELLA!C27="","",TABELLA!C27)</f>
        <v/>
      </c>
      <c r="H23" s="206" t="str">
        <f t="shared" ref="H23:V23" si="28">IF(AND(G$3&gt;=$A23,G$3&lt;$B23),1,IF(AND(G$3&gt;=$C23,G$3&lt;$D23),1,""))</f>
        <v/>
      </c>
      <c r="I23" s="206" t="str">
        <f t="shared" si="28"/>
        <v/>
      </c>
      <c r="J23" s="206" t="str">
        <f t="shared" si="28"/>
        <v/>
      </c>
      <c r="K23" s="207" t="str">
        <f t="shared" si="28"/>
        <v/>
      </c>
      <c r="L23" s="208" t="str">
        <f t="shared" si="28"/>
        <v/>
      </c>
      <c r="M23" s="206" t="str">
        <f t="shared" si="28"/>
        <v/>
      </c>
      <c r="N23" s="206" t="str">
        <f t="shared" si="28"/>
        <v/>
      </c>
      <c r="O23" s="207" t="str">
        <f t="shared" si="28"/>
        <v/>
      </c>
      <c r="P23" s="208" t="str">
        <f t="shared" si="28"/>
        <v/>
      </c>
      <c r="Q23" s="206" t="str">
        <f t="shared" si="28"/>
        <v/>
      </c>
      <c r="R23" s="206" t="str">
        <f t="shared" si="28"/>
        <v/>
      </c>
      <c r="S23" s="207" t="str">
        <f t="shared" si="28"/>
        <v/>
      </c>
      <c r="T23" s="208" t="str">
        <f t="shared" si="28"/>
        <v/>
      </c>
      <c r="U23" s="206" t="str">
        <f t="shared" si="28"/>
        <v/>
      </c>
      <c r="V23" s="206" t="str">
        <f t="shared" si="28"/>
        <v/>
      </c>
      <c r="W23" s="207" t="str">
        <f t="shared" si="25"/>
        <v/>
      </c>
      <c r="X23" s="208" t="str">
        <f t="shared" si="22"/>
        <v/>
      </c>
      <c r="Y23" s="206" t="str">
        <f t="shared" si="22"/>
        <v/>
      </c>
      <c r="Z23" s="206" t="str">
        <f t="shared" si="22"/>
        <v/>
      </c>
      <c r="AA23" s="207" t="str">
        <f t="shared" si="22"/>
        <v/>
      </c>
      <c r="AB23" s="208" t="str">
        <f t="shared" si="22"/>
        <v/>
      </c>
      <c r="AC23" s="206" t="str">
        <f t="shared" si="22"/>
        <v/>
      </c>
      <c r="AD23" s="206" t="str">
        <f t="shared" si="22"/>
        <v/>
      </c>
      <c r="AE23" s="207" t="str">
        <f t="shared" si="22"/>
        <v/>
      </c>
      <c r="AF23" s="208" t="str">
        <f t="shared" si="22"/>
        <v/>
      </c>
      <c r="AG23" s="206" t="str">
        <f t="shared" si="22"/>
        <v/>
      </c>
      <c r="AH23" s="206" t="str">
        <f t="shared" si="22"/>
        <v/>
      </c>
      <c r="AI23" s="207" t="str">
        <f t="shared" si="22"/>
        <v/>
      </c>
      <c r="AJ23" s="208" t="str">
        <f t="shared" si="22"/>
        <v/>
      </c>
      <c r="AK23" s="206" t="str">
        <f t="shared" si="22"/>
        <v/>
      </c>
      <c r="AL23" s="206" t="str">
        <f t="shared" si="22"/>
        <v/>
      </c>
      <c r="AM23" s="207" t="str">
        <f t="shared" si="26"/>
        <v/>
      </c>
      <c r="AN23" s="208" t="str">
        <f t="shared" si="26"/>
        <v/>
      </c>
      <c r="AO23" s="206" t="str">
        <f t="shared" si="26"/>
        <v/>
      </c>
      <c r="AP23" s="206" t="str">
        <f t="shared" si="26"/>
        <v/>
      </c>
      <c r="AQ23" s="207" t="str">
        <f t="shared" si="26"/>
        <v/>
      </c>
      <c r="AR23" s="208" t="str">
        <f t="shared" si="26"/>
        <v/>
      </c>
      <c r="AS23" s="206" t="str">
        <f t="shared" si="26"/>
        <v/>
      </c>
      <c r="AT23" s="206" t="str">
        <f t="shared" si="26"/>
        <v/>
      </c>
      <c r="AU23" s="207" t="str">
        <f t="shared" si="26"/>
        <v/>
      </c>
      <c r="AV23" s="208" t="str">
        <f t="shared" si="26"/>
        <v/>
      </c>
      <c r="AW23" s="206" t="str">
        <f t="shared" si="26"/>
        <v/>
      </c>
      <c r="AX23" s="206" t="str">
        <f t="shared" si="26"/>
        <v/>
      </c>
      <c r="AY23" s="207" t="str">
        <f t="shared" si="26"/>
        <v/>
      </c>
      <c r="AZ23" s="208" t="str">
        <f t="shared" si="26"/>
        <v/>
      </c>
      <c r="BA23" s="206" t="str">
        <f t="shared" si="26"/>
        <v/>
      </c>
      <c r="BB23" s="206" t="str">
        <f t="shared" si="26"/>
        <v/>
      </c>
      <c r="BC23" s="207" t="str">
        <f t="shared" si="23"/>
        <v/>
      </c>
      <c r="BD23" s="208" t="str">
        <f t="shared" si="23"/>
        <v/>
      </c>
      <c r="BE23" s="206" t="str">
        <f t="shared" si="23"/>
        <v/>
      </c>
      <c r="BF23" s="206" t="str">
        <f t="shared" si="23"/>
        <v/>
      </c>
      <c r="BG23" s="207" t="str">
        <f t="shared" si="23"/>
        <v/>
      </c>
      <c r="BH23" s="208" t="str">
        <f t="shared" si="23"/>
        <v/>
      </c>
      <c r="BI23" s="206" t="str">
        <f t="shared" si="23"/>
        <v/>
      </c>
      <c r="BJ23" s="206" t="str">
        <f t="shared" si="23"/>
        <v/>
      </c>
      <c r="BK23" s="207" t="str">
        <f t="shared" si="23"/>
        <v/>
      </c>
      <c r="BL23" s="208" t="str">
        <f t="shared" si="23"/>
        <v/>
      </c>
      <c r="BM23" s="206" t="str">
        <f t="shared" si="23"/>
        <v/>
      </c>
      <c r="BN23" s="206" t="str">
        <f t="shared" si="23"/>
        <v/>
      </c>
      <c r="BO23" s="207" t="str">
        <f t="shared" si="23"/>
        <v/>
      </c>
      <c r="BP23" s="208" t="str">
        <f t="shared" si="27"/>
        <v/>
      </c>
      <c r="BQ23" s="206" t="str">
        <f t="shared" si="27"/>
        <v/>
      </c>
      <c r="BR23" s="206" t="str">
        <f t="shared" si="27"/>
        <v/>
      </c>
      <c r="BS23" s="207" t="str">
        <f t="shared" si="27"/>
        <v/>
      </c>
      <c r="BT23" s="208" t="str">
        <f t="shared" si="27"/>
        <v/>
      </c>
      <c r="BU23" s="206" t="str">
        <f t="shared" si="27"/>
        <v/>
      </c>
      <c r="BV23" s="206" t="str">
        <f t="shared" si="27"/>
        <v/>
      </c>
      <c r="BW23" s="207" t="str">
        <f t="shared" si="27"/>
        <v/>
      </c>
      <c r="BX23" s="208" t="str">
        <f t="shared" si="27"/>
        <v/>
      </c>
      <c r="BY23" s="206" t="str">
        <f t="shared" si="27"/>
        <v/>
      </c>
      <c r="BZ23" s="206" t="str">
        <f t="shared" si="27"/>
        <v/>
      </c>
      <c r="CA23" s="207" t="str">
        <f t="shared" si="27"/>
        <v/>
      </c>
      <c r="CB23" s="208" t="str">
        <f t="shared" si="27"/>
        <v/>
      </c>
      <c r="CC23" s="206" t="str">
        <f t="shared" si="27"/>
        <v/>
      </c>
      <c r="CD23" s="206" t="str">
        <f t="shared" si="27"/>
        <v/>
      </c>
      <c r="CE23" s="207" t="str">
        <f t="shared" si="27"/>
        <v/>
      </c>
    </row>
    <row r="24" spans="1:83" ht="18" customHeight="1">
      <c r="A24" s="22">
        <f>+TABELLA!AC28</f>
        <v>0</v>
      </c>
      <c r="B24" s="22">
        <f>+TABELLA!AD28</f>
        <v>0</v>
      </c>
      <c r="C24" s="22">
        <f>+TABELLA!AE28</f>
        <v>0</v>
      </c>
      <c r="D24" s="22">
        <f>+TABELLA!AF28</f>
        <v>0</v>
      </c>
      <c r="E24" s="22"/>
      <c r="F24" s="26">
        <f>IF(TABELLA!B28="","",TABELLA!B28)</f>
        <v>3</v>
      </c>
      <c r="G24" s="27" t="str">
        <f>IF(TABELLA!C28="","",TABELLA!C28)</f>
        <v>SARTORATO TATIANA</v>
      </c>
      <c r="H24" s="203" t="str">
        <f t="shared" ref="H24:V24" si="29">IF(AND(G$3&gt;=$A24,G$3&lt;$B24),1,IF(AND(G$3&gt;=$C24,G$3&lt;$D24),1,""))</f>
        <v/>
      </c>
      <c r="I24" s="203" t="str">
        <f t="shared" si="29"/>
        <v/>
      </c>
      <c r="J24" s="203" t="str">
        <f t="shared" si="29"/>
        <v/>
      </c>
      <c r="K24" s="204" t="str">
        <f t="shared" si="29"/>
        <v/>
      </c>
      <c r="L24" s="205" t="str">
        <f t="shared" si="29"/>
        <v/>
      </c>
      <c r="M24" s="203" t="str">
        <f t="shared" si="29"/>
        <v/>
      </c>
      <c r="N24" s="203" t="str">
        <f t="shared" si="29"/>
        <v/>
      </c>
      <c r="O24" s="204" t="str">
        <f t="shared" si="29"/>
        <v/>
      </c>
      <c r="P24" s="205" t="str">
        <f t="shared" si="29"/>
        <v/>
      </c>
      <c r="Q24" s="203" t="str">
        <f t="shared" si="29"/>
        <v/>
      </c>
      <c r="R24" s="203" t="str">
        <f t="shared" si="29"/>
        <v/>
      </c>
      <c r="S24" s="204" t="str">
        <f t="shared" si="29"/>
        <v/>
      </c>
      <c r="T24" s="205" t="str">
        <f t="shared" si="29"/>
        <v/>
      </c>
      <c r="U24" s="203" t="str">
        <f t="shared" si="29"/>
        <v/>
      </c>
      <c r="V24" s="203" t="str">
        <f t="shared" si="29"/>
        <v/>
      </c>
      <c r="W24" s="204" t="str">
        <f t="shared" si="25"/>
        <v/>
      </c>
      <c r="X24" s="205" t="str">
        <f t="shared" si="22"/>
        <v/>
      </c>
      <c r="Y24" s="203" t="str">
        <f t="shared" si="22"/>
        <v/>
      </c>
      <c r="Z24" s="203" t="str">
        <f t="shared" si="22"/>
        <v/>
      </c>
      <c r="AA24" s="204" t="str">
        <f t="shared" si="22"/>
        <v/>
      </c>
      <c r="AB24" s="205" t="str">
        <f t="shared" si="22"/>
        <v/>
      </c>
      <c r="AC24" s="203" t="str">
        <f t="shared" si="22"/>
        <v/>
      </c>
      <c r="AD24" s="203" t="str">
        <f t="shared" si="22"/>
        <v/>
      </c>
      <c r="AE24" s="204" t="str">
        <f t="shared" si="22"/>
        <v/>
      </c>
      <c r="AF24" s="205" t="str">
        <f t="shared" si="22"/>
        <v/>
      </c>
      <c r="AG24" s="203" t="str">
        <f t="shared" si="22"/>
        <v/>
      </c>
      <c r="AH24" s="203" t="str">
        <f t="shared" si="22"/>
        <v/>
      </c>
      <c r="AI24" s="204" t="str">
        <f t="shared" si="22"/>
        <v/>
      </c>
      <c r="AJ24" s="205" t="str">
        <f t="shared" si="22"/>
        <v/>
      </c>
      <c r="AK24" s="203" t="str">
        <f t="shared" si="22"/>
        <v/>
      </c>
      <c r="AL24" s="203" t="str">
        <f t="shared" si="22"/>
        <v/>
      </c>
      <c r="AM24" s="204" t="str">
        <f t="shared" si="26"/>
        <v/>
      </c>
      <c r="AN24" s="205" t="str">
        <f t="shared" si="26"/>
        <v/>
      </c>
      <c r="AO24" s="203" t="str">
        <f t="shared" si="26"/>
        <v/>
      </c>
      <c r="AP24" s="203" t="str">
        <f t="shared" si="26"/>
        <v/>
      </c>
      <c r="AQ24" s="204" t="str">
        <f t="shared" si="26"/>
        <v/>
      </c>
      <c r="AR24" s="205" t="str">
        <f t="shared" si="26"/>
        <v/>
      </c>
      <c r="AS24" s="203" t="str">
        <f t="shared" si="26"/>
        <v/>
      </c>
      <c r="AT24" s="203" t="str">
        <f t="shared" si="26"/>
        <v/>
      </c>
      <c r="AU24" s="204" t="str">
        <f t="shared" si="26"/>
        <v/>
      </c>
      <c r="AV24" s="205" t="str">
        <f t="shared" si="26"/>
        <v/>
      </c>
      <c r="AW24" s="203" t="str">
        <f t="shared" si="26"/>
        <v/>
      </c>
      <c r="AX24" s="203" t="str">
        <f t="shared" si="26"/>
        <v/>
      </c>
      <c r="AY24" s="204" t="str">
        <f t="shared" si="26"/>
        <v/>
      </c>
      <c r="AZ24" s="205" t="str">
        <f t="shared" si="26"/>
        <v/>
      </c>
      <c r="BA24" s="203" t="str">
        <f t="shared" si="26"/>
        <v/>
      </c>
      <c r="BB24" s="203" t="str">
        <f t="shared" si="26"/>
        <v/>
      </c>
      <c r="BC24" s="204" t="str">
        <f t="shared" si="23"/>
        <v/>
      </c>
      <c r="BD24" s="205" t="str">
        <f t="shared" si="23"/>
        <v/>
      </c>
      <c r="BE24" s="203" t="str">
        <f t="shared" si="23"/>
        <v/>
      </c>
      <c r="BF24" s="203" t="str">
        <f t="shared" si="23"/>
        <v/>
      </c>
      <c r="BG24" s="204" t="str">
        <f t="shared" si="23"/>
        <v/>
      </c>
      <c r="BH24" s="205" t="str">
        <f t="shared" si="23"/>
        <v/>
      </c>
      <c r="BI24" s="203" t="str">
        <f t="shared" si="23"/>
        <v/>
      </c>
      <c r="BJ24" s="203" t="str">
        <f t="shared" si="23"/>
        <v/>
      </c>
      <c r="BK24" s="204" t="str">
        <f t="shared" si="23"/>
        <v/>
      </c>
      <c r="BL24" s="205" t="str">
        <f t="shared" si="23"/>
        <v/>
      </c>
      <c r="BM24" s="203" t="str">
        <f t="shared" si="23"/>
        <v/>
      </c>
      <c r="BN24" s="203" t="str">
        <f t="shared" si="23"/>
        <v/>
      </c>
      <c r="BO24" s="204" t="str">
        <f t="shared" si="23"/>
        <v/>
      </c>
      <c r="BP24" s="205" t="str">
        <f t="shared" si="27"/>
        <v/>
      </c>
      <c r="BQ24" s="203" t="str">
        <f t="shared" si="27"/>
        <v/>
      </c>
      <c r="BR24" s="203" t="str">
        <f t="shared" si="27"/>
        <v/>
      </c>
      <c r="BS24" s="204" t="str">
        <f t="shared" si="27"/>
        <v/>
      </c>
      <c r="BT24" s="205" t="str">
        <f t="shared" si="27"/>
        <v/>
      </c>
      <c r="BU24" s="203" t="str">
        <f t="shared" si="27"/>
        <v/>
      </c>
      <c r="BV24" s="203" t="str">
        <f t="shared" si="27"/>
        <v/>
      </c>
      <c r="BW24" s="204" t="str">
        <f t="shared" si="27"/>
        <v/>
      </c>
      <c r="BX24" s="205" t="str">
        <f t="shared" si="27"/>
        <v/>
      </c>
      <c r="BY24" s="203" t="str">
        <f t="shared" si="27"/>
        <v/>
      </c>
      <c r="BZ24" s="203" t="str">
        <f t="shared" si="27"/>
        <v/>
      </c>
      <c r="CA24" s="204" t="str">
        <f t="shared" si="27"/>
        <v/>
      </c>
      <c r="CB24" s="205" t="str">
        <f t="shared" si="27"/>
        <v/>
      </c>
      <c r="CC24" s="203" t="str">
        <f t="shared" si="27"/>
        <v/>
      </c>
      <c r="CD24" s="203" t="str">
        <f t="shared" si="27"/>
        <v/>
      </c>
      <c r="CE24" s="204" t="str">
        <f t="shared" si="27"/>
        <v/>
      </c>
    </row>
    <row r="25" spans="1:83" ht="18" customHeight="1">
      <c r="A25" s="22">
        <f>+TABELLA!AC29</f>
        <v>0</v>
      </c>
      <c r="B25" s="22">
        <f>+TABELLA!AD29</f>
        <v>0</v>
      </c>
      <c r="C25" s="22">
        <f>+TABELLA!AE29</f>
        <v>0</v>
      </c>
      <c r="D25" s="22">
        <f>+TABELLA!AF29</f>
        <v>0</v>
      </c>
      <c r="E25" s="22"/>
      <c r="F25" s="41">
        <f>IF(TABELLA!B29="","",TABELLA!B29)</f>
        <v>3</v>
      </c>
      <c r="G25" s="42" t="str">
        <f>IF(TABELLA!C29="","",TABELLA!C29)</f>
        <v>CATALDO MARIKA</v>
      </c>
      <c r="H25" s="206" t="str">
        <f t="shared" ref="H25:V25" si="30">IF(AND(G$3&gt;=$A25,G$3&lt;$B25),1,IF(AND(G$3&gt;=$C25,G$3&lt;$D25),1,""))</f>
        <v/>
      </c>
      <c r="I25" s="206" t="str">
        <f t="shared" si="30"/>
        <v/>
      </c>
      <c r="J25" s="206" t="str">
        <f t="shared" si="30"/>
        <v/>
      </c>
      <c r="K25" s="207" t="str">
        <f t="shared" si="30"/>
        <v/>
      </c>
      <c r="L25" s="208" t="str">
        <f t="shared" si="30"/>
        <v/>
      </c>
      <c r="M25" s="206" t="str">
        <f t="shared" si="30"/>
        <v/>
      </c>
      <c r="N25" s="206" t="str">
        <f t="shared" si="30"/>
        <v/>
      </c>
      <c r="O25" s="207" t="str">
        <f t="shared" si="30"/>
        <v/>
      </c>
      <c r="P25" s="208" t="str">
        <f t="shared" si="30"/>
        <v/>
      </c>
      <c r="Q25" s="206" t="str">
        <f t="shared" si="30"/>
        <v/>
      </c>
      <c r="R25" s="206" t="str">
        <f t="shared" si="30"/>
        <v/>
      </c>
      <c r="S25" s="207" t="str">
        <f t="shared" si="30"/>
        <v/>
      </c>
      <c r="T25" s="208" t="str">
        <f t="shared" si="30"/>
        <v/>
      </c>
      <c r="U25" s="206" t="str">
        <f t="shared" si="30"/>
        <v/>
      </c>
      <c r="V25" s="206" t="str">
        <f t="shared" si="30"/>
        <v/>
      </c>
      <c r="W25" s="207" t="str">
        <f t="shared" si="25"/>
        <v/>
      </c>
      <c r="X25" s="208" t="str">
        <f t="shared" si="22"/>
        <v/>
      </c>
      <c r="Y25" s="206" t="str">
        <f t="shared" si="22"/>
        <v/>
      </c>
      <c r="Z25" s="206" t="str">
        <f t="shared" si="22"/>
        <v/>
      </c>
      <c r="AA25" s="207" t="str">
        <f t="shared" si="22"/>
        <v/>
      </c>
      <c r="AB25" s="208" t="str">
        <f t="shared" si="22"/>
        <v/>
      </c>
      <c r="AC25" s="206" t="str">
        <f t="shared" si="22"/>
        <v/>
      </c>
      <c r="AD25" s="206" t="str">
        <f t="shared" si="22"/>
        <v/>
      </c>
      <c r="AE25" s="207" t="str">
        <f t="shared" si="22"/>
        <v/>
      </c>
      <c r="AF25" s="208" t="str">
        <f t="shared" si="22"/>
        <v/>
      </c>
      <c r="AG25" s="206" t="str">
        <f t="shared" si="22"/>
        <v/>
      </c>
      <c r="AH25" s="206" t="str">
        <f t="shared" si="22"/>
        <v/>
      </c>
      <c r="AI25" s="207" t="str">
        <f t="shared" si="22"/>
        <v/>
      </c>
      <c r="AJ25" s="208" t="str">
        <f t="shared" si="22"/>
        <v/>
      </c>
      <c r="AK25" s="206" t="str">
        <f t="shared" si="22"/>
        <v/>
      </c>
      <c r="AL25" s="206" t="str">
        <f t="shared" si="22"/>
        <v/>
      </c>
      <c r="AM25" s="207" t="str">
        <f t="shared" si="26"/>
        <v/>
      </c>
      <c r="AN25" s="208" t="str">
        <f t="shared" si="26"/>
        <v/>
      </c>
      <c r="AO25" s="206" t="str">
        <f t="shared" si="26"/>
        <v/>
      </c>
      <c r="AP25" s="206" t="str">
        <f t="shared" si="26"/>
        <v/>
      </c>
      <c r="AQ25" s="207" t="str">
        <f t="shared" si="26"/>
        <v/>
      </c>
      <c r="AR25" s="208" t="str">
        <f t="shared" si="26"/>
        <v/>
      </c>
      <c r="AS25" s="206" t="str">
        <f t="shared" si="26"/>
        <v/>
      </c>
      <c r="AT25" s="206" t="str">
        <f t="shared" si="26"/>
        <v/>
      </c>
      <c r="AU25" s="207" t="str">
        <f t="shared" si="26"/>
        <v/>
      </c>
      <c r="AV25" s="208" t="str">
        <f t="shared" si="26"/>
        <v/>
      </c>
      <c r="AW25" s="206" t="str">
        <f t="shared" si="26"/>
        <v/>
      </c>
      <c r="AX25" s="206" t="str">
        <f t="shared" si="26"/>
        <v/>
      </c>
      <c r="AY25" s="207" t="str">
        <f t="shared" si="26"/>
        <v/>
      </c>
      <c r="AZ25" s="208" t="str">
        <f t="shared" si="26"/>
        <v/>
      </c>
      <c r="BA25" s="206" t="str">
        <f t="shared" si="26"/>
        <v/>
      </c>
      <c r="BB25" s="206" t="str">
        <f t="shared" si="26"/>
        <v/>
      </c>
      <c r="BC25" s="207" t="str">
        <f t="shared" si="23"/>
        <v/>
      </c>
      <c r="BD25" s="208" t="str">
        <f t="shared" si="23"/>
        <v/>
      </c>
      <c r="BE25" s="206" t="str">
        <f t="shared" si="23"/>
        <v/>
      </c>
      <c r="BF25" s="206" t="str">
        <f t="shared" si="23"/>
        <v/>
      </c>
      <c r="BG25" s="207" t="str">
        <f t="shared" si="23"/>
        <v/>
      </c>
      <c r="BH25" s="208" t="str">
        <f t="shared" si="23"/>
        <v/>
      </c>
      <c r="BI25" s="206" t="str">
        <f t="shared" si="23"/>
        <v/>
      </c>
      <c r="BJ25" s="206" t="str">
        <f t="shared" si="23"/>
        <v/>
      </c>
      <c r="BK25" s="207" t="str">
        <f t="shared" si="23"/>
        <v/>
      </c>
      <c r="BL25" s="208" t="str">
        <f t="shared" si="23"/>
        <v/>
      </c>
      <c r="BM25" s="206" t="str">
        <f t="shared" si="23"/>
        <v/>
      </c>
      <c r="BN25" s="206" t="str">
        <f t="shared" si="23"/>
        <v/>
      </c>
      <c r="BO25" s="207" t="str">
        <f t="shared" si="23"/>
        <v/>
      </c>
      <c r="BP25" s="208" t="str">
        <f t="shared" si="27"/>
        <v/>
      </c>
      <c r="BQ25" s="206" t="str">
        <f t="shared" si="27"/>
        <v/>
      </c>
      <c r="BR25" s="206" t="str">
        <f t="shared" si="27"/>
        <v/>
      </c>
      <c r="BS25" s="207" t="str">
        <f t="shared" si="27"/>
        <v/>
      </c>
      <c r="BT25" s="208" t="str">
        <f t="shared" si="27"/>
        <v/>
      </c>
      <c r="BU25" s="206" t="str">
        <f t="shared" si="27"/>
        <v/>
      </c>
      <c r="BV25" s="206" t="str">
        <f t="shared" si="27"/>
        <v/>
      </c>
      <c r="BW25" s="207" t="str">
        <f t="shared" si="27"/>
        <v/>
      </c>
      <c r="BX25" s="208" t="str">
        <f t="shared" si="27"/>
        <v/>
      </c>
      <c r="BY25" s="206" t="str">
        <f t="shared" si="27"/>
        <v/>
      </c>
      <c r="BZ25" s="206" t="str">
        <f t="shared" si="27"/>
        <v/>
      </c>
      <c r="CA25" s="207" t="str">
        <f t="shared" si="27"/>
        <v/>
      </c>
      <c r="CB25" s="208" t="str">
        <f t="shared" si="27"/>
        <v/>
      </c>
      <c r="CC25" s="206" t="str">
        <f t="shared" si="27"/>
        <v/>
      </c>
      <c r="CD25" s="206" t="str">
        <f t="shared" si="27"/>
        <v/>
      </c>
      <c r="CE25" s="207" t="str">
        <f t="shared" si="27"/>
        <v/>
      </c>
    </row>
    <row r="26" spans="1:83" ht="18" customHeight="1">
      <c r="A26" s="22">
        <f>+TABELLA!AC30</f>
        <v>0</v>
      </c>
      <c r="B26" s="22">
        <f>+TABELLA!AD30</f>
        <v>0</v>
      </c>
      <c r="C26" s="22">
        <f>+TABELLA!AE30</f>
        <v>0</v>
      </c>
      <c r="D26" s="22">
        <f>+TABELLA!AF30</f>
        <v>0</v>
      </c>
      <c r="E26" s="22"/>
      <c r="F26" s="26">
        <f>IF(TABELLA!B30="","",TABELLA!B30)</f>
        <v>3</v>
      </c>
      <c r="G26" s="27" t="str">
        <f>IF(TABELLA!C30="","",TABELLA!C30)</f>
        <v>ALDARWISH HASSAN</v>
      </c>
      <c r="H26" s="203" t="str">
        <f t="shared" ref="H26:V26" si="31">IF(AND(G$3&gt;=$A26,G$3&lt;$B26),1,IF(AND(G$3&gt;=$C26,G$3&lt;$D26),1,""))</f>
        <v/>
      </c>
      <c r="I26" s="203" t="str">
        <f t="shared" si="31"/>
        <v/>
      </c>
      <c r="J26" s="203" t="str">
        <f t="shared" si="31"/>
        <v/>
      </c>
      <c r="K26" s="204" t="str">
        <f t="shared" si="31"/>
        <v/>
      </c>
      <c r="L26" s="205" t="str">
        <f t="shared" si="31"/>
        <v/>
      </c>
      <c r="M26" s="203" t="str">
        <f t="shared" si="31"/>
        <v/>
      </c>
      <c r="N26" s="203" t="str">
        <f t="shared" si="31"/>
        <v/>
      </c>
      <c r="O26" s="204" t="str">
        <f t="shared" si="31"/>
        <v/>
      </c>
      <c r="P26" s="205" t="str">
        <f t="shared" si="31"/>
        <v/>
      </c>
      <c r="Q26" s="203" t="str">
        <f t="shared" si="31"/>
        <v/>
      </c>
      <c r="R26" s="203" t="str">
        <f t="shared" si="31"/>
        <v/>
      </c>
      <c r="S26" s="204" t="str">
        <f t="shared" si="31"/>
        <v/>
      </c>
      <c r="T26" s="205" t="str">
        <f t="shared" si="31"/>
        <v/>
      </c>
      <c r="U26" s="203" t="str">
        <f t="shared" si="31"/>
        <v/>
      </c>
      <c r="V26" s="203" t="str">
        <f t="shared" si="31"/>
        <v/>
      </c>
      <c r="W26" s="204" t="str">
        <f t="shared" si="25"/>
        <v/>
      </c>
      <c r="X26" s="205" t="str">
        <f t="shared" si="22"/>
        <v/>
      </c>
      <c r="Y26" s="203" t="str">
        <f t="shared" si="22"/>
        <v/>
      </c>
      <c r="Z26" s="203" t="str">
        <f t="shared" si="22"/>
        <v/>
      </c>
      <c r="AA26" s="204" t="str">
        <f t="shared" si="22"/>
        <v/>
      </c>
      <c r="AB26" s="205" t="str">
        <f t="shared" si="22"/>
        <v/>
      </c>
      <c r="AC26" s="203" t="str">
        <f t="shared" si="22"/>
        <v/>
      </c>
      <c r="AD26" s="203" t="str">
        <f t="shared" si="22"/>
        <v/>
      </c>
      <c r="AE26" s="204" t="str">
        <f t="shared" si="22"/>
        <v/>
      </c>
      <c r="AF26" s="205" t="str">
        <f t="shared" si="22"/>
        <v/>
      </c>
      <c r="AG26" s="203" t="str">
        <f t="shared" si="22"/>
        <v/>
      </c>
      <c r="AH26" s="203" t="str">
        <f t="shared" si="22"/>
        <v/>
      </c>
      <c r="AI26" s="204" t="str">
        <f t="shared" si="22"/>
        <v/>
      </c>
      <c r="AJ26" s="205" t="str">
        <f t="shared" si="22"/>
        <v/>
      </c>
      <c r="AK26" s="203" t="str">
        <f t="shared" si="22"/>
        <v/>
      </c>
      <c r="AL26" s="203" t="str">
        <f t="shared" si="22"/>
        <v/>
      </c>
      <c r="AM26" s="204" t="str">
        <f t="shared" si="26"/>
        <v/>
      </c>
      <c r="AN26" s="205" t="str">
        <f t="shared" si="26"/>
        <v/>
      </c>
      <c r="AO26" s="203" t="str">
        <f t="shared" si="26"/>
        <v/>
      </c>
      <c r="AP26" s="203" t="str">
        <f t="shared" si="26"/>
        <v/>
      </c>
      <c r="AQ26" s="204" t="str">
        <f t="shared" si="26"/>
        <v/>
      </c>
      <c r="AR26" s="205" t="str">
        <f t="shared" si="26"/>
        <v/>
      </c>
      <c r="AS26" s="203" t="str">
        <f t="shared" si="26"/>
        <v/>
      </c>
      <c r="AT26" s="203" t="str">
        <f t="shared" si="26"/>
        <v/>
      </c>
      <c r="AU26" s="204" t="str">
        <f t="shared" si="26"/>
        <v/>
      </c>
      <c r="AV26" s="205" t="str">
        <f t="shared" si="26"/>
        <v/>
      </c>
      <c r="AW26" s="203" t="str">
        <f t="shared" si="26"/>
        <v/>
      </c>
      <c r="AX26" s="203" t="str">
        <f t="shared" si="26"/>
        <v/>
      </c>
      <c r="AY26" s="204" t="str">
        <f t="shared" si="26"/>
        <v/>
      </c>
      <c r="AZ26" s="205" t="str">
        <f t="shared" si="26"/>
        <v/>
      </c>
      <c r="BA26" s="203" t="str">
        <f t="shared" si="26"/>
        <v/>
      </c>
      <c r="BB26" s="203" t="str">
        <f t="shared" si="26"/>
        <v/>
      </c>
      <c r="BC26" s="204" t="str">
        <f t="shared" si="23"/>
        <v/>
      </c>
      <c r="BD26" s="205" t="str">
        <f t="shared" si="23"/>
        <v/>
      </c>
      <c r="BE26" s="203" t="str">
        <f t="shared" si="23"/>
        <v/>
      </c>
      <c r="BF26" s="203" t="str">
        <f t="shared" si="23"/>
        <v/>
      </c>
      <c r="BG26" s="204" t="str">
        <f t="shared" si="23"/>
        <v/>
      </c>
      <c r="BH26" s="205" t="str">
        <f t="shared" si="23"/>
        <v/>
      </c>
      <c r="BI26" s="203" t="str">
        <f t="shared" si="23"/>
        <v/>
      </c>
      <c r="BJ26" s="203" t="str">
        <f t="shared" si="23"/>
        <v/>
      </c>
      <c r="BK26" s="204" t="str">
        <f t="shared" si="23"/>
        <v/>
      </c>
      <c r="BL26" s="205" t="str">
        <f t="shared" si="23"/>
        <v/>
      </c>
      <c r="BM26" s="203" t="str">
        <f t="shared" si="23"/>
        <v/>
      </c>
      <c r="BN26" s="203" t="str">
        <f t="shared" si="23"/>
        <v/>
      </c>
      <c r="BO26" s="204" t="str">
        <f t="shared" si="23"/>
        <v/>
      </c>
      <c r="BP26" s="205" t="str">
        <f t="shared" si="27"/>
        <v/>
      </c>
      <c r="BQ26" s="203" t="str">
        <f t="shared" si="27"/>
        <v/>
      </c>
      <c r="BR26" s="203" t="str">
        <f t="shared" si="27"/>
        <v/>
      </c>
      <c r="BS26" s="204" t="str">
        <f t="shared" si="27"/>
        <v/>
      </c>
      <c r="BT26" s="205" t="str">
        <f t="shared" si="27"/>
        <v/>
      </c>
      <c r="BU26" s="203" t="str">
        <f t="shared" si="27"/>
        <v/>
      </c>
      <c r="BV26" s="203" t="str">
        <f t="shared" si="27"/>
        <v/>
      </c>
      <c r="BW26" s="204" t="str">
        <f t="shared" si="27"/>
        <v/>
      </c>
      <c r="BX26" s="205" t="str">
        <f t="shared" si="27"/>
        <v/>
      </c>
      <c r="BY26" s="203" t="str">
        <f t="shared" si="27"/>
        <v/>
      </c>
      <c r="BZ26" s="203" t="str">
        <f t="shared" si="27"/>
        <v/>
      </c>
      <c r="CA26" s="204" t="str">
        <f t="shared" si="27"/>
        <v/>
      </c>
      <c r="CB26" s="205" t="str">
        <f t="shared" si="27"/>
        <v/>
      </c>
      <c r="CC26" s="203" t="str">
        <f t="shared" si="27"/>
        <v/>
      </c>
      <c r="CD26" s="203" t="str">
        <f t="shared" si="27"/>
        <v/>
      </c>
      <c r="CE26" s="204" t="str">
        <f t="shared" si="27"/>
        <v/>
      </c>
    </row>
    <row r="27" spans="1:83" ht="18" customHeight="1">
      <c r="A27" s="22">
        <f>+TABELLA!AC31</f>
        <v>0</v>
      </c>
      <c r="B27" s="22">
        <f>+TABELLA!AD31</f>
        <v>0</v>
      </c>
      <c r="C27" s="22">
        <f>+TABELLA!AE31</f>
        <v>0</v>
      </c>
      <c r="D27" s="22">
        <f>+TABELLA!AF31</f>
        <v>0</v>
      </c>
      <c r="E27" s="22"/>
      <c r="F27" s="41" t="str">
        <f>IF(TABELLA!B31="","",TABELLA!B31)</f>
        <v/>
      </c>
      <c r="G27" s="42" t="str">
        <f>IF(TABELLA!C31="","",TABELLA!C31)</f>
        <v/>
      </c>
      <c r="H27" s="206" t="str">
        <f t="shared" ref="H27:V27" si="32">IF(AND(G$3&gt;=$A27,G$3&lt;$B27),1,IF(AND(G$3&gt;=$C27,G$3&lt;$D27),1,""))</f>
        <v/>
      </c>
      <c r="I27" s="206" t="str">
        <f t="shared" si="32"/>
        <v/>
      </c>
      <c r="J27" s="206" t="str">
        <f t="shared" si="32"/>
        <v/>
      </c>
      <c r="K27" s="207" t="str">
        <f t="shared" si="32"/>
        <v/>
      </c>
      <c r="L27" s="208" t="str">
        <f t="shared" si="32"/>
        <v/>
      </c>
      <c r="M27" s="206" t="str">
        <f t="shared" si="32"/>
        <v/>
      </c>
      <c r="N27" s="206" t="str">
        <f t="shared" si="32"/>
        <v/>
      </c>
      <c r="O27" s="207" t="str">
        <f t="shared" si="32"/>
        <v/>
      </c>
      <c r="P27" s="208" t="str">
        <f t="shared" si="32"/>
        <v/>
      </c>
      <c r="Q27" s="206" t="str">
        <f t="shared" si="32"/>
        <v/>
      </c>
      <c r="R27" s="206" t="str">
        <f t="shared" si="32"/>
        <v/>
      </c>
      <c r="S27" s="207" t="str">
        <f t="shared" si="32"/>
        <v/>
      </c>
      <c r="T27" s="208" t="str">
        <f t="shared" si="32"/>
        <v/>
      </c>
      <c r="U27" s="206" t="str">
        <f t="shared" si="32"/>
        <v/>
      </c>
      <c r="V27" s="206" t="str">
        <f t="shared" si="32"/>
        <v/>
      </c>
      <c r="W27" s="207" t="str">
        <f t="shared" si="25"/>
        <v/>
      </c>
      <c r="X27" s="208" t="str">
        <f t="shared" si="22"/>
        <v/>
      </c>
      <c r="Y27" s="206" t="str">
        <f t="shared" si="22"/>
        <v/>
      </c>
      <c r="Z27" s="206" t="str">
        <f t="shared" si="22"/>
        <v/>
      </c>
      <c r="AA27" s="207" t="str">
        <f t="shared" si="22"/>
        <v/>
      </c>
      <c r="AB27" s="208" t="str">
        <f t="shared" si="22"/>
        <v/>
      </c>
      <c r="AC27" s="206" t="str">
        <f t="shared" si="22"/>
        <v/>
      </c>
      <c r="AD27" s="206" t="str">
        <f t="shared" si="22"/>
        <v/>
      </c>
      <c r="AE27" s="207" t="str">
        <f t="shared" si="22"/>
        <v/>
      </c>
      <c r="AF27" s="208" t="str">
        <f t="shared" si="22"/>
        <v/>
      </c>
      <c r="AG27" s="206" t="str">
        <f t="shared" si="22"/>
        <v/>
      </c>
      <c r="AH27" s="206" t="str">
        <f t="shared" si="22"/>
        <v/>
      </c>
      <c r="AI27" s="207" t="str">
        <f t="shared" si="22"/>
        <v/>
      </c>
      <c r="AJ27" s="208" t="str">
        <f t="shared" si="22"/>
        <v/>
      </c>
      <c r="AK27" s="206" t="str">
        <f t="shared" si="22"/>
        <v/>
      </c>
      <c r="AL27" s="206" t="str">
        <f t="shared" si="22"/>
        <v/>
      </c>
      <c r="AM27" s="207" t="str">
        <f t="shared" si="26"/>
        <v/>
      </c>
      <c r="AN27" s="208" t="str">
        <f t="shared" si="26"/>
        <v/>
      </c>
      <c r="AO27" s="206" t="str">
        <f t="shared" si="26"/>
        <v/>
      </c>
      <c r="AP27" s="206" t="str">
        <f t="shared" si="26"/>
        <v/>
      </c>
      <c r="AQ27" s="207" t="str">
        <f t="shared" si="26"/>
        <v/>
      </c>
      <c r="AR27" s="208" t="str">
        <f t="shared" si="26"/>
        <v/>
      </c>
      <c r="AS27" s="206" t="str">
        <f t="shared" si="26"/>
        <v/>
      </c>
      <c r="AT27" s="206" t="str">
        <f t="shared" si="26"/>
        <v/>
      </c>
      <c r="AU27" s="207" t="str">
        <f t="shared" si="26"/>
        <v/>
      </c>
      <c r="AV27" s="208" t="str">
        <f t="shared" si="26"/>
        <v/>
      </c>
      <c r="AW27" s="206" t="str">
        <f t="shared" si="26"/>
        <v/>
      </c>
      <c r="AX27" s="206" t="str">
        <f t="shared" si="26"/>
        <v/>
      </c>
      <c r="AY27" s="207" t="str">
        <f t="shared" si="26"/>
        <v/>
      </c>
      <c r="AZ27" s="208" t="str">
        <f t="shared" si="26"/>
        <v/>
      </c>
      <c r="BA27" s="206" t="str">
        <f t="shared" si="26"/>
        <v/>
      </c>
      <c r="BB27" s="206" t="str">
        <f t="shared" si="26"/>
        <v/>
      </c>
      <c r="BC27" s="207" t="str">
        <f t="shared" si="23"/>
        <v/>
      </c>
      <c r="BD27" s="208" t="str">
        <f t="shared" si="23"/>
        <v/>
      </c>
      <c r="BE27" s="206" t="str">
        <f t="shared" si="23"/>
        <v/>
      </c>
      <c r="BF27" s="206" t="str">
        <f t="shared" si="23"/>
        <v/>
      </c>
      <c r="BG27" s="207" t="str">
        <f t="shared" si="23"/>
        <v/>
      </c>
      <c r="BH27" s="208" t="str">
        <f t="shared" si="23"/>
        <v/>
      </c>
      <c r="BI27" s="206" t="str">
        <f t="shared" si="23"/>
        <v/>
      </c>
      <c r="BJ27" s="206" t="str">
        <f t="shared" si="23"/>
        <v/>
      </c>
      <c r="BK27" s="207" t="str">
        <f t="shared" si="23"/>
        <v/>
      </c>
      <c r="BL27" s="208" t="str">
        <f t="shared" si="23"/>
        <v/>
      </c>
      <c r="BM27" s="206" t="str">
        <f t="shared" si="23"/>
        <v/>
      </c>
      <c r="BN27" s="206" t="str">
        <f t="shared" si="23"/>
        <v/>
      </c>
      <c r="BO27" s="207" t="str">
        <f t="shared" si="23"/>
        <v/>
      </c>
      <c r="BP27" s="208" t="str">
        <f t="shared" si="27"/>
        <v/>
      </c>
      <c r="BQ27" s="206" t="str">
        <f t="shared" si="27"/>
        <v/>
      </c>
      <c r="BR27" s="206" t="str">
        <f t="shared" si="27"/>
        <v/>
      </c>
      <c r="BS27" s="207" t="str">
        <f t="shared" si="27"/>
        <v/>
      </c>
      <c r="BT27" s="208" t="str">
        <f t="shared" si="27"/>
        <v/>
      </c>
      <c r="BU27" s="206" t="str">
        <f t="shared" si="27"/>
        <v/>
      </c>
      <c r="BV27" s="206" t="str">
        <f t="shared" si="27"/>
        <v/>
      </c>
      <c r="BW27" s="207" t="str">
        <f t="shared" si="27"/>
        <v/>
      </c>
      <c r="BX27" s="208" t="str">
        <f t="shared" si="27"/>
        <v/>
      </c>
      <c r="BY27" s="206" t="str">
        <f t="shared" si="27"/>
        <v/>
      </c>
      <c r="BZ27" s="206" t="str">
        <f t="shared" si="27"/>
        <v/>
      </c>
      <c r="CA27" s="207" t="str">
        <f t="shared" si="27"/>
        <v/>
      </c>
      <c r="CB27" s="208" t="str">
        <f t="shared" si="27"/>
        <v/>
      </c>
      <c r="CC27" s="206" t="str">
        <f t="shared" si="27"/>
        <v/>
      </c>
      <c r="CD27" s="206" t="str">
        <f t="shared" si="27"/>
        <v/>
      </c>
      <c r="CE27" s="207" t="str">
        <f t="shared" si="27"/>
        <v/>
      </c>
    </row>
    <row r="28" spans="1:83" ht="18" customHeight="1">
      <c r="A28" s="22">
        <f>+TABELLA!AC32</f>
        <v>0</v>
      </c>
      <c r="B28" s="22">
        <f>+TABELLA!AD32</f>
        <v>0</v>
      </c>
      <c r="C28" s="22">
        <f>+TABELLA!AE32</f>
        <v>0</v>
      </c>
      <c r="D28" s="22">
        <f>+TABELLA!AF32</f>
        <v>0</v>
      </c>
      <c r="E28" s="22"/>
      <c r="F28" s="26">
        <f>IF(TABELLA!B32="","",TABELLA!B32)</f>
        <v>2</v>
      </c>
      <c r="G28" s="27" t="str">
        <f>IF(TABELLA!C32="","",TABELLA!C32)</f>
        <v/>
      </c>
      <c r="H28" s="203" t="str">
        <f t="shared" ref="H28:V28" si="33">IF(AND(G$3&gt;=$A28,G$3&lt;$B28),1,IF(AND(G$3&gt;=$C28,G$3&lt;$D28),1,""))</f>
        <v/>
      </c>
      <c r="I28" s="203" t="str">
        <f t="shared" si="33"/>
        <v/>
      </c>
      <c r="J28" s="203" t="str">
        <f t="shared" si="33"/>
        <v/>
      </c>
      <c r="K28" s="204" t="str">
        <f t="shared" si="33"/>
        <v/>
      </c>
      <c r="L28" s="205" t="str">
        <f t="shared" si="33"/>
        <v/>
      </c>
      <c r="M28" s="203" t="str">
        <f t="shared" si="33"/>
        <v/>
      </c>
      <c r="N28" s="203" t="str">
        <f t="shared" si="33"/>
        <v/>
      </c>
      <c r="O28" s="204" t="str">
        <f t="shared" si="33"/>
        <v/>
      </c>
      <c r="P28" s="205" t="str">
        <f t="shared" si="33"/>
        <v/>
      </c>
      <c r="Q28" s="203" t="str">
        <f t="shared" si="33"/>
        <v/>
      </c>
      <c r="R28" s="203" t="str">
        <f t="shared" si="33"/>
        <v/>
      </c>
      <c r="S28" s="204" t="str">
        <f t="shared" si="33"/>
        <v/>
      </c>
      <c r="T28" s="205" t="str">
        <f t="shared" si="33"/>
        <v/>
      </c>
      <c r="U28" s="203" t="str">
        <f t="shared" si="33"/>
        <v/>
      </c>
      <c r="V28" s="203" t="str">
        <f t="shared" si="33"/>
        <v/>
      </c>
      <c r="W28" s="204" t="str">
        <f t="shared" si="25"/>
        <v/>
      </c>
      <c r="X28" s="205" t="str">
        <f t="shared" si="22"/>
        <v/>
      </c>
      <c r="Y28" s="203" t="str">
        <f t="shared" si="22"/>
        <v/>
      </c>
      <c r="Z28" s="203" t="str">
        <f t="shared" si="22"/>
        <v/>
      </c>
      <c r="AA28" s="204" t="str">
        <f t="shared" si="22"/>
        <v/>
      </c>
      <c r="AB28" s="205" t="str">
        <f t="shared" si="22"/>
        <v/>
      </c>
      <c r="AC28" s="203" t="str">
        <f t="shared" si="22"/>
        <v/>
      </c>
      <c r="AD28" s="203" t="str">
        <f t="shared" si="22"/>
        <v/>
      </c>
      <c r="AE28" s="204" t="str">
        <f t="shared" si="22"/>
        <v/>
      </c>
      <c r="AF28" s="205" t="str">
        <f t="shared" si="22"/>
        <v/>
      </c>
      <c r="AG28" s="203" t="str">
        <f t="shared" si="22"/>
        <v/>
      </c>
      <c r="AH28" s="203" t="str">
        <f t="shared" si="22"/>
        <v/>
      </c>
      <c r="AI28" s="204" t="str">
        <f t="shared" si="22"/>
        <v/>
      </c>
      <c r="AJ28" s="205" t="str">
        <f t="shared" si="22"/>
        <v/>
      </c>
      <c r="AK28" s="203" t="str">
        <f t="shared" si="22"/>
        <v/>
      </c>
      <c r="AL28" s="203" t="str">
        <f t="shared" si="22"/>
        <v/>
      </c>
      <c r="AM28" s="204" t="str">
        <f t="shared" si="26"/>
        <v/>
      </c>
      <c r="AN28" s="205" t="str">
        <f t="shared" si="26"/>
        <v/>
      </c>
      <c r="AO28" s="203" t="str">
        <f t="shared" si="26"/>
        <v/>
      </c>
      <c r="AP28" s="203" t="str">
        <f t="shared" si="26"/>
        <v/>
      </c>
      <c r="AQ28" s="204" t="str">
        <f t="shared" si="26"/>
        <v/>
      </c>
      <c r="AR28" s="205" t="str">
        <f t="shared" si="26"/>
        <v/>
      </c>
      <c r="AS28" s="203" t="str">
        <f t="shared" si="26"/>
        <v/>
      </c>
      <c r="AT28" s="203" t="str">
        <f t="shared" si="26"/>
        <v/>
      </c>
      <c r="AU28" s="204" t="str">
        <f t="shared" si="26"/>
        <v/>
      </c>
      <c r="AV28" s="205" t="str">
        <f t="shared" si="26"/>
        <v/>
      </c>
      <c r="AW28" s="203" t="str">
        <f t="shared" si="26"/>
        <v/>
      </c>
      <c r="AX28" s="203" t="str">
        <f t="shared" si="26"/>
        <v/>
      </c>
      <c r="AY28" s="204" t="str">
        <f t="shared" si="26"/>
        <v/>
      </c>
      <c r="AZ28" s="205" t="str">
        <f t="shared" si="26"/>
        <v/>
      </c>
      <c r="BA28" s="203" t="str">
        <f t="shared" si="26"/>
        <v/>
      </c>
      <c r="BB28" s="203" t="str">
        <f t="shared" si="26"/>
        <v/>
      </c>
      <c r="BC28" s="204" t="str">
        <f t="shared" si="23"/>
        <v/>
      </c>
      <c r="BD28" s="205" t="str">
        <f t="shared" si="23"/>
        <v/>
      </c>
      <c r="BE28" s="203" t="str">
        <f t="shared" si="23"/>
        <v/>
      </c>
      <c r="BF28" s="203" t="str">
        <f t="shared" si="23"/>
        <v/>
      </c>
      <c r="BG28" s="204" t="str">
        <f t="shared" si="23"/>
        <v/>
      </c>
      <c r="BH28" s="205" t="str">
        <f t="shared" si="23"/>
        <v/>
      </c>
      <c r="BI28" s="203" t="str">
        <f t="shared" si="23"/>
        <v/>
      </c>
      <c r="BJ28" s="203" t="str">
        <f t="shared" si="23"/>
        <v/>
      </c>
      <c r="BK28" s="204" t="str">
        <f t="shared" si="23"/>
        <v/>
      </c>
      <c r="BL28" s="205" t="str">
        <f t="shared" si="23"/>
        <v/>
      </c>
      <c r="BM28" s="203" t="str">
        <f t="shared" si="23"/>
        <v/>
      </c>
      <c r="BN28" s="203" t="str">
        <f t="shared" si="23"/>
        <v/>
      </c>
      <c r="BO28" s="204" t="str">
        <f t="shared" si="23"/>
        <v/>
      </c>
      <c r="BP28" s="205" t="str">
        <f t="shared" si="27"/>
        <v/>
      </c>
      <c r="BQ28" s="203" t="str">
        <f t="shared" si="27"/>
        <v/>
      </c>
      <c r="BR28" s="203" t="str">
        <f t="shared" si="27"/>
        <v/>
      </c>
      <c r="BS28" s="204" t="str">
        <f t="shared" si="27"/>
        <v/>
      </c>
      <c r="BT28" s="205" t="str">
        <f t="shared" si="27"/>
        <v/>
      </c>
      <c r="BU28" s="203" t="str">
        <f t="shared" si="27"/>
        <v/>
      </c>
      <c r="BV28" s="203" t="str">
        <f t="shared" si="27"/>
        <v/>
      </c>
      <c r="BW28" s="204" t="str">
        <f t="shared" si="27"/>
        <v/>
      </c>
      <c r="BX28" s="205" t="str">
        <f t="shared" si="27"/>
        <v/>
      </c>
      <c r="BY28" s="203" t="str">
        <f t="shared" si="27"/>
        <v/>
      </c>
      <c r="BZ28" s="203" t="str">
        <f t="shared" si="27"/>
        <v/>
      </c>
      <c r="CA28" s="204" t="str">
        <f t="shared" si="27"/>
        <v/>
      </c>
      <c r="CB28" s="205" t="str">
        <f t="shared" si="27"/>
        <v/>
      </c>
      <c r="CC28" s="203" t="str">
        <f t="shared" si="27"/>
        <v/>
      </c>
      <c r="CD28" s="203" t="str">
        <f t="shared" si="27"/>
        <v/>
      </c>
      <c r="CE28" s="204" t="str">
        <f t="shared" si="27"/>
        <v/>
      </c>
    </row>
    <row r="29" spans="1:83" ht="18" customHeight="1">
      <c r="A29" s="22">
        <f>+TABELLA!AC33</f>
        <v>0</v>
      </c>
      <c r="B29" s="22">
        <f>+TABELLA!AD33</f>
        <v>0</v>
      </c>
      <c r="C29" s="22">
        <f>+TABELLA!AE33</f>
        <v>0</v>
      </c>
      <c r="D29" s="22">
        <f>+TABELLA!AF33</f>
        <v>0</v>
      </c>
      <c r="E29" s="22"/>
      <c r="F29" s="41" t="str">
        <f>IF(TABELLA!B33="","",TABELLA!B33)</f>
        <v/>
      </c>
      <c r="G29" s="42" t="str">
        <f>IF(TABELLA!C33="","",TABELLA!C33)</f>
        <v/>
      </c>
      <c r="H29" s="206" t="str">
        <f t="shared" ref="H29:V29" si="34">IF(AND(G$3&gt;=$A29,G$3&lt;$B29),1,IF(AND(G$3&gt;=$C29,G$3&lt;$D29),1,""))</f>
        <v/>
      </c>
      <c r="I29" s="206" t="str">
        <f t="shared" si="34"/>
        <v/>
      </c>
      <c r="J29" s="206" t="str">
        <f t="shared" si="34"/>
        <v/>
      </c>
      <c r="K29" s="207" t="str">
        <f t="shared" si="34"/>
        <v/>
      </c>
      <c r="L29" s="208" t="str">
        <f t="shared" si="34"/>
        <v/>
      </c>
      <c r="M29" s="206" t="str">
        <f t="shared" si="34"/>
        <v/>
      </c>
      <c r="N29" s="206" t="str">
        <f t="shared" si="34"/>
        <v/>
      </c>
      <c r="O29" s="207" t="str">
        <f t="shared" si="34"/>
        <v/>
      </c>
      <c r="P29" s="208" t="str">
        <f t="shared" si="34"/>
        <v/>
      </c>
      <c r="Q29" s="206" t="str">
        <f t="shared" si="34"/>
        <v/>
      </c>
      <c r="R29" s="206" t="str">
        <f t="shared" si="34"/>
        <v/>
      </c>
      <c r="S29" s="207" t="str">
        <f t="shared" si="34"/>
        <v/>
      </c>
      <c r="T29" s="208" t="str">
        <f t="shared" si="34"/>
        <v/>
      </c>
      <c r="U29" s="206" t="str">
        <f t="shared" si="34"/>
        <v/>
      </c>
      <c r="V29" s="206" t="str">
        <f t="shared" si="34"/>
        <v/>
      </c>
      <c r="W29" s="207" t="str">
        <f t="shared" si="25"/>
        <v/>
      </c>
      <c r="X29" s="208" t="str">
        <f t="shared" si="22"/>
        <v/>
      </c>
      <c r="Y29" s="206" t="str">
        <f t="shared" si="22"/>
        <v/>
      </c>
      <c r="Z29" s="206" t="str">
        <f t="shared" si="22"/>
        <v/>
      </c>
      <c r="AA29" s="207" t="str">
        <f t="shared" si="22"/>
        <v/>
      </c>
      <c r="AB29" s="208" t="str">
        <f t="shared" si="22"/>
        <v/>
      </c>
      <c r="AC29" s="206" t="str">
        <f t="shared" si="22"/>
        <v/>
      </c>
      <c r="AD29" s="206" t="str">
        <f t="shared" si="22"/>
        <v/>
      </c>
      <c r="AE29" s="207" t="str">
        <f t="shared" si="22"/>
        <v/>
      </c>
      <c r="AF29" s="208" t="str">
        <f t="shared" si="22"/>
        <v/>
      </c>
      <c r="AG29" s="206" t="str">
        <f t="shared" si="22"/>
        <v/>
      </c>
      <c r="AH29" s="206" t="str">
        <f t="shared" si="22"/>
        <v/>
      </c>
      <c r="AI29" s="207" t="str">
        <f t="shared" si="22"/>
        <v/>
      </c>
      <c r="AJ29" s="208" t="str">
        <f t="shared" si="22"/>
        <v/>
      </c>
      <c r="AK29" s="206" t="str">
        <f t="shared" si="22"/>
        <v/>
      </c>
      <c r="AL29" s="206" t="str">
        <f t="shared" si="22"/>
        <v/>
      </c>
      <c r="AM29" s="207" t="str">
        <f t="shared" si="26"/>
        <v/>
      </c>
      <c r="AN29" s="208" t="str">
        <f t="shared" si="26"/>
        <v/>
      </c>
      <c r="AO29" s="206" t="str">
        <f t="shared" si="26"/>
        <v/>
      </c>
      <c r="AP29" s="206" t="str">
        <f t="shared" si="26"/>
        <v/>
      </c>
      <c r="AQ29" s="207" t="str">
        <f t="shared" si="26"/>
        <v/>
      </c>
      <c r="AR29" s="208" t="str">
        <f t="shared" si="26"/>
        <v/>
      </c>
      <c r="AS29" s="206" t="str">
        <f t="shared" si="26"/>
        <v/>
      </c>
      <c r="AT29" s="206" t="str">
        <f t="shared" si="26"/>
        <v/>
      </c>
      <c r="AU29" s="207" t="str">
        <f t="shared" si="26"/>
        <v/>
      </c>
      <c r="AV29" s="208" t="str">
        <f t="shared" si="26"/>
        <v/>
      </c>
      <c r="AW29" s="206" t="str">
        <f t="shared" si="26"/>
        <v/>
      </c>
      <c r="AX29" s="206" t="str">
        <f t="shared" si="26"/>
        <v/>
      </c>
      <c r="AY29" s="207" t="str">
        <f t="shared" si="26"/>
        <v/>
      </c>
      <c r="AZ29" s="208" t="str">
        <f t="shared" si="26"/>
        <v/>
      </c>
      <c r="BA29" s="206" t="str">
        <f t="shared" si="26"/>
        <v/>
      </c>
      <c r="BB29" s="206" t="str">
        <f t="shared" si="26"/>
        <v/>
      </c>
      <c r="BC29" s="207" t="str">
        <f t="shared" si="23"/>
        <v/>
      </c>
      <c r="BD29" s="208" t="str">
        <f t="shared" si="23"/>
        <v/>
      </c>
      <c r="BE29" s="206" t="str">
        <f t="shared" si="23"/>
        <v/>
      </c>
      <c r="BF29" s="206" t="str">
        <f t="shared" si="23"/>
        <v/>
      </c>
      <c r="BG29" s="207" t="str">
        <f t="shared" si="23"/>
        <v/>
      </c>
      <c r="BH29" s="208" t="str">
        <f t="shared" si="23"/>
        <v/>
      </c>
      <c r="BI29" s="206" t="str">
        <f t="shared" si="23"/>
        <v/>
      </c>
      <c r="BJ29" s="206" t="str">
        <f t="shared" si="23"/>
        <v/>
      </c>
      <c r="BK29" s="207" t="str">
        <f t="shared" si="23"/>
        <v/>
      </c>
      <c r="BL29" s="208" t="str">
        <f t="shared" si="23"/>
        <v/>
      </c>
      <c r="BM29" s="206" t="str">
        <f t="shared" si="23"/>
        <v/>
      </c>
      <c r="BN29" s="206" t="str">
        <f t="shared" si="23"/>
        <v/>
      </c>
      <c r="BO29" s="207" t="str">
        <f t="shared" si="23"/>
        <v/>
      </c>
      <c r="BP29" s="208" t="str">
        <f t="shared" si="27"/>
        <v/>
      </c>
      <c r="BQ29" s="206" t="str">
        <f t="shared" si="27"/>
        <v/>
      </c>
      <c r="BR29" s="206" t="str">
        <f t="shared" si="27"/>
        <v/>
      </c>
      <c r="BS29" s="207" t="str">
        <f t="shared" si="27"/>
        <v/>
      </c>
      <c r="BT29" s="208" t="str">
        <f t="shared" si="27"/>
        <v/>
      </c>
      <c r="BU29" s="206" t="str">
        <f t="shared" si="27"/>
        <v/>
      </c>
      <c r="BV29" s="206" t="str">
        <f t="shared" si="27"/>
        <v/>
      </c>
      <c r="BW29" s="207" t="str">
        <f t="shared" si="27"/>
        <v/>
      </c>
      <c r="BX29" s="208" t="str">
        <f t="shared" si="27"/>
        <v/>
      </c>
      <c r="BY29" s="206" t="str">
        <f t="shared" si="27"/>
        <v/>
      </c>
      <c r="BZ29" s="206" t="str">
        <f t="shared" si="27"/>
        <v/>
      </c>
      <c r="CA29" s="207" t="str">
        <f t="shared" si="27"/>
        <v/>
      </c>
      <c r="CB29" s="208" t="str">
        <f t="shared" si="27"/>
        <v/>
      </c>
      <c r="CC29" s="206" t="str">
        <f t="shared" si="27"/>
        <v/>
      </c>
      <c r="CD29" s="206" t="str">
        <f t="shared" si="27"/>
        <v/>
      </c>
      <c r="CE29" s="207" t="str">
        <f t="shared" si="27"/>
        <v/>
      </c>
    </row>
    <row r="30" spans="1:83" ht="18" customHeight="1">
      <c r="A30" s="22">
        <f>+TABELLA!AC34</f>
        <v>0</v>
      </c>
      <c r="B30" s="22">
        <f>+TABELLA!AD34</f>
        <v>0</v>
      </c>
      <c r="C30" s="22">
        <f>+TABELLA!AE34</f>
        <v>0</v>
      </c>
      <c r="D30" s="22">
        <f>+TABELLA!AF34</f>
        <v>0</v>
      </c>
      <c r="E30" s="22"/>
      <c r="F30" s="26">
        <f>IF(TABELLA!B34="","",TABELLA!B34)</f>
        <v>8</v>
      </c>
      <c r="G30" s="27" t="str">
        <f>IF(TABELLA!C34="","",TABELLA!C34)</f>
        <v>VALENTINI TAMARA</v>
      </c>
      <c r="H30" s="203" t="str">
        <f t="shared" ref="H30:V30" si="35">IF(AND(G$3&gt;=$A30,G$3&lt;$B30),1,IF(AND(G$3&gt;=$C30,G$3&lt;$D30),1,""))</f>
        <v/>
      </c>
      <c r="I30" s="203" t="str">
        <f t="shared" si="35"/>
        <v/>
      </c>
      <c r="J30" s="203" t="str">
        <f t="shared" si="35"/>
        <v/>
      </c>
      <c r="K30" s="204" t="str">
        <f t="shared" si="35"/>
        <v/>
      </c>
      <c r="L30" s="205" t="str">
        <f t="shared" si="35"/>
        <v/>
      </c>
      <c r="M30" s="203" t="str">
        <f t="shared" si="35"/>
        <v/>
      </c>
      <c r="N30" s="203" t="str">
        <f t="shared" si="35"/>
        <v/>
      </c>
      <c r="O30" s="204" t="str">
        <f t="shared" si="35"/>
        <v/>
      </c>
      <c r="P30" s="205" t="str">
        <f t="shared" si="35"/>
        <v/>
      </c>
      <c r="Q30" s="203" t="str">
        <f t="shared" si="35"/>
        <v/>
      </c>
      <c r="R30" s="203" t="str">
        <f t="shared" si="35"/>
        <v/>
      </c>
      <c r="S30" s="204" t="str">
        <f t="shared" si="35"/>
        <v/>
      </c>
      <c r="T30" s="205" t="str">
        <f t="shared" si="35"/>
        <v/>
      </c>
      <c r="U30" s="203" t="str">
        <f t="shared" si="35"/>
        <v/>
      </c>
      <c r="V30" s="203" t="str">
        <f t="shared" si="35"/>
        <v/>
      </c>
      <c r="W30" s="204" t="str">
        <f t="shared" si="25"/>
        <v/>
      </c>
      <c r="X30" s="205" t="str">
        <f t="shared" si="22"/>
        <v/>
      </c>
      <c r="Y30" s="203" t="str">
        <f t="shared" si="22"/>
        <v/>
      </c>
      <c r="Z30" s="203" t="str">
        <f t="shared" si="22"/>
        <v/>
      </c>
      <c r="AA30" s="204" t="str">
        <f t="shared" si="22"/>
        <v/>
      </c>
      <c r="AB30" s="205" t="str">
        <f t="shared" si="22"/>
        <v/>
      </c>
      <c r="AC30" s="203" t="str">
        <f t="shared" si="22"/>
        <v/>
      </c>
      <c r="AD30" s="203" t="str">
        <f t="shared" si="22"/>
        <v/>
      </c>
      <c r="AE30" s="204" t="str">
        <f t="shared" si="22"/>
        <v/>
      </c>
      <c r="AF30" s="205" t="str">
        <f t="shared" si="22"/>
        <v/>
      </c>
      <c r="AG30" s="203" t="str">
        <f t="shared" si="22"/>
        <v/>
      </c>
      <c r="AH30" s="203" t="str">
        <f t="shared" si="22"/>
        <v/>
      </c>
      <c r="AI30" s="204" t="str">
        <f t="shared" si="22"/>
        <v/>
      </c>
      <c r="AJ30" s="205" t="str">
        <f t="shared" si="22"/>
        <v/>
      </c>
      <c r="AK30" s="203" t="str">
        <f t="shared" si="22"/>
        <v/>
      </c>
      <c r="AL30" s="203" t="str">
        <f t="shared" si="22"/>
        <v/>
      </c>
      <c r="AM30" s="204" t="str">
        <f t="shared" si="26"/>
        <v/>
      </c>
      <c r="AN30" s="205" t="str">
        <f t="shared" si="26"/>
        <v/>
      </c>
      <c r="AO30" s="203" t="str">
        <f t="shared" si="26"/>
        <v/>
      </c>
      <c r="AP30" s="203" t="str">
        <f t="shared" si="26"/>
        <v/>
      </c>
      <c r="AQ30" s="204" t="str">
        <f t="shared" si="26"/>
        <v/>
      </c>
      <c r="AR30" s="205" t="str">
        <f t="shared" si="26"/>
        <v/>
      </c>
      <c r="AS30" s="203" t="str">
        <f t="shared" si="26"/>
        <v/>
      </c>
      <c r="AT30" s="203" t="str">
        <f t="shared" si="26"/>
        <v/>
      </c>
      <c r="AU30" s="204" t="str">
        <f t="shared" si="26"/>
        <v/>
      </c>
      <c r="AV30" s="205" t="str">
        <f t="shared" si="26"/>
        <v/>
      </c>
      <c r="AW30" s="203" t="str">
        <f t="shared" si="26"/>
        <v/>
      </c>
      <c r="AX30" s="203" t="str">
        <f t="shared" si="26"/>
        <v/>
      </c>
      <c r="AY30" s="204" t="str">
        <f t="shared" si="26"/>
        <v/>
      </c>
      <c r="AZ30" s="205" t="str">
        <f t="shared" si="26"/>
        <v/>
      </c>
      <c r="BA30" s="203" t="str">
        <f t="shared" si="26"/>
        <v/>
      </c>
      <c r="BB30" s="203" t="str">
        <f t="shared" si="26"/>
        <v/>
      </c>
      <c r="BC30" s="204" t="str">
        <f t="shared" si="23"/>
        <v/>
      </c>
      <c r="BD30" s="205" t="str">
        <f t="shared" si="23"/>
        <v/>
      </c>
      <c r="BE30" s="203" t="str">
        <f t="shared" si="23"/>
        <v/>
      </c>
      <c r="BF30" s="203" t="str">
        <f t="shared" si="23"/>
        <v/>
      </c>
      <c r="BG30" s="204" t="str">
        <f t="shared" si="23"/>
        <v/>
      </c>
      <c r="BH30" s="205" t="str">
        <f t="shared" si="23"/>
        <v/>
      </c>
      <c r="BI30" s="203" t="str">
        <f t="shared" si="23"/>
        <v/>
      </c>
      <c r="BJ30" s="203" t="str">
        <f t="shared" si="23"/>
        <v/>
      </c>
      <c r="BK30" s="204" t="str">
        <f t="shared" si="23"/>
        <v/>
      </c>
      <c r="BL30" s="205" t="str">
        <f t="shared" si="23"/>
        <v/>
      </c>
      <c r="BM30" s="203" t="str">
        <f t="shared" si="23"/>
        <v/>
      </c>
      <c r="BN30" s="203" t="str">
        <f t="shared" si="23"/>
        <v/>
      </c>
      <c r="BO30" s="204" t="str">
        <f t="shared" si="23"/>
        <v/>
      </c>
      <c r="BP30" s="205" t="str">
        <f t="shared" si="27"/>
        <v/>
      </c>
      <c r="BQ30" s="203" t="str">
        <f t="shared" si="27"/>
        <v/>
      </c>
      <c r="BR30" s="203" t="str">
        <f t="shared" si="27"/>
        <v/>
      </c>
      <c r="BS30" s="204" t="str">
        <f t="shared" si="27"/>
        <v/>
      </c>
      <c r="BT30" s="205" t="str">
        <f t="shared" si="27"/>
        <v/>
      </c>
      <c r="BU30" s="203" t="str">
        <f t="shared" si="27"/>
        <v/>
      </c>
      <c r="BV30" s="203" t="str">
        <f t="shared" si="27"/>
        <v/>
      </c>
      <c r="BW30" s="204" t="str">
        <f t="shared" si="27"/>
        <v/>
      </c>
      <c r="BX30" s="205" t="str">
        <f t="shared" si="27"/>
        <v/>
      </c>
      <c r="BY30" s="203" t="str">
        <f t="shared" si="27"/>
        <v/>
      </c>
      <c r="BZ30" s="203" t="str">
        <f t="shared" si="27"/>
        <v/>
      </c>
      <c r="CA30" s="204" t="str">
        <f t="shared" si="27"/>
        <v/>
      </c>
      <c r="CB30" s="205" t="str">
        <f t="shared" si="27"/>
        <v/>
      </c>
      <c r="CC30" s="203" t="str">
        <f t="shared" si="27"/>
        <v/>
      </c>
      <c r="CD30" s="203" t="str">
        <f t="shared" si="27"/>
        <v/>
      </c>
      <c r="CE30" s="204" t="str">
        <f t="shared" si="27"/>
        <v/>
      </c>
    </row>
    <row r="31" spans="1:83" ht="18" customHeight="1">
      <c r="A31" s="22">
        <f>+TABELLA!AC35</f>
        <v>0</v>
      </c>
      <c r="B31" s="22">
        <f>+TABELLA!AD35</f>
        <v>0</v>
      </c>
      <c r="C31" s="22">
        <f>+TABELLA!AE35</f>
        <v>0</v>
      </c>
      <c r="D31" s="22">
        <f>+TABELLA!AF35</f>
        <v>0</v>
      </c>
      <c r="E31" s="22"/>
      <c r="F31" s="41" t="str">
        <f>IF(TABELLA!B35="","",TABELLA!B35)</f>
        <v/>
      </c>
      <c r="G31" s="42" t="str">
        <f>IF(TABELLA!C35="","",TABELLA!C35)</f>
        <v/>
      </c>
      <c r="H31" s="206" t="str">
        <f t="shared" ref="H31:V31" si="36">IF(AND(G$3&gt;=$A31,G$3&lt;$B31),1,IF(AND(G$3&gt;=$C31,G$3&lt;$D31),1,""))</f>
        <v/>
      </c>
      <c r="I31" s="206" t="str">
        <f t="shared" si="36"/>
        <v/>
      </c>
      <c r="J31" s="206" t="str">
        <f t="shared" si="36"/>
        <v/>
      </c>
      <c r="K31" s="207" t="str">
        <f t="shared" si="36"/>
        <v/>
      </c>
      <c r="L31" s="208" t="str">
        <f t="shared" si="36"/>
        <v/>
      </c>
      <c r="M31" s="206" t="str">
        <f t="shared" si="36"/>
        <v/>
      </c>
      <c r="N31" s="206" t="str">
        <f t="shared" si="36"/>
        <v/>
      </c>
      <c r="O31" s="207" t="str">
        <f t="shared" si="36"/>
        <v/>
      </c>
      <c r="P31" s="208" t="str">
        <f t="shared" si="36"/>
        <v/>
      </c>
      <c r="Q31" s="206" t="str">
        <f t="shared" si="36"/>
        <v/>
      </c>
      <c r="R31" s="206" t="str">
        <f t="shared" si="36"/>
        <v/>
      </c>
      <c r="S31" s="207" t="str">
        <f t="shared" si="36"/>
        <v/>
      </c>
      <c r="T31" s="208" t="str">
        <f t="shared" si="36"/>
        <v/>
      </c>
      <c r="U31" s="206" t="str">
        <f t="shared" si="36"/>
        <v/>
      </c>
      <c r="V31" s="206" t="str">
        <f t="shared" si="36"/>
        <v/>
      </c>
      <c r="W31" s="207" t="str">
        <f t="shared" si="25"/>
        <v/>
      </c>
      <c r="X31" s="208" t="str">
        <f t="shared" si="22"/>
        <v/>
      </c>
      <c r="Y31" s="206" t="str">
        <f t="shared" si="22"/>
        <v/>
      </c>
      <c r="Z31" s="206" t="str">
        <f t="shared" si="22"/>
        <v/>
      </c>
      <c r="AA31" s="207" t="str">
        <f t="shared" si="22"/>
        <v/>
      </c>
      <c r="AB31" s="208" t="str">
        <f t="shared" si="22"/>
        <v/>
      </c>
      <c r="AC31" s="206" t="str">
        <f t="shared" si="22"/>
        <v/>
      </c>
      <c r="AD31" s="206" t="str">
        <f t="shared" si="22"/>
        <v/>
      </c>
      <c r="AE31" s="207" t="str">
        <f t="shared" si="22"/>
        <v/>
      </c>
      <c r="AF31" s="208" t="str">
        <f t="shared" si="22"/>
        <v/>
      </c>
      <c r="AG31" s="206" t="str">
        <f t="shared" si="22"/>
        <v/>
      </c>
      <c r="AH31" s="206" t="str">
        <f t="shared" si="22"/>
        <v/>
      </c>
      <c r="AI31" s="207" t="str">
        <f t="shared" si="22"/>
        <v/>
      </c>
      <c r="AJ31" s="208" t="str">
        <f t="shared" si="22"/>
        <v/>
      </c>
      <c r="AK31" s="206" t="str">
        <f t="shared" si="22"/>
        <v/>
      </c>
      <c r="AL31" s="206" t="str">
        <f t="shared" si="22"/>
        <v/>
      </c>
      <c r="AM31" s="207" t="str">
        <f t="shared" si="26"/>
        <v/>
      </c>
      <c r="AN31" s="208" t="str">
        <f t="shared" si="26"/>
        <v/>
      </c>
      <c r="AO31" s="206" t="str">
        <f t="shared" si="26"/>
        <v/>
      </c>
      <c r="AP31" s="206" t="str">
        <f t="shared" si="26"/>
        <v/>
      </c>
      <c r="AQ31" s="207" t="str">
        <f t="shared" si="26"/>
        <v/>
      </c>
      <c r="AR31" s="208" t="str">
        <f t="shared" si="26"/>
        <v/>
      </c>
      <c r="AS31" s="206" t="str">
        <f t="shared" si="26"/>
        <v/>
      </c>
      <c r="AT31" s="206" t="str">
        <f t="shared" si="26"/>
        <v/>
      </c>
      <c r="AU31" s="207" t="str">
        <f t="shared" si="26"/>
        <v/>
      </c>
      <c r="AV31" s="208" t="str">
        <f t="shared" si="26"/>
        <v/>
      </c>
      <c r="AW31" s="206" t="str">
        <f t="shared" si="26"/>
        <v/>
      </c>
      <c r="AX31" s="206" t="str">
        <f t="shared" si="26"/>
        <v/>
      </c>
      <c r="AY31" s="207" t="str">
        <f t="shared" si="26"/>
        <v/>
      </c>
      <c r="AZ31" s="208" t="str">
        <f t="shared" si="26"/>
        <v/>
      </c>
      <c r="BA31" s="206" t="str">
        <f t="shared" si="26"/>
        <v/>
      </c>
      <c r="BB31" s="206" t="str">
        <f t="shared" si="26"/>
        <v/>
      </c>
      <c r="BC31" s="207" t="str">
        <f t="shared" si="23"/>
        <v/>
      </c>
      <c r="BD31" s="208" t="str">
        <f t="shared" si="23"/>
        <v/>
      </c>
      <c r="BE31" s="206" t="str">
        <f t="shared" si="23"/>
        <v/>
      </c>
      <c r="BF31" s="206" t="str">
        <f t="shared" si="23"/>
        <v/>
      </c>
      <c r="BG31" s="207" t="str">
        <f t="shared" si="23"/>
        <v/>
      </c>
      <c r="BH31" s="208" t="str">
        <f t="shared" si="23"/>
        <v/>
      </c>
      <c r="BI31" s="206" t="str">
        <f t="shared" si="23"/>
        <v/>
      </c>
      <c r="BJ31" s="206" t="str">
        <f t="shared" si="23"/>
        <v/>
      </c>
      <c r="BK31" s="207" t="str">
        <f t="shared" si="23"/>
        <v/>
      </c>
      <c r="BL31" s="208" t="str">
        <f t="shared" si="23"/>
        <v/>
      </c>
      <c r="BM31" s="206" t="str">
        <f t="shared" si="23"/>
        <v/>
      </c>
      <c r="BN31" s="206" t="str">
        <f t="shared" si="23"/>
        <v/>
      </c>
      <c r="BO31" s="207" t="str">
        <f t="shared" si="23"/>
        <v/>
      </c>
      <c r="BP31" s="208" t="str">
        <f t="shared" si="27"/>
        <v/>
      </c>
      <c r="BQ31" s="206" t="str">
        <f t="shared" si="27"/>
        <v/>
      </c>
      <c r="BR31" s="206" t="str">
        <f t="shared" si="27"/>
        <v/>
      </c>
      <c r="BS31" s="207" t="str">
        <f t="shared" si="27"/>
        <v/>
      </c>
      <c r="BT31" s="208" t="str">
        <f t="shared" si="27"/>
        <v/>
      </c>
      <c r="BU31" s="206" t="str">
        <f t="shared" si="27"/>
        <v/>
      </c>
      <c r="BV31" s="206" t="str">
        <f t="shared" si="27"/>
        <v/>
      </c>
      <c r="BW31" s="207" t="str">
        <f t="shared" si="27"/>
        <v/>
      </c>
      <c r="BX31" s="208" t="str">
        <f t="shared" si="27"/>
        <v/>
      </c>
      <c r="BY31" s="206" t="str">
        <f t="shared" si="27"/>
        <v/>
      </c>
      <c r="BZ31" s="206" t="str">
        <f t="shared" si="27"/>
        <v/>
      </c>
      <c r="CA31" s="207" t="str">
        <f t="shared" si="27"/>
        <v/>
      </c>
      <c r="CB31" s="208" t="str">
        <f t="shared" si="27"/>
        <v/>
      </c>
      <c r="CC31" s="206" t="str">
        <f t="shared" si="27"/>
        <v/>
      </c>
      <c r="CD31" s="206" t="str">
        <f t="shared" si="27"/>
        <v/>
      </c>
      <c r="CE31" s="207" t="str">
        <f t="shared" si="27"/>
        <v/>
      </c>
    </row>
    <row r="32" spans="1:83" ht="18" customHeight="1">
      <c r="A32" s="22">
        <f>+TABELLA!AC36</f>
        <v>0</v>
      </c>
      <c r="B32" s="22">
        <f>+TABELLA!AD36</f>
        <v>0</v>
      </c>
      <c r="C32" s="22">
        <f>+TABELLA!AE36</f>
        <v>0</v>
      </c>
      <c r="D32" s="22">
        <f>+TABELLA!AF36</f>
        <v>0</v>
      </c>
      <c r="E32" s="22"/>
      <c r="F32" s="26" t="str">
        <f>IF(TABELLA!B36="","",TABELLA!B36)</f>
        <v/>
      </c>
      <c r="G32" s="27" t="str">
        <f>IF(TABELLA!C36="","",TABELLA!C36)</f>
        <v/>
      </c>
      <c r="H32" s="203" t="str">
        <f t="shared" ref="H32:V32" si="37">IF(AND(G$3&gt;=$A32,G$3&lt;$B32),1,IF(AND(G$3&gt;=$C32,G$3&lt;$D32),1,""))</f>
        <v/>
      </c>
      <c r="I32" s="203" t="str">
        <f t="shared" si="37"/>
        <v/>
      </c>
      <c r="J32" s="203" t="str">
        <f t="shared" si="37"/>
        <v/>
      </c>
      <c r="K32" s="204" t="str">
        <f t="shared" si="37"/>
        <v/>
      </c>
      <c r="L32" s="205" t="str">
        <f t="shared" si="37"/>
        <v/>
      </c>
      <c r="M32" s="203" t="str">
        <f t="shared" si="37"/>
        <v/>
      </c>
      <c r="N32" s="203" t="str">
        <f t="shared" si="37"/>
        <v/>
      </c>
      <c r="O32" s="204" t="str">
        <f t="shared" si="37"/>
        <v/>
      </c>
      <c r="P32" s="205" t="str">
        <f t="shared" si="37"/>
        <v/>
      </c>
      <c r="Q32" s="203" t="str">
        <f t="shared" si="37"/>
        <v/>
      </c>
      <c r="R32" s="203" t="str">
        <f t="shared" si="37"/>
        <v/>
      </c>
      <c r="S32" s="204" t="str">
        <f t="shared" si="37"/>
        <v/>
      </c>
      <c r="T32" s="205" t="str">
        <f t="shared" si="37"/>
        <v/>
      </c>
      <c r="U32" s="203" t="str">
        <f t="shared" si="37"/>
        <v/>
      </c>
      <c r="V32" s="203" t="str">
        <f t="shared" si="37"/>
        <v/>
      </c>
      <c r="W32" s="204" t="str">
        <f t="shared" si="25"/>
        <v/>
      </c>
      <c r="X32" s="205" t="str">
        <f t="shared" si="22"/>
        <v/>
      </c>
      <c r="Y32" s="203" t="str">
        <f t="shared" si="22"/>
        <v/>
      </c>
      <c r="Z32" s="203" t="str">
        <f t="shared" si="22"/>
        <v/>
      </c>
      <c r="AA32" s="204" t="str">
        <f t="shared" si="22"/>
        <v/>
      </c>
      <c r="AB32" s="205" t="str">
        <f t="shared" si="22"/>
        <v/>
      </c>
      <c r="AC32" s="203" t="str">
        <f t="shared" si="22"/>
        <v/>
      </c>
      <c r="AD32" s="203" t="str">
        <f t="shared" si="22"/>
        <v/>
      </c>
      <c r="AE32" s="204" t="str">
        <f t="shared" si="22"/>
        <v/>
      </c>
      <c r="AF32" s="205" t="str">
        <f t="shared" si="22"/>
        <v/>
      </c>
      <c r="AG32" s="203" t="str">
        <f t="shared" si="22"/>
        <v/>
      </c>
      <c r="AH32" s="203" t="str">
        <f t="shared" si="22"/>
        <v/>
      </c>
      <c r="AI32" s="204" t="str">
        <f t="shared" si="22"/>
        <v/>
      </c>
      <c r="AJ32" s="205" t="str">
        <f t="shared" si="22"/>
        <v/>
      </c>
      <c r="AK32" s="203" t="str">
        <f t="shared" si="22"/>
        <v/>
      </c>
      <c r="AL32" s="203" t="str">
        <f t="shared" si="22"/>
        <v/>
      </c>
      <c r="AM32" s="204" t="str">
        <f t="shared" si="26"/>
        <v/>
      </c>
      <c r="AN32" s="205" t="str">
        <f t="shared" si="26"/>
        <v/>
      </c>
      <c r="AO32" s="203" t="str">
        <f t="shared" si="26"/>
        <v/>
      </c>
      <c r="AP32" s="203" t="str">
        <f t="shared" si="26"/>
        <v/>
      </c>
      <c r="AQ32" s="204" t="str">
        <f t="shared" si="26"/>
        <v/>
      </c>
      <c r="AR32" s="205" t="str">
        <f t="shared" si="26"/>
        <v/>
      </c>
      <c r="AS32" s="203" t="str">
        <f t="shared" si="26"/>
        <v/>
      </c>
      <c r="AT32" s="203" t="str">
        <f t="shared" si="26"/>
        <v/>
      </c>
      <c r="AU32" s="204" t="str">
        <f t="shared" si="26"/>
        <v/>
      </c>
      <c r="AV32" s="205" t="str">
        <f t="shared" si="26"/>
        <v/>
      </c>
      <c r="AW32" s="203" t="str">
        <f t="shared" si="26"/>
        <v/>
      </c>
      <c r="AX32" s="203" t="str">
        <f t="shared" si="26"/>
        <v/>
      </c>
      <c r="AY32" s="204" t="str">
        <f t="shared" si="26"/>
        <v/>
      </c>
      <c r="AZ32" s="205" t="str">
        <f t="shared" si="26"/>
        <v/>
      </c>
      <c r="BA32" s="203" t="str">
        <f t="shared" si="26"/>
        <v/>
      </c>
      <c r="BB32" s="203" t="str">
        <f t="shared" si="26"/>
        <v/>
      </c>
      <c r="BC32" s="204" t="str">
        <f t="shared" si="23"/>
        <v/>
      </c>
      <c r="BD32" s="205" t="str">
        <f t="shared" si="23"/>
        <v/>
      </c>
      <c r="BE32" s="203" t="str">
        <f t="shared" si="23"/>
        <v/>
      </c>
      <c r="BF32" s="203" t="str">
        <f t="shared" si="23"/>
        <v/>
      </c>
      <c r="BG32" s="204" t="str">
        <f t="shared" si="23"/>
        <v/>
      </c>
      <c r="BH32" s="205" t="str">
        <f t="shared" si="23"/>
        <v/>
      </c>
      <c r="BI32" s="203" t="str">
        <f t="shared" si="23"/>
        <v/>
      </c>
      <c r="BJ32" s="203" t="str">
        <f t="shared" si="23"/>
        <v/>
      </c>
      <c r="BK32" s="204" t="str">
        <f t="shared" si="23"/>
        <v/>
      </c>
      <c r="BL32" s="205" t="str">
        <f t="shared" si="23"/>
        <v/>
      </c>
      <c r="BM32" s="203" t="str">
        <f t="shared" si="23"/>
        <v/>
      </c>
      <c r="BN32" s="203" t="str">
        <f t="shared" si="23"/>
        <v/>
      </c>
      <c r="BO32" s="204" t="str">
        <f t="shared" si="23"/>
        <v/>
      </c>
      <c r="BP32" s="205" t="str">
        <f t="shared" si="27"/>
        <v/>
      </c>
      <c r="BQ32" s="203" t="str">
        <f t="shared" si="27"/>
        <v/>
      </c>
      <c r="BR32" s="203" t="str">
        <f t="shared" si="27"/>
        <v/>
      </c>
      <c r="BS32" s="204" t="str">
        <f t="shared" si="27"/>
        <v/>
      </c>
      <c r="BT32" s="205" t="str">
        <f t="shared" si="27"/>
        <v/>
      </c>
      <c r="BU32" s="203" t="str">
        <f t="shared" si="27"/>
        <v/>
      </c>
      <c r="BV32" s="203" t="str">
        <f t="shared" si="27"/>
        <v/>
      </c>
      <c r="BW32" s="204" t="str">
        <f t="shared" si="27"/>
        <v/>
      </c>
      <c r="BX32" s="205" t="str">
        <f t="shared" si="27"/>
        <v/>
      </c>
      <c r="BY32" s="203" t="str">
        <f t="shared" si="27"/>
        <v/>
      </c>
      <c r="BZ32" s="203" t="str">
        <f t="shared" si="27"/>
        <v/>
      </c>
      <c r="CA32" s="204" t="str">
        <f t="shared" si="27"/>
        <v/>
      </c>
      <c r="CB32" s="205" t="str">
        <f t="shared" si="27"/>
        <v/>
      </c>
      <c r="CC32" s="203" t="str">
        <f t="shared" si="27"/>
        <v/>
      </c>
      <c r="CD32" s="203" t="str">
        <f t="shared" si="27"/>
        <v/>
      </c>
      <c r="CE32" s="204" t="str">
        <f t="shared" si="27"/>
        <v/>
      </c>
    </row>
    <row r="33" spans="1:87" ht="18" customHeight="1">
      <c r="A33" s="22">
        <f>+TABELLA!AC37</f>
        <v>0</v>
      </c>
      <c r="B33" s="22">
        <f>+TABELLA!AD37</f>
        <v>0</v>
      </c>
      <c r="C33" s="22">
        <f>+TABELLA!AE37</f>
        <v>0</v>
      </c>
      <c r="D33" s="22">
        <f>+TABELLA!AF37</f>
        <v>0</v>
      </c>
      <c r="E33" s="22"/>
      <c r="F33" s="41">
        <f>IF(TABELLA!B37="","",TABELLA!B37)</f>
        <v>4</v>
      </c>
      <c r="G33" s="42" t="str">
        <f>IF(TABELLA!C37="","",TABELLA!C37)</f>
        <v/>
      </c>
      <c r="H33" s="206" t="str">
        <f t="shared" ref="H33:V33" si="38">IF(AND(G$3&gt;=$A33,G$3&lt;$B33),1,IF(AND(G$3&gt;=$C33,G$3&lt;$D33),1,""))</f>
        <v/>
      </c>
      <c r="I33" s="206" t="str">
        <f t="shared" si="38"/>
        <v/>
      </c>
      <c r="J33" s="206" t="str">
        <f t="shared" si="38"/>
        <v/>
      </c>
      <c r="K33" s="207" t="str">
        <f t="shared" si="38"/>
        <v/>
      </c>
      <c r="L33" s="208" t="str">
        <f t="shared" si="38"/>
        <v/>
      </c>
      <c r="M33" s="206" t="str">
        <f t="shared" si="38"/>
        <v/>
      </c>
      <c r="N33" s="206" t="str">
        <f t="shared" si="38"/>
        <v/>
      </c>
      <c r="O33" s="207" t="str">
        <f t="shared" si="38"/>
        <v/>
      </c>
      <c r="P33" s="208" t="str">
        <f t="shared" si="38"/>
        <v/>
      </c>
      <c r="Q33" s="206" t="str">
        <f t="shared" si="38"/>
        <v/>
      </c>
      <c r="R33" s="206" t="str">
        <f t="shared" si="38"/>
        <v/>
      </c>
      <c r="S33" s="207" t="str">
        <f t="shared" si="38"/>
        <v/>
      </c>
      <c r="T33" s="208" t="str">
        <f t="shared" si="38"/>
        <v/>
      </c>
      <c r="U33" s="206" t="str">
        <f t="shared" si="38"/>
        <v/>
      </c>
      <c r="V33" s="206" t="str">
        <f t="shared" si="38"/>
        <v/>
      </c>
      <c r="W33" s="207" t="str">
        <f t="shared" si="25"/>
        <v/>
      </c>
      <c r="X33" s="208" t="str">
        <f t="shared" si="22"/>
        <v/>
      </c>
      <c r="Y33" s="206" t="str">
        <f t="shared" si="22"/>
        <v/>
      </c>
      <c r="Z33" s="206" t="str">
        <f t="shared" si="22"/>
        <v/>
      </c>
      <c r="AA33" s="207" t="str">
        <f t="shared" si="22"/>
        <v/>
      </c>
      <c r="AB33" s="208" t="str">
        <f t="shared" si="22"/>
        <v/>
      </c>
      <c r="AC33" s="206" t="str">
        <f t="shared" si="22"/>
        <v/>
      </c>
      <c r="AD33" s="206" t="str">
        <f t="shared" si="22"/>
        <v/>
      </c>
      <c r="AE33" s="207" t="str">
        <f t="shared" si="22"/>
        <v/>
      </c>
      <c r="AF33" s="208" t="str">
        <f t="shared" si="22"/>
        <v/>
      </c>
      <c r="AG33" s="206" t="str">
        <f t="shared" si="22"/>
        <v/>
      </c>
      <c r="AH33" s="206" t="str">
        <f t="shared" si="22"/>
        <v/>
      </c>
      <c r="AI33" s="207" t="str">
        <f t="shared" si="22"/>
        <v/>
      </c>
      <c r="AJ33" s="208" t="str">
        <f t="shared" si="22"/>
        <v/>
      </c>
      <c r="AK33" s="206" t="str">
        <f t="shared" si="22"/>
        <v/>
      </c>
      <c r="AL33" s="206" t="str">
        <f t="shared" si="22"/>
        <v/>
      </c>
      <c r="AM33" s="207" t="str">
        <f t="shared" si="26"/>
        <v/>
      </c>
      <c r="AN33" s="208" t="str">
        <f t="shared" si="26"/>
        <v/>
      </c>
      <c r="AO33" s="206" t="str">
        <f t="shared" si="26"/>
        <v/>
      </c>
      <c r="AP33" s="206" t="str">
        <f t="shared" si="26"/>
        <v/>
      </c>
      <c r="AQ33" s="207" t="str">
        <f t="shared" si="26"/>
        <v/>
      </c>
      <c r="AR33" s="208" t="str">
        <f t="shared" si="26"/>
        <v/>
      </c>
      <c r="AS33" s="206" t="str">
        <f t="shared" si="26"/>
        <v/>
      </c>
      <c r="AT33" s="206" t="str">
        <f t="shared" si="26"/>
        <v/>
      </c>
      <c r="AU33" s="207" t="str">
        <f t="shared" si="26"/>
        <v/>
      </c>
      <c r="AV33" s="208" t="str">
        <f t="shared" si="26"/>
        <v/>
      </c>
      <c r="AW33" s="206" t="str">
        <f t="shared" si="26"/>
        <v/>
      </c>
      <c r="AX33" s="206" t="str">
        <f t="shared" si="26"/>
        <v/>
      </c>
      <c r="AY33" s="207" t="str">
        <f t="shared" si="26"/>
        <v/>
      </c>
      <c r="AZ33" s="208" t="str">
        <f t="shared" si="26"/>
        <v/>
      </c>
      <c r="BA33" s="206" t="str">
        <f t="shared" si="26"/>
        <v/>
      </c>
      <c r="BB33" s="206" t="str">
        <f t="shared" si="26"/>
        <v/>
      </c>
      <c r="BC33" s="207" t="str">
        <f t="shared" si="23"/>
        <v/>
      </c>
      <c r="BD33" s="208" t="str">
        <f t="shared" si="23"/>
        <v/>
      </c>
      <c r="BE33" s="206" t="str">
        <f t="shared" si="23"/>
        <v/>
      </c>
      <c r="BF33" s="206" t="str">
        <f t="shared" si="23"/>
        <v/>
      </c>
      <c r="BG33" s="207" t="str">
        <f t="shared" si="23"/>
        <v/>
      </c>
      <c r="BH33" s="208" t="str">
        <f t="shared" si="23"/>
        <v/>
      </c>
      <c r="BI33" s="206" t="str">
        <f t="shared" si="23"/>
        <v/>
      </c>
      <c r="BJ33" s="206" t="str">
        <f t="shared" si="23"/>
        <v/>
      </c>
      <c r="BK33" s="207" t="str">
        <f t="shared" si="23"/>
        <v/>
      </c>
      <c r="BL33" s="208" t="str">
        <f t="shared" si="23"/>
        <v/>
      </c>
      <c r="BM33" s="206" t="str">
        <f t="shared" si="23"/>
        <v/>
      </c>
      <c r="BN33" s="206" t="str">
        <f t="shared" si="23"/>
        <v/>
      </c>
      <c r="BO33" s="207" t="str">
        <f t="shared" si="23"/>
        <v/>
      </c>
      <c r="BP33" s="208" t="str">
        <f t="shared" si="27"/>
        <v/>
      </c>
      <c r="BQ33" s="206" t="str">
        <f t="shared" si="27"/>
        <v/>
      </c>
      <c r="BR33" s="206" t="str">
        <f t="shared" si="27"/>
        <v/>
      </c>
      <c r="BS33" s="207" t="str">
        <f t="shared" si="27"/>
        <v/>
      </c>
      <c r="BT33" s="208" t="str">
        <f t="shared" si="27"/>
        <v/>
      </c>
      <c r="BU33" s="206" t="str">
        <f t="shared" si="27"/>
        <v/>
      </c>
      <c r="BV33" s="206" t="str">
        <f t="shared" si="27"/>
        <v/>
      </c>
      <c r="BW33" s="207" t="str">
        <f t="shared" si="27"/>
        <v/>
      </c>
      <c r="BX33" s="208" t="str">
        <f t="shared" si="27"/>
        <v/>
      </c>
      <c r="BY33" s="206" t="str">
        <f t="shared" si="27"/>
        <v/>
      </c>
      <c r="BZ33" s="206" t="str">
        <f t="shared" si="27"/>
        <v/>
      </c>
      <c r="CA33" s="207" t="str">
        <f t="shared" si="27"/>
        <v/>
      </c>
      <c r="CB33" s="208" t="str">
        <f t="shared" si="27"/>
        <v/>
      </c>
      <c r="CC33" s="206" t="str">
        <f t="shared" si="27"/>
        <v/>
      </c>
      <c r="CD33" s="206" t="str">
        <f t="shared" si="27"/>
        <v/>
      </c>
      <c r="CE33" s="207" t="str">
        <f t="shared" si="27"/>
        <v/>
      </c>
    </row>
    <row r="34" spans="1:87" ht="18" customHeight="1">
      <c r="A34" s="22">
        <f>+TABELLA!AC38</f>
        <v>0</v>
      </c>
      <c r="B34" s="22">
        <f>+TABELLA!AD38</f>
        <v>0</v>
      </c>
      <c r="C34" s="22">
        <f>+TABELLA!AE38</f>
        <v>0</v>
      </c>
      <c r="D34" s="22">
        <f>+TABELLA!AF38</f>
        <v>0</v>
      </c>
      <c r="E34" s="22"/>
      <c r="F34" s="26">
        <f>IF(TABELLA!B38="","",TABELLA!B38)</f>
        <v>4</v>
      </c>
      <c r="G34" s="27" t="str">
        <f>IF(TABELLA!C38="","",TABELLA!C38)</f>
        <v>GREGGIO MONICA</v>
      </c>
      <c r="H34" s="203" t="str">
        <f t="shared" ref="H34:V34" si="39">IF(AND(G$3&gt;=$A34,G$3&lt;$B34),1,IF(AND(G$3&gt;=$C34,G$3&lt;$D34),1,""))</f>
        <v/>
      </c>
      <c r="I34" s="203" t="str">
        <f t="shared" si="39"/>
        <v/>
      </c>
      <c r="J34" s="203" t="str">
        <f t="shared" si="39"/>
        <v/>
      </c>
      <c r="K34" s="204" t="str">
        <f t="shared" si="39"/>
        <v/>
      </c>
      <c r="L34" s="205" t="str">
        <f t="shared" si="39"/>
        <v/>
      </c>
      <c r="M34" s="203" t="str">
        <f t="shared" si="39"/>
        <v/>
      </c>
      <c r="N34" s="203" t="str">
        <f t="shared" si="39"/>
        <v/>
      </c>
      <c r="O34" s="204" t="str">
        <f t="shared" si="39"/>
        <v/>
      </c>
      <c r="P34" s="205" t="str">
        <f t="shared" si="39"/>
        <v/>
      </c>
      <c r="Q34" s="203" t="str">
        <f t="shared" si="39"/>
        <v/>
      </c>
      <c r="R34" s="203" t="str">
        <f t="shared" si="39"/>
        <v/>
      </c>
      <c r="S34" s="204" t="str">
        <f t="shared" si="39"/>
        <v/>
      </c>
      <c r="T34" s="205" t="str">
        <f t="shared" si="39"/>
        <v/>
      </c>
      <c r="U34" s="203" t="str">
        <f t="shared" si="39"/>
        <v/>
      </c>
      <c r="V34" s="203" t="str">
        <f t="shared" si="39"/>
        <v/>
      </c>
      <c r="W34" s="204" t="str">
        <f t="shared" si="25"/>
        <v/>
      </c>
      <c r="X34" s="205" t="str">
        <f t="shared" si="22"/>
        <v/>
      </c>
      <c r="Y34" s="203" t="str">
        <f t="shared" si="22"/>
        <v/>
      </c>
      <c r="Z34" s="203" t="str">
        <f t="shared" si="22"/>
        <v/>
      </c>
      <c r="AA34" s="204" t="str">
        <f t="shared" si="22"/>
        <v/>
      </c>
      <c r="AB34" s="205" t="str">
        <f t="shared" si="22"/>
        <v/>
      </c>
      <c r="AC34" s="203" t="str">
        <f t="shared" si="22"/>
        <v/>
      </c>
      <c r="AD34" s="203" t="str">
        <f t="shared" si="22"/>
        <v/>
      </c>
      <c r="AE34" s="204" t="str">
        <f t="shared" si="22"/>
        <v/>
      </c>
      <c r="AF34" s="205" t="str">
        <f t="shared" si="22"/>
        <v/>
      </c>
      <c r="AG34" s="203" t="str">
        <f t="shared" si="22"/>
        <v/>
      </c>
      <c r="AH34" s="203" t="str">
        <f t="shared" si="22"/>
        <v/>
      </c>
      <c r="AI34" s="204" t="str">
        <f t="shared" si="22"/>
        <v/>
      </c>
      <c r="AJ34" s="205" t="str">
        <f t="shared" si="22"/>
        <v/>
      </c>
      <c r="AK34" s="203" t="str">
        <f t="shared" si="22"/>
        <v/>
      </c>
      <c r="AL34" s="203" t="str">
        <f t="shared" si="22"/>
        <v/>
      </c>
      <c r="AM34" s="204" t="str">
        <f t="shared" si="26"/>
        <v/>
      </c>
      <c r="AN34" s="205" t="str">
        <f t="shared" si="26"/>
        <v/>
      </c>
      <c r="AO34" s="203" t="str">
        <f t="shared" si="26"/>
        <v/>
      </c>
      <c r="AP34" s="203" t="str">
        <f t="shared" si="26"/>
        <v/>
      </c>
      <c r="AQ34" s="204" t="str">
        <f t="shared" si="26"/>
        <v/>
      </c>
      <c r="AR34" s="205" t="str">
        <f t="shared" si="26"/>
        <v/>
      </c>
      <c r="AS34" s="203" t="str">
        <f t="shared" si="26"/>
        <v/>
      </c>
      <c r="AT34" s="203" t="str">
        <f t="shared" si="26"/>
        <v/>
      </c>
      <c r="AU34" s="204" t="str">
        <f t="shared" si="26"/>
        <v/>
      </c>
      <c r="AV34" s="205" t="str">
        <f t="shared" si="26"/>
        <v/>
      </c>
      <c r="AW34" s="203" t="str">
        <f t="shared" si="26"/>
        <v/>
      </c>
      <c r="AX34" s="203" t="str">
        <f t="shared" si="26"/>
        <v/>
      </c>
      <c r="AY34" s="204" t="str">
        <f t="shared" si="26"/>
        <v/>
      </c>
      <c r="AZ34" s="205" t="str">
        <f t="shared" si="26"/>
        <v/>
      </c>
      <c r="BA34" s="203" t="str">
        <f t="shared" si="26"/>
        <v/>
      </c>
      <c r="BB34" s="203" t="str">
        <f t="shared" si="26"/>
        <v/>
      </c>
      <c r="BC34" s="204" t="str">
        <f t="shared" si="23"/>
        <v/>
      </c>
      <c r="BD34" s="205" t="str">
        <f t="shared" si="23"/>
        <v/>
      </c>
      <c r="BE34" s="203" t="str">
        <f t="shared" si="23"/>
        <v/>
      </c>
      <c r="BF34" s="203" t="str">
        <f t="shared" si="23"/>
        <v/>
      </c>
      <c r="BG34" s="204" t="str">
        <f t="shared" si="23"/>
        <v/>
      </c>
      <c r="BH34" s="205" t="str">
        <f t="shared" si="23"/>
        <v/>
      </c>
      <c r="BI34" s="203" t="str">
        <f t="shared" si="23"/>
        <v/>
      </c>
      <c r="BJ34" s="203" t="str">
        <f t="shared" si="23"/>
        <v/>
      </c>
      <c r="BK34" s="204" t="str">
        <f t="shared" si="23"/>
        <v/>
      </c>
      <c r="BL34" s="205" t="str">
        <f t="shared" si="23"/>
        <v/>
      </c>
      <c r="BM34" s="203" t="str">
        <f t="shared" si="23"/>
        <v/>
      </c>
      <c r="BN34" s="203" t="str">
        <f t="shared" si="23"/>
        <v/>
      </c>
      <c r="BO34" s="204" t="str">
        <f t="shared" si="23"/>
        <v/>
      </c>
      <c r="BP34" s="205" t="str">
        <f t="shared" si="27"/>
        <v/>
      </c>
      <c r="BQ34" s="203" t="str">
        <f t="shared" si="27"/>
        <v/>
      </c>
      <c r="BR34" s="203" t="str">
        <f t="shared" si="27"/>
        <v/>
      </c>
      <c r="BS34" s="204" t="str">
        <f t="shared" si="27"/>
        <v/>
      </c>
      <c r="BT34" s="205" t="str">
        <f t="shared" si="27"/>
        <v/>
      </c>
      <c r="BU34" s="203" t="str">
        <f t="shared" si="27"/>
        <v/>
      </c>
      <c r="BV34" s="203" t="str">
        <f t="shared" si="27"/>
        <v/>
      </c>
      <c r="BW34" s="204" t="str">
        <f t="shared" si="27"/>
        <v/>
      </c>
      <c r="BX34" s="205" t="str">
        <f t="shared" si="27"/>
        <v/>
      </c>
      <c r="BY34" s="203" t="str">
        <f t="shared" si="27"/>
        <v/>
      </c>
      <c r="BZ34" s="203" t="str">
        <f t="shared" si="27"/>
        <v/>
      </c>
      <c r="CA34" s="204" t="str">
        <f t="shared" si="27"/>
        <v/>
      </c>
      <c r="CB34" s="205" t="str">
        <f t="shared" si="27"/>
        <v/>
      </c>
      <c r="CC34" s="203" t="str">
        <f t="shared" si="27"/>
        <v/>
      </c>
      <c r="CD34" s="203" t="str">
        <f t="shared" si="27"/>
        <v/>
      </c>
      <c r="CE34" s="204" t="str">
        <f t="shared" si="27"/>
        <v/>
      </c>
    </row>
    <row r="35" spans="1:87" ht="18" customHeight="1">
      <c r="A35" s="22">
        <f>+TABELLA!AC39</f>
        <v>0</v>
      </c>
      <c r="B35" s="22">
        <f>+TABELLA!AD39</f>
        <v>0</v>
      </c>
      <c r="C35" s="22">
        <f>+TABELLA!AE39</f>
        <v>0</v>
      </c>
      <c r="D35" s="22">
        <f>+TABELLA!AF39</f>
        <v>0</v>
      </c>
      <c r="E35" s="22"/>
      <c r="F35" s="41">
        <f>IF(TABELLA!B39="","",TABELLA!B39)</f>
        <v>4</v>
      </c>
      <c r="G35" s="42" t="str">
        <f>IF(TABELLA!C39="","",TABELLA!C39)</f>
        <v>RACCAGNI CRISTIANA</v>
      </c>
      <c r="H35" s="206" t="str">
        <f t="shared" ref="H35:V35" si="40">IF(AND(G$3&gt;=$A35,G$3&lt;$B35),1,IF(AND(G$3&gt;=$C35,G$3&lt;$D35),1,""))</f>
        <v/>
      </c>
      <c r="I35" s="206" t="str">
        <f t="shared" si="40"/>
        <v/>
      </c>
      <c r="J35" s="206" t="str">
        <f t="shared" si="40"/>
        <v/>
      </c>
      <c r="K35" s="207" t="str">
        <f t="shared" si="40"/>
        <v/>
      </c>
      <c r="L35" s="208" t="str">
        <f t="shared" si="40"/>
        <v/>
      </c>
      <c r="M35" s="206" t="str">
        <f t="shared" si="40"/>
        <v/>
      </c>
      <c r="N35" s="206" t="str">
        <f t="shared" si="40"/>
        <v/>
      </c>
      <c r="O35" s="207" t="str">
        <f t="shared" si="40"/>
        <v/>
      </c>
      <c r="P35" s="208" t="str">
        <f t="shared" si="40"/>
        <v/>
      </c>
      <c r="Q35" s="206" t="str">
        <f t="shared" si="40"/>
        <v/>
      </c>
      <c r="R35" s="206" t="str">
        <f t="shared" si="40"/>
        <v/>
      </c>
      <c r="S35" s="207" t="str">
        <f t="shared" si="40"/>
        <v/>
      </c>
      <c r="T35" s="208" t="str">
        <f t="shared" si="40"/>
        <v/>
      </c>
      <c r="U35" s="206" t="str">
        <f t="shared" si="40"/>
        <v/>
      </c>
      <c r="V35" s="206" t="str">
        <f t="shared" si="40"/>
        <v/>
      </c>
      <c r="W35" s="207" t="str">
        <f t="shared" si="25"/>
        <v/>
      </c>
      <c r="X35" s="208" t="str">
        <f t="shared" si="22"/>
        <v/>
      </c>
      <c r="Y35" s="206" t="str">
        <f t="shared" si="22"/>
        <v/>
      </c>
      <c r="Z35" s="206" t="str">
        <f t="shared" si="22"/>
        <v/>
      </c>
      <c r="AA35" s="207" t="str">
        <f t="shared" si="22"/>
        <v/>
      </c>
      <c r="AB35" s="208" t="str">
        <f t="shared" si="22"/>
        <v/>
      </c>
      <c r="AC35" s="206" t="str">
        <f t="shared" si="22"/>
        <v/>
      </c>
      <c r="AD35" s="206" t="str">
        <f t="shared" si="22"/>
        <v/>
      </c>
      <c r="AE35" s="207" t="str">
        <f t="shared" si="22"/>
        <v/>
      </c>
      <c r="AF35" s="208" t="str">
        <f t="shared" si="22"/>
        <v/>
      </c>
      <c r="AG35" s="206" t="str">
        <f t="shared" si="22"/>
        <v/>
      </c>
      <c r="AH35" s="206" t="str">
        <f t="shared" si="22"/>
        <v/>
      </c>
      <c r="AI35" s="207" t="str">
        <f t="shared" si="22"/>
        <v/>
      </c>
      <c r="AJ35" s="208" t="str">
        <f t="shared" si="22"/>
        <v/>
      </c>
      <c r="AK35" s="206" t="str">
        <f t="shared" si="22"/>
        <v/>
      </c>
      <c r="AL35" s="206" t="str">
        <f t="shared" si="22"/>
        <v/>
      </c>
      <c r="AM35" s="207" t="str">
        <f t="shared" si="26"/>
        <v/>
      </c>
      <c r="AN35" s="208" t="str">
        <f t="shared" si="26"/>
        <v/>
      </c>
      <c r="AO35" s="206" t="str">
        <f t="shared" si="26"/>
        <v/>
      </c>
      <c r="AP35" s="206" t="str">
        <f t="shared" si="26"/>
        <v/>
      </c>
      <c r="AQ35" s="207" t="str">
        <f t="shared" si="26"/>
        <v/>
      </c>
      <c r="AR35" s="208" t="str">
        <f t="shared" si="26"/>
        <v/>
      </c>
      <c r="AS35" s="206" t="str">
        <f t="shared" si="26"/>
        <v/>
      </c>
      <c r="AT35" s="206" t="str">
        <f t="shared" si="26"/>
        <v/>
      </c>
      <c r="AU35" s="207" t="str">
        <f t="shared" si="26"/>
        <v/>
      </c>
      <c r="AV35" s="208" t="str">
        <f t="shared" si="26"/>
        <v/>
      </c>
      <c r="AW35" s="206" t="str">
        <f t="shared" si="26"/>
        <v/>
      </c>
      <c r="AX35" s="206" t="str">
        <f t="shared" si="26"/>
        <v/>
      </c>
      <c r="AY35" s="207" t="str">
        <f t="shared" si="26"/>
        <v/>
      </c>
      <c r="AZ35" s="208" t="str">
        <f t="shared" si="26"/>
        <v/>
      </c>
      <c r="BA35" s="206" t="str">
        <f t="shared" si="26"/>
        <v/>
      </c>
      <c r="BB35" s="206" t="str">
        <f t="shared" si="26"/>
        <v/>
      </c>
      <c r="BC35" s="207" t="str">
        <f t="shared" si="23"/>
        <v/>
      </c>
      <c r="BD35" s="208" t="str">
        <f t="shared" si="23"/>
        <v/>
      </c>
      <c r="BE35" s="206" t="str">
        <f t="shared" si="23"/>
        <v/>
      </c>
      <c r="BF35" s="206" t="str">
        <f t="shared" si="23"/>
        <v/>
      </c>
      <c r="BG35" s="207" t="str">
        <f t="shared" si="23"/>
        <v/>
      </c>
      <c r="BH35" s="208" t="str">
        <f t="shared" si="23"/>
        <v/>
      </c>
      <c r="BI35" s="206" t="str">
        <f t="shared" si="23"/>
        <v/>
      </c>
      <c r="BJ35" s="206" t="str">
        <f t="shared" si="23"/>
        <v/>
      </c>
      <c r="BK35" s="207" t="str">
        <f t="shared" si="23"/>
        <v/>
      </c>
      <c r="BL35" s="208" t="str">
        <f t="shared" si="23"/>
        <v/>
      </c>
      <c r="BM35" s="206" t="str">
        <f t="shared" si="23"/>
        <v/>
      </c>
      <c r="BN35" s="206" t="str">
        <f t="shared" si="23"/>
        <v/>
      </c>
      <c r="BO35" s="207" t="str">
        <f t="shared" si="23"/>
        <v/>
      </c>
      <c r="BP35" s="208" t="str">
        <f t="shared" si="27"/>
        <v/>
      </c>
      <c r="BQ35" s="206" t="str">
        <f t="shared" si="27"/>
        <v/>
      </c>
      <c r="BR35" s="206" t="str">
        <f t="shared" si="27"/>
        <v/>
      </c>
      <c r="BS35" s="207" t="str">
        <f t="shared" si="27"/>
        <v/>
      </c>
      <c r="BT35" s="208" t="str">
        <f t="shared" si="27"/>
        <v/>
      </c>
      <c r="BU35" s="206" t="str">
        <f t="shared" si="27"/>
        <v/>
      </c>
      <c r="BV35" s="206" t="str">
        <f t="shared" si="27"/>
        <v/>
      </c>
      <c r="BW35" s="207" t="str">
        <f t="shared" si="27"/>
        <v/>
      </c>
      <c r="BX35" s="208" t="str">
        <f t="shared" si="27"/>
        <v/>
      </c>
      <c r="BY35" s="206" t="str">
        <f t="shared" si="27"/>
        <v/>
      </c>
      <c r="BZ35" s="206" t="str">
        <f t="shared" si="27"/>
        <v/>
      </c>
      <c r="CA35" s="207" t="str">
        <f t="shared" si="27"/>
        <v/>
      </c>
      <c r="CB35" s="208" t="str">
        <f t="shared" si="27"/>
        <v/>
      </c>
      <c r="CC35" s="206" t="str">
        <f t="shared" si="27"/>
        <v/>
      </c>
      <c r="CD35" s="206" t="str">
        <f t="shared" si="27"/>
        <v/>
      </c>
      <c r="CE35" s="207" t="str">
        <f t="shared" si="27"/>
        <v/>
      </c>
    </row>
    <row r="36" spans="1:87" ht="18" customHeight="1">
      <c r="A36" s="22">
        <f>+TABELLA!AC40</f>
        <v>0</v>
      </c>
      <c r="B36" s="22">
        <f>+TABELLA!AD40</f>
        <v>0</v>
      </c>
      <c r="C36" s="22">
        <f>+TABELLA!AE40</f>
        <v>0</v>
      </c>
      <c r="D36" s="22">
        <f>+TABELLA!AF40</f>
        <v>0</v>
      </c>
      <c r="E36" s="22"/>
      <c r="F36" s="26">
        <f>IF(TABELLA!B40="","",TABELLA!B40)</f>
        <v>4</v>
      </c>
      <c r="G36" s="27" t="str">
        <f>IF(TABELLA!C40="","",TABELLA!C40)</f>
        <v>LO BELLO ENRICHETTA</v>
      </c>
      <c r="H36" s="203" t="str">
        <f t="shared" ref="H36:V36" si="41">IF(AND(G$3&gt;=$A36,G$3&lt;$B36),1,IF(AND(G$3&gt;=$C36,G$3&lt;$D36),1,""))</f>
        <v/>
      </c>
      <c r="I36" s="203" t="str">
        <f t="shared" si="41"/>
        <v/>
      </c>
      <c r="J36" s="203" t="str">
        <f t="shared" si="41"/>
        <v/>
      </c>
      <c r="K36" s="204" t="str">
        <f t="shared" si="41"/>
        <v/>
      </c>
      <c r="L36" s="205" t="str">
        <f t="shared" si="41"/>
        <v/>
      </c>
      <c r="M36" s="203" t="str">
        <f t="shared" si="41"/>
        <v/>
      </c>
      <c r="N36" s="203" t="str">
        <f t="shared" si="41"/>
        <v/>
      </c>
      <c r="O36" s="204" t="str">
        <f t="shared" si="41"/>
        <v/>
      </c>
      <c r="P36" s="205" t="str">
        <f t="shared" si="41"/>
        <v/>
      </c>
      <c r="Q36" s="203" t="str">
        <f t="shared" si="41"/>
        <v/>
      </c>
      <c r="R36" s="203" t="str">
        <f t="shared" si="41"/>
        <v/>
      </c>
      <c r="S36" s="204" t="str">
        <f t="shared" si="41"/>
        <v/>
      </c>
      <c r="T36" s="205" t="str">
        <f t="shared" si="41"/>
        <v/>
      </c>
      <c r="U36" s="203" t="str">
        <f t="shared" si="41"/>
        <v/>
      </c>
      <c r="V36" s="203" t="str">
        <f t="shared" si="41"/>
        <v/>
      </c>
      <c r="W36" s="204" t="str">
        <f t="shared" si="25"/>
        <v/>
      </c>
      <c r="X36" s="205" t="str">
        <f t="shared" si="22"/>
        <v/>
      </c>
      <c r="Y36" s="203" t="str">
        <f t="shared" si="22"/>
        <v/>
      </c>
      <c r="Z36" s="203" t="str">
        <f t="shared" si="22"/>
        <v/>
      </c>
      <c r="AA36" s="204" t="str">
        <f t="shared" si="22"/>
        <v/>
      </c>
      <c r="AB36" s="205" t="str">
        <f t="shared" si="22"/>
        <v/>
      </c>
      <c r="AC36" s="203" t="str">
        <f t="shared" si="22"/>
        <v/>
      </c>
      <c r="AD36" s="203" t="str">
        <f t="shared" si="22"/>
        <v/>
      </c>
      <c r="AE36" s="204" t="str">
        <f t="shared" si="22"/>
        <v/>
      </c>
      <c r="AF36" s="205" t="str">
        <f t="shared" si="22"/>
        <v/>
      </c>
      <c r="AG36" s="203" t="str">
        <f t="shared" si="22"/>
        <v/>
      </c>
      <c r="AH36" s="203" t="str">
        <f t="shared" si="22"/>
        <v/>
      </c>
      <c r="AI36" s="204" t="str">
        <f t="shared" si="22"/>
        <v/>
      </c>
      <c r="AJ36" s="205" t="str">
        <f t="shared" si="22"/>
        <v/>
      </c>
      <c r="AK36" s="203" t="str">
        <f t="shared" si="22"/>
        <v/>
      </c>
      <c r="AL36" s="203" t="str">
        <f t="shared" si="22"/>
        <v/>
      </c>
      <c r="AM36" s="204" t="str">
        <f t="shared" si="26"/>
        <v/>
      </c>
      <c r="AN36" s="205" t="str">
        <f t="shared" si="26"/>
        <v/>
      </c>
      <c r="AO36" s="203" t="str">
        <f t="shared" si="26"/>
        <v/>
      </c>
      <c r="AP36" s="203" t="str">
        <f t="shared" si="26"/>
        <v/>
      </c>
      <c r="AQ36" s="204" t="str">
        <f t="shared" si="26"/>
        <v/>
      </c>
      <c r="AR36" s="205" t="str">
        <f t="shared" si="26"/>
        <v/>
      </c>
      <c r="AS36" s="203" t="str">
        <f t="shared" si="26"/>
        <v/>
      </c>
      <c r="AT36" s="203" t="str">
        <f t="shared" si="26"/>
        <v/>
      </c>
      <c r="AU36" s="204" t="str">
        <f t="shared" si="26"/>
        <v/>
      </c>
      <c r="AV36" s="205" t="str">
        <f t="shared" si="26"/>
        <v/>
      </c>
      <c r="AW36" s="203" t="str">
        <f t="shared" si="26"/>
        <v/>
      </c>
      <c r="AX36" s="203" t="str">
        <f t="shared" si="26"/>
        <v/>
      </c>
      <c r="AY36" s="204" t="str">
        <f t="shared" si="26"/>
        <v/>
      </c>
      <c r="AZ36" s="205" t="str">
        <f t="shared" si="26"/>
        <v/>
      </c>
      <c r="BA36" s="203" t="str">
        <f t="shared" si="26"/>
        <v/>
      </c>
      <c r="BB36" s="203" t="str">
        <f t="shared" si="26"/>
        <v/>
      </c>
      <c r="BC36" s="204" t="str">
        <f t="shared" si="23"/>
        <v/>
      </c>
      <c r="BD36" s="205" t="str">
        <f t="shared" si="23"/>
        <v/>
      </c>
      <c r="BE36" s="203" t="str">
        <f t="shared" si="23"/>
        <v/>
      </c>
      <c r="BF36" s="203" t="str">
        <f t="shared" si="23"/>
        <v/>
      </c>
      <c r="BG36" s="204" t="str">
        <f t="shared" si="23"/>
        <v/>
      </c>
      <c r="BH36" s="205" t="str">
        <f t="shared" si="23"/>
        <v/>
      </c>
      <c r="BI36" s="203" t="str">
        <f t="shared" si="23"/>
        <v/>
      </c>
      <c r="BJ36" s="203" t="str">
        <f t="shared" si="23"/>
        <v/>
      </c>
      <c r="BK36" s="204" t="str">
        <f t="shared" si="23"/>
        <v/>
      </c>
      <c r="BL36" s="205" t="str">
        <f t="shared" si="23"/>
        <v/>
      </c>
      <c r="BM36" s="203" t="str">
        <f t="shared" si="23"/>
        <v/>
      </c>
      <c r="BN36" s="203" t="str">
        <f t="shared" si="23"/>
        <v/>
      </c>
      <c r="BO36" s="204" t="str">
        <f t="shared" si="23"/>
        <v/>
      </c>
      <c r="BP36" s="205" t="str">
        <f t="shared" si="27"/>
        <v/>
      </c>
      <c r="BQ36" s="203" t="str">
        <f t="shared" si="27"/>
        <v/>
      </c>
      <c r="BR36" s="203" t="str">
        <f t="shared" si="27"/>
        <v/>
      </c>
      <c r="BS36" s="204" t="str">
        <f t="shared" si="27"/>
        <v/>
      </c>
      <c r="BT36" s="205" t="str">
        <f t="shared" si="27"/>
        <v/>
      </c>
      <c r="BU36" s="203" t="str">
        <f t="shared" si="27"/>
        <v/>
      </c>
      <c r="BV36" s="203" t="str">
        <f t="shared" si="27"/>
        <v/>
      </c>
      <c r="BW36" s="204" t="str">
        <f t="shared" si="27"/>
        <v/>
      </c>
      <c r="BX36" s="205" t="str">
        <f t="shared" si="27"/>
        <v/>
      </c>
      <c r="BY36" s="203" t="str">
        <f t="shared" si="27"/>
        <v/>
      </c>
      <c r="BZ36" s="203" t="str">
        <f t="shared" si="27"/>
        <v/>
      </c>
      <c r="CA36" s="204" t="str">
        <f t="shared" si="27"/>
        <v/>
      </c>
      <c r="CB36" s="205" t="str">
        <f t="shared" si="27"/>
        <v/>
      </c>
      <c r="CC36" s="203" t="str">
        <f t="shared" si="27"/>
        <v/>
      </c>
      <c r="CD36" s="203" t="str">
        <f t="shared" si="27"/>
        <v/>
      </c>
      <c r="CE36" s="204" t="str">
        <f t="shared" si="27"/>
        <v/>
      </c>
    </row>
    <row r="37" spans="1:87" ht="18" customHeight="1">
      <c r="A37" s="22">
        <f>+TABELLA!AC41</f>
        <v>0</v>
      </c>
      <c r="B37" s="22">
        <f>+TABELLA!AD41</f>
        <v>0</v>
      </c>
      <c r="C37" s="22">
        <f>+TABELLA!AE41</f>
        <v>0</v>
      </c>
      <c r="D37" s="22">
        <f>+TABELLA!AF41</f>
        <v>0</v>
      </c>
      <c r="E37" s="22"/>
      <c r="F37" s="41">
        <f>IF(TABELLA!B41="","",TABELLA!B41)</f>
        <v>4</v>
      </c>
      <c r="G37" s="42" t="str">
        <f>IF(TABELLA!C41="","",TABELLA!C41)</f>
        <v/>
      </c>
      <c r="H37" s="206" t="str">
        <f t="shared" ref="H37:V37" si="42">IF(AND(G$3&gt;=$A37,G$3&lt;$B37),1,IF(AND(G$3&gt;=$C37,G$3&lt;$D37),1,""))</f>
        <v/>
      </c>
      <c r="I37" s="206" t="str">
        <f t="shared" si="42"/>
        <v/>
      </c>
      <c r="J37" s="206" t="str">
        <f t="shared" si="42"/>
        <v/>
      </c>
      <c r="K37" s="207" t="str">
        <f t="shared" si="42"/>
        <v/>
      </c>
      <c r="L37" s="208" t="str">
        <f t="shared" si="42"/>
        <v/>
      </c>
      <c r="M37" s="206" t="str">
        <f t="shared" si="42"/>
        <v/>
      </c>
      <c r="N37" s="206" t="str">
        <f t="shared" si="42"/>
        <v/>
      </c>
      <c r="O37" s="207" t="str">
        <f t="shared" si="42"/>
        <v/>
      </c>
      <c r="P37" s="208" t="str">
        <f t="shared" si="42"/>
        <v/>
      </c>
      <c r="Q37" s="206" t="str">
        <f t="shared" si="42"/>
        <v/>
      </c>
      <c r="R37" s="206" t="str">
        <f t="shared" si="42"/>
        <v/>
      </c>
      <c r="S37" s="207" t="str">
        <f t="shared" si="42"/>
        <v/>
      </c>
      <c r="T37" s="208" t="str">
        <f t="shared" si="42"/>
        <v/>
      </c>
      <c r="U37" s="206" t="str">
        <f t="shared" si="42"/>
        <v/>
      </c>
      <c r="V37" s="206" t="str">
        <f t="shared" si="42"/>
        <v/>
      </c>
      <c r="W37" s="207" t="str">
        <f t="shared" ref="W37:AL45" si="43">IF(AND(V$3&gt;=$A37,V$3&lt;$B37),1,IF(AND(V$3&gt;=$C37,V$3&lt;$D37),1,""))</f>
        <v/>
      </c>
      <c r="X37" s="208" t="str">
        <f t="shared" si="43"/>
        <v/>
      </c>
      <c r="Y37" s="206" t="str">
        <f t="shared" si="43"/>
        <v/>
      </c>
      <c r="Z37" s="206" t="str">
        <f t="shared" si="43"/>
        <v/>
      </c>
      <c r="AA37" s="207" t="str">
        <f t="shared" si="43"/>
        <v/>
      </c>
      <c r="AB37" s="208" t="str">
        <f t="shared" si="43"/>
        <v/>
      </c>
      <c r="AC37" s="206" t="str">
        <f t="shared" si="43"/>
        <v/>
      </c>
      <c r="AD37" s="206" t="str">
        <f t="shared" si="43"/>
        <v/>
      </c>
      <c r="AE37" s="207" t="str">
        <f t="shared" si="43"/>
        <v/>
      </c>
      <c r="AF37" s="208" t="str">
        <f t="shared" si="43"/>
        <v/>
      </c>
      <c r="AG37" s="206" t="str">
        <f t="shared" si="43"/>
        <v/>
      </c>
      <c r="AH37" s="206" t="str">
        <f t="shared" si="43"/>
        <v/>
      </c>
      <c r="AI37" s="207" t="str">
        <f t="shared" si="43"/>
        <v/>
      </c>
      <c r="AJ37" s="208" t="str">
        <f t="shared" si="43"/>
        <v/>
      </c>
      <c r="AK37" s="206" t="str">
        <f t="shared" si="43"/>
        <v/>
      </c>
      <c r="AL37" s="206" t="str">
        <f t="shared" si="43"/>
        <v/>
      </c>
      <c r="AM37" s="207" t="str">
        <f t="shared" si="26"/>
        <v/>
      </c>
      <c r="AN37" s="208" t="str">
        <f t="shared" si="26"/>
        <v/>
      </c>
      <c r="AO37" s="206" t="str">
        <f t="shared" si="26"/>
        <v/>
      </c>
      <c r="AP37" s="206" t="str">
        <f t="shared" si="26"/>
        <v/>
      </c>
      <c r="AQ37" s="207" t="str">
        <f t="shared" si="26"/>
        <v/>
      </c>
      <c r="AR37" s="208" t="str">
        <f t="shared" si="26"/>
        <v/>
      </c>
      <c r="AS37" s="206" t="str">
        <f t="shared" si="26"/>
        <v/>
      </c>
      <c r="AT37" s="206" t="str">
        <f t="shared" si="26"/>
        <v/>
      </c>
      <c r="AU37" s="207" t="str">
        <f t="shared" si="26"/>
        <v/>
      </c>
      <c r="AV37" s="208" t="str">
        <f t="shared" si="26"/>
        <v/>
      </c>
      <c r="AW37" s="206" t="str">
        <f t="shared" si="26"/>
        <v/>
      </c>
      <c r="AX37" s="206" t="str">
        <f t="shared" si="26"/>
        <v/>
      </c>
      <c r="AY37" s="207" t="str">
        <f t="shared" si="26"/>
        <v/>
      </c>
      <c r="AZ37" s="208" t="str">
        <f t="shared" si="26"/>
        <v/>
      </c>
      <c r="BA37" s="206" t="str">
        <f t="shared" si="26"/>
        <v/>
      </c>
      <c r="BB37" s="206" t="str">
        <f t="shared" ref="BB37:BQ45" si="44">IF(AND(BA$3&gt;=$A37,BA$3&lt;$B37),1,IF(AND(BA$3&gt;=$C37,BA$3&lt;$D37),1,""))</f>
        <v/>
      </c>
      <c r="BC37" s="207" t="str">
        <f t="shared" si="44"/>
        <v/>
      </c>
      <c r="BD37" s="208" t="str">
        <f t="shared" si="44"/>
        <v/>
      </c>
      <c r="BE37" s="206" t="str">
        <f t="shared" si="44"/>
        <v/>
      </c>
      <c r="BF37" s="206" t="str">
        <f t="shared" si="44"/>
        <v/>
      </c>
      <c r="BG37" s="207" t="str">
        <f t="shared" si="44"/>
        <v/>
      </c>
      <c r="BH37" s="208" t="str">
        <f t="shared" si="44"/>
        <v/>
      </c>
      <c r="BI37" s="206" t="str">
        <f t="shared" si="44"/>
        <v/>
      </c>
      <c r="BJ37" s="206" t="str">
        <f t="shared" si="44"/>
        <v/>
      </c>
      <c r="BK37" s="207" t="str">
        <f t="shared" si="44"/>
        <v/>
      </c>
      <c r="BL37" s="208" t="str">
        <f t="shared" si="44"/>
        <v/>
      </c>
      <c r="BM37" s="206" t="str">
        <f t="shared" si="44"/>
        <v/>
      </c>
      <c r="BN37" s="206" t="str">
        <f t="shared" si="44"/>
        <v/>
      </c>
      <c r="BO37" s="207" t="str">
        <f t="shared" si="44"/>
        <v/>
      </c>
      <c r="BP37" s="208" t="str">
        <f t="shared" si="27"/>
        <v/>
      </c>
      <c r="BQ37" s="206" t="str">
        <f t="shared" si="27"/>
        <v/>
      </c>
      <c r="BR37" s="206" t="str">
        <f t="shared" si="27"/>
        <v/>
      </c>
      <c r="BS37" s="207" t="str">
        <f t="shared" si="27"/>
        <v/>
      </c>
      <c r="BT37" s="208" t="str">
        <f t="shared" si="27"/>
        <v/>
      </c>
      <c r="BU37" s="206" t="str">
        <f t="shared" si="27"/>
        <v/>
      </c>
      <c r="BV37" s="206" t="str">
        <f t="shared" si="27"/>
        <v/>
      </c>
      <c r="BW37" s="207" t="str">
        <f t="shared" si="27"/>
        <v/>
      </c>
      <c r="BX37" s="208" t="str">
        <f t="shared" si="27"/>
        <v/>
      </c>
      <c r="BY37" s="206" t="str">
        <f t="shared" si="27"/>
        <v/>
      </c>
      <c r="BZ37" s="206" t="str">
        <f t="shared" si="27"/>
        <v/>
      </c>
      <c r="CA37" s="207" t="str">
        <f t="shared" si="27"/>
        <v/>
      </c>
      <c r="CB37" s="208" t="str">
        <f t="shared" si="27"/>
        <v/>
      </c>
      <c r="CC37" s="206" t="str">
        <f t="shared" si="27"/>
        <v/>
      </c>
      <c r="CD37" s="206" t="str">
        <f t="shared" si="27"/>
        <v/>
      </c>
      <c r="CE37" s="207" t="str">
        <f t="shared" si="27"/>
        <v/>
      </c>
    </row>
    <row r="38" spans="1:87" ht="18" customHeight="1">
      <c r="A38" s="22">
        <f>+TABELLA!AC42</f>
        <v>0</v>
      </c>
      <c r="B38" s="22">
        <f>+TABELLA!AD42</f>
        <v>0</v>
      </c>
      <c r="C38" s="22">
        <f>+TABELLA!AE42</f>
        <v>0</v>
      </c>
      <c r="D38" s="22">
        <f>+TABELLA!AF42</f>
        <v>0</v>
      </c>
      <c r="E38" s="22"/>
      <c r="F38" s="26">
        <f>IF(TABELLA!B42="","",TABELLA!B42)</f>
        <v>4</v>
      </c>
      <c r="G38" s="27" t="str">
        <f>IF(TABELLA!C42="","",TABELLA!C42)</f>
        <v>BOLZONELLO MARCO</v>
      </c>
      <c r="H38" s="203" t="str">
        <f t="shared" ref="H38:V38" si="45">IF(AND(G$3&gt;=$A38,G$3&lt;$B38),1,IF(AND(G$3&gt;=$C38,G$3&lt;$D38),1,""))</f>
        <v/>
      </c>
      <c r="I38" s="203" t="str">
        <f t="shared" si="45"/>
        <v/>
      </c>
      <c r="J38" s="203" t="str">
        <f t="shared" si="45"/>
        <v/>
      </c>
      <c r="K38" s="204" t="str">
        <f t="shared" si="45"/>
        <v/>
      </c>
      <c r="L38" s="205" t="str">
        <f t="shared" si="45"/>
        <v/>
      </c>
      <c r="M38" s="203" t="str">
        <f t="shared" si="45"/>
        <v/>
      </c>
      <c r="N38" s="203" t="str">
        <f t="shared" si="45"/>
        <v/>
      </c>
      <c r="O38" s="204" t="str">
        <f t="shared" si="45"/>
        <v/>
      </c>
      <c r="P38" s="205" t="str">
        <f t="shared" si="45"/>
        <v/>
      </c>
      <c r="Q38" s="203" t="str">
        <f t="shared" si="45"/>
        <v/>
      </c>
      <c r="R38" s="203" t="str">
        <f t="shared" si="45"/>
        <v/>
      </c>
      <c r="S38" s="204" t="str">
        <f t="shared" si="45"/>
        <v/>
      </c>
      <c r="T38" s="205" t="str">
        <f t="shared" si="45"/>
        <v/>
      </c>
      <c r="U38" s="203" t="str">
        <f t="shared" si="45"/>
        <v/>
      </c>
      <c r="V38" s="203" t="str">
        <f t="shared" si="45"/>
        <v/>
      </c>
      <c r="W38" s="204" t="str">
        <f t="shared" ref="W38:W45" si="46">IF(AND(V$3&gt;=$A38,V$3&lt;$B38),1,IF(AND(V$3&gt;=$C38,V$3&lt;$D38),1,""))</f>
        <v/>
      </c>
      <c r="X38" s="205" t="str">
        <f t="shared" si="43"/>
        <v/>
      </c>
      <c r="Y38" s="203" t="str">
        <f t="shared" si="43"/>
        <v/>
      </c>
      <c r="Z38" s="203" t="str">
        <f t="shared" si="43"/>
        <v/>
      </c>
      <c r="AA38" s="204" t="str">
        <f t="shared" si="43"/>
        <v/>
      </c>
      <c r="AB38" s="205" t="str">
        <f t="shared" si="43"/>
        <v/>
      </c>
      <c r="AC38" s="203" t="str">
        <f t="shared" si="43"/>
        <v/>
      </c>
      <c r="AD38" s="203" t="str">
        <f t="shared" si="43"/>
        <v/>
      </c>
      <c r="AE38" s="204" t="str">
        <f t="shared" si="43"/>
        <v/>
      </c>
      <c r="AF38" s="205" t="str">
        <f t="shared" si="43"/>
        <v/>
      </c>
      <c r="AG38" s="203" t="str">
        <f t="shared" si="43"/>
        <v/>
      </c>
      <c r="AH38" s="203" t="str">
        <f t="shared" si="43"/>
        <v/>
      </c>
      <c r="AI38" s="204" t="str">
        <f t="shared" si="43"/>
        <v/>
      </c>
      <c r="AJ38" s="205" t="str">
        <f t="shared" si="43"/>
        <v/>
      </c>
      <c r="AK38" s="203" t="str">
        <f t="shared" si="43"/>
        <v/>
      </c>
      <c r="AL38" s="203" t="str">
        <f t="shared" si="43"/>
        <v/>
      </c>
      <c r="AM38" s="204" t="str">
        <f t="shared" ref="AM38:BB45" si="47">IF(AND(AL$3&gt;=$A38,AL$3&lt;$B38),1,IF(AND(AL$3&gt;=$C38,AL$3&lt;$D38),1,""))</f>
        <v/>
      </c>
      <c r="AN38" s="205" t="str">
        <f t="shared" si="47"/>
        <v/>
      </c>
      <c r="AO38" s="203" t="str">
        <f t="shared" si="47"/>
        <v/>
      </c>
      <c r="AP38" s="203" t="str">
        <f t="shared" si="47"/>
        <v/>
      </c>
      <c r="AQ38" s="204" t="str">
        <f t="shared" si="47"/>
        <v/>
      </c>
      <c r="AR38" s="205" t="str">
        <f t="shared" si="47"/>
        <v/>
      </c>
      <c r="AS38" s="203" t="str">
        <f t="shared" si="47"/>
        <v/>
      </c>
      <c r="AT38" s="203" t="str">
        <f t="shared" si="47"/>
        <v/>
      </c>
      <c r="AU38" s="204" t="str">
        <f t="shared" si="47"/>
        <v/>
      </c>
      <c r="AV38" s="205" t="str">
        <f t="shared" si="47"/>
        <v/>
      </c>
      <c r="AW38" s="203" t="str">
        <f t="shared" si="47"/>
        <v/>
      </c>
      <c r="AX38" s="203" t="str">
        <f t="shared" si="47"/>
        <v/>
      </c>
      <c r="AY38" s="204" t="str">
        <f t="shared" si="47"/>
        <v/>
      </c>
      <c r="AZ38" s="205" t="str">
        <f t="shared" si="47"/>
        <v/>
      </c>
      <c r="BA38" s="203" t="str">
        <f t="shared" si="47"/>
        <v/>
      </c>
      <c r="BB38" s="203" t="str">
        <f t="shared" si="47"/>
        <v/>
      </c>
      <c r="BC38" s="204" t="str">
        <f t="shared" si="44"/>
        <v/>
      </c>
      <c r="BD38" s="205" t="str">
        <f t="shared" si="44"/>
        <v/>
      </c>
      <c r="BE38" s="203" t="str">
        <f t="shared" si="44"/>
        <v/>
      </c>
      <c r="BF38" s="203" t="str">
        <f t="shared" si="44"/>
        <v/>
      </c>
      <c r="BG38" s="204" t="str">
        <f t="shared" si="44"/>
        <v/>
      </c>
      <c r="BH38" s="205" t="str">
        <f t="shared" si="44"/>
        <v/>
      </c>
      <c r="BI38" s="203" t="str">
        <f t="shared" si="44"/>
        <v/>
      </c>
      <c r="BJ38" s="203" t="str">
        <f t="shared" si="44"/>
        <v/>
      </c>
      <c r="BK38" s="204" t="str">
        <f t="shared" si="44"/>
        <v/>
      </c>
      <c r="BL38" s="205" t="str">
        <f t="shared" si="44"/>
        <v/>
      </c>
      <c r="BM38" s="203" t="str">
        <f t="shared" si="44"/>
        <v/>
      </c>
      <c r="BN38" s="203" t="str">
        <f t="shared" si="44"/>
        <v/>
      </c>
      <c r="BO38" s="204" t="str">
        <f t="shared" si="44"/>
        <v/>
      </c>
      <c r="BP38" s="205" t="str">
        <f t="shared" si="44"/>
        <v/>
      </c>
      <c r="BQ38" s="203" t="str">
        <f t="shared" si="44"/>
        <v/>
      </c>
      <c r="BR38" s="203" t="str">
        <f t="shared" ref="BP38:CE45" si="48">IF(AND(BQ$3&gt;=$A38,BQ$3&lt;$B38),1,IF(AND(BQ$3&gt;=$C38,BQ$3&lt;$D38),1,""))</f>
        <v/>
      </c>
      <c r="BS38" s="204" t="str">
        <f t="shared" si="48"/>
        <v/>
      </c>
      <c r="BT38" s="205" t="str">
        <f t="shared" si="48"/>
        <v/>
      </c>
      <c r="BU38" s="203" t="str">
        <f t="shared" si="48"/>
        <v/>
      </c>
      <c r="BV38" s="203" t="str">
        <f t="shared" si="48"/>
        <v/>
      </c>
      <c r="BW38" s="204" t="str">
        <f t="shared" si="48"/>
        <v/>
      </c>
      <c r="BX38" s="205" t="str">
        <f t="shared" si="48"/>
        <v/>
      </c>
      <c r="BY38" s="203" t="str">
        <f t="shared" si="48"/>
        <v/>
      </c>
      <c r="BZ38" s="203" t="str">
        <f t="shared" si="48"/>
        <v/>
      </c>
      <c r="CA38" s="204" t="str">
        <f t="shared" si="48"/>
        <v/>
      </c>
      <c r="CB38" s="205" t="str">
        <f t="shared" si="48"/>
        <v/>
      </c>
      <c r="CC38" s="203" t="str">
        <f t="shared" si="48"/>
        <v/>
      </c>
      <c r="CD38" s="203" t="str">
        <f t="shared" si="48"/>
        <v/>
      </c>
      <c r="CE38" s="204" t="str">
        <f t="shared" si="48"/>
        <v/>
      </c>
    </row>
    <row r="39" spans="1:87" ht="18" customHeight="1">
      <c r="A39" s="22">
        <f>+TABELLA!AC43</f>
        <v>0</v>
      </c>
      <c r="B39" s="22">
        <f>+TABELLA!AD43</f>
        <v>0</v>
      </c>
      <c r="C39" s="22">
        <f>+TABELLA!AE43</f>
        <v>0</v>
      </c>
      <c r="D39" s="22">
        <f>+TABELLA!AF43</f>
        <v>0</v>
      </c>
      <c r="E39" s="22"/>
      <c r="F39" s="41">
        <f>IF(TABELLA!B43="","",TABELLA!B43)</f>
        <v>4</v>
      </c>
      <c r="G39" s="42" t="str">
        <f>IF(TABELLA!C43="","",TABELLA!C43)</f>
        <v>MOCELLIN MAURIZIO</v>
      </c>
      <c r="H39" s="206" t="str">
        <f t="shared" ref="H39:V39" si="49">IF(AND(G$3&gt;=$A39,G$3&lt;$B39),1,IF(AND(G$3&gt;=$C39,G$3&lt;$D39),1,""))</f>
        <v/>
      </c>
      <c r="I39" s="206" t="str">
        <f t="shared" si="49"/>
        <v/>
      </c>
      <c r="J39" s="206" t="str">
        <f t="shared" si="49"/>
        <v/>
      </c>
      <c r="K39" s="207" t="str">
        <f t="shared" si="49"/>
        <v/>
      </c>
      <c r="L39" s="208" t="str">
        <f t="shared" si="49"/>
        <v/>
      </c>
      <c r="M39" s="206" t="str">
        <f t="shared" si="49"/>
        <v/>
      </c>
      <c r="N39" s="206" t="str">
        <f t="shared" si="49"/>
        <v/>
      </c>
      <c r="O39" s="207" t="str">
        <f t="shared" si="49"/>
        <v/>
      </c>
      <c r="P39" s="208" t="str">
        <f t="shared" si="49"/>
        <v/>
      </c>
      <c r="Q39" s="206" t="str">
        <f t="shared" si="49"/>
        <v/>
      </c>
      <c r="R39" s="206" t="str">
        <f t="shared" si="49"/>
        <v/>
      </c>
      <c r="S39" s="207" t="str">
        <f t="shared" si="49"/>
        <v/>
      </c>
      <c r="T39" s="208" t="str">
        <f t="shared" si="49"/>
        <v/>
      </c>
      <c r="U39" s="206" t="str">
        <f t="shared" si="49"/>
        <v/>
      </c>
      <c r="V39" s="206" t="str">
        <f t="shared" si="49"/>
        <v/>
      </c>
      <c r="W39" s="207" t="str">
        <f t="shared" si="46"/>
        <v/>
      </c>
      <c r="X39" s="208" t="str">
        <f t="shared" si="43"/>
        <v/>
      </c>
      <c r="Y39" s="206" t="str">
        <f t="shared" si="43"/>
        <v/>
      </c>
      <c r="Z39" s="206" t="str">
        <f t="shared" si="43"/>
        <v/>
      </c>
      <c r="AA39" s="207" t="str">
        <f t="shared" si="43"/>
        <v/>
      </c>
      <c r="AB39" s="208" t="str">
        <f t="shared" si="43"/>
        <v/>
      </c>
      <c r="AC39" s="206" t="str">
        <f t="shared" si="43"/>
        <v/>
      </c>
      <c r="AD39" s="206" t="str">
        <f t="shared" si="43"/>
        <v/>
      </c>
      <c r="AE39" s="207" t="str">
        <f t="shared" si="43"/>
        <v/>
      </c>
      <c r="AF39" s="208" t="str">
        <f t="shared" si="43"/>
        <v/>
      </c>
      <c r="AG39" s="206" t="str">
        <f t="shared" si="43"/>
        <v/>
      </c>
      <c r="AH39" s="206" t="str">
        <f t="shared" si="43"/>
        <v/>
      </c>
      <c r="AI39" s="207" t="str">
        <f t="shared" si="43"/>
        <v/>
      </c>
      <c r="AJ39" s="208" t="str">
        <f t="shared" si="43"/>
        <v/>
      </c>
      <c r="AK39" s="206" t="str">
        <f t="shared" si="43"/>
        <v/>
      </c>
      <c r="AL39" s="206" t="str">
        <f t="shared" si="43"/>
        <v/>
      </c>
      <c r="AM39" s="207" t="str">
        <f t="shared" si="47"/>
        <v/>
      </c>
      <c r="AN39" s="208" t="str">
        <f t="shared" si="47"/>
        <v/>
      </c>
      <c r="AO39" s="206" t="str">
        <f t="shared" si="47"/>
        <v/>
      </c>
      <c r="AP39" s="206" t="str">
        <f t="shared" si="47"/>
        <v/>
      </c>
      <c r="AQ39" s="207" t="str">
        <f t="shared" si="47"/>
        <v/>
      </c>
      <c r="AR39" s="208" t="str">
        <f t="shared" si="47"/>
        <v/>
      </c>
      <c r="AS39" s="206" t="str">
        <f t="shared" si="47"/>
        <v/>
      </c>
      <c r="AT39" s="206" t="str">
        <f t="shared" si="47"/>
        <v/>
      </c>
      <c r="AU39" s="207" t="str">
        <f t="shared" si="47"/>
        <v/>
      </c>
      <c r="AV39" s="208" t="str">
        <f t="shared" si="47"/>
        <v/>
      </c>
      <c r="AW39" s="206" t="str">
        <f t="shared" si="47"/>
        <v/>
      </c>
      <c r="AX39" s="206" t="str">
        <f t="shared" si="47"/>
        <v/>
      </c>
      <c r="AY39" s="207" t="str">
        <f t="shared" si="47"/>
        <v/>
      </c>
      <c r="AZ39" s="208" t="str">
        <f t="shared" si="47"/>
        <v/>
      </c>
      <c r="BA39" s="206" t="str">
        <f t="shared" si="47"/>
        <v/>
      </c>
      <c r="BB39" s="206" t="str">
        <f t="shared" si="47"/>
        <v/>
      </c>
      <c r="BC39" s="207" t="str">
        <f t="shared" si="44"/>
        <v/>
      </c>
      <c r="BD39" s="208" t="str">
        <f t="shared" si="44"/>
        <v/>
      </c>
      <c r="BE39" s="206" t="str">
        <f t="shared" si="44"/>
        <v/>
      </c>
      <c r="BF39" s="206" t="str">
        <f t="shared" si="44"/>
        <v/>
      </c>
      <c r="BG39" s="207" t="str">
        <f t="shared" si="44"/>
        <v/>
      </c>
      <c r="BH39" s="208" t="str">
        <f t="shared" si="44"/>
        <v/>
      </c>
      <c r="BI39" s="206" t="str">
        <f t="shared" si="44"/>
        <v/>
      </c>
      <c r="BJ39" s="206" t="str">
        <f t="shared" si="44"/>
        <v/>
      </c>
      <c r="BK39" s="207" t="str">
        <f t="shared" si="44"/>
        <v/>
      </c>
      <c r="BL39" s="208" t="str">
        <f t="shared" si="44"/>
        <v/>
      </c>
      <c r="BM39" s="206" t="str">
        <f t="shared" si="44"/>
        <v/>
      </c>
      <c r="BN39" s="206" t="str">
        <f t="shared" si="44"/>
        <v/>
      </c>
      <c r="BO39" s="207" t="str">
        <f t="shared" si="44"/>
        <v/>
      </c>
      <c r="BP39" s="208" t="str">
        <f t="shared" si="48"/>
        <v/>
      </c>
      <c r="BQ39" s="206" t="str">
        <f t="shared" si="48"/>
        <v/>
      </c>
      <c r="BR39" s="206" t="str">
        <f t="shared" si="48"/>
        <v/>
      </c>
      <c r="BS39" s="207" t="str">
        <f t="shared" si="48"/>
        <v/>
      </c>
      <c r="BT39" s="208" t="str">
        <f t="shared" si="48"/>
        <v/>
      </c>
      <c r="BU39" s="206" t="str">
        <f t="shared" si="48"/>
        <v/>
      </c>
      <c r="BV39" s="206" t="str">
        <f t="shared" si="48"/>
        <v/>
      </c>
      <c r="BW39" s="207" t="str">
        <f t="shared" si="48"/>
        <v/>
      </c>
      <c r="BX39" s="208" t="str">
        <f t="shared" si="48"/>
        <v/>
      </c>
      <c r="BY39" s="206" t="str">
        <f t="shared" si="48"/>
        <v/>
      </c>
      <c r="BZ39" s="206" t="str">
        <f t="shared" si="48"/>
        <v/>
      </c>
      <c r="CA39" s="207" t="str">
        <f t="shared" si="48"/>
        <v/>
      </c>
      <c r="CB39" s="208" t="str">
        <f t="shared" si="48"/>
        <v/>
      </c>
      <c r="CC39" s="206" t="str">
        <f t="shared" si="48"/>
        <v/>
      </c>
      <c r="CD39" s="206" t="str">
        <f t="shared" si="48"/>
        <v/>
      </c>
      <c r="CE39" s="207" t="str">
        <f t="shared" si="48"/>
        <v/>
      </c>
    </row>
    <row r="40" spans="1:87" ht="18" customHeight="1">
      <c r="A40" s="22">
        <f>+TABELLA!AC44</f>
        <v>0</v>
      </c>
      <c r="B40" s="22">
        <f>+TABELLA!AD44</f>
        <v>0</v>
      </c>
      <c r="C40" s="22">
        <f>+TABELLA!AE44</f>
        <v>0</v>
      </c>
      <c r="D40" s="22">
        <f>+TABELLA!AF44</f>
        <v>0</v>
      </c>
      <c r="E40" s="22"/>
      <c r="F40" s="26" t="str">
        <f>IF(TABELLA!B44="","",TABELLA!B44)</f>
        <v/>
      </c>
      <c r="G40" s="27" t="str">
        <f>IF(TABELLA!C44="","",TABELLA!C44)</f>
        <v/>
      </c>
      <c r="H40" s="203" t="str">
        <f t="shared" ref="H40:V40" si="50">IF(AND(G$3&gt;=$A40,G$3&lt;$B40),1,IF(AND(G$3&gt;=$C40,G$3&lt;$D40),1,""))</f>
        <v/>
      </c>
      <c r="I40" s="203" t="str">
        <f t="shared" si="50"/>
        <v/>
      </c>
      <c r="J40" s="203" t="str">
        <f t="shared" si="50"/>
        <v/>
      </c>
      <c r="K40" s="204" t="str">
        <f t="shared" si="50"/>
        <v/>
      </c>
      <c r="L40" s="205" t="str">
        <f t="shared" si="50"/>
        <v/>
      </c>
      <c r="M40" s="203" t="str">
        <f t="shared" si="50"/>
        <v/>
      </c>
      <c r="N40" s="203" t="str">
        <f t="shared" si="50"/>
        <v/>
      </c>
      <c r="O40" s="204" t="str">
        <f t="shared" si="50"/>
        <v/>
      </c>
      <c r="P40" s="205" t="str">
        <f t="shared" si="50"/>
        <v/>
      </c>
      <c r="Q40" s="203" t="str">
        <f t="shared" si="50"/>
        <v/>
      </c>
      <c r="R40" s="203" t="str">
        <f t="shared" si="50"/>
        <v/>
      </c>
      <c r="S40" s="204" t="str">
        <f t="shared" si="50"/>
        <v/>
      </c>
      <c r="T40" s="205" t="str">
        <f t="shared" si="50"/>
        <v/>
      </c>
      <c r="U40" s="203" t="str">
        <f t="shared" si="50"/>
        <v/>
      </c>
      <c r="V40" s="203" t="str">
        <f t="shared" si="50"/>
        <v/>
      </c>
      <c r="W40" s="204" t="str">
        <f t="shared" si="46"/>
        <v/>
      </c>
      <c r="X40" s="205" t="str">
        <f t="shared" si="43"/>
        <v/>
      </c>
      <c r="Y40" s="203" t="str">
        <f t="shared" si="43"/>
        <v/>
      </c>
      <c r="Z40" s="203" t="str">
        <f t="shared" si="43"/>
        <v/>
      </c>
      <c r="AA40" s="204" t="str">
        <f t="shared" si="43"/>
        <v/>
      </c>
      <c r="AB40" s="205" t="str">
        <f t="shared" si="43"/>
        <v/>
      </c>
      <c r="AC40" s="203" t="str">
        <f t="shared" si="43"/>
        <v/>
      </c>
      <c r="AD40" s="203" t="str">
        <f t="shared" si="43"/>
        <v/>
      </c>
      <c r="AE40" s="204" t="str">
        <f t="shared" si="43"/>
        <v/>
      </c>
      <c r="AF40" s="205" t="str">
        <f t="shared" si="43"/>
        <v/>
      </c>
      <c r="AG40" s="203" t="str">
        <f t="shared" si="43"/>
        <v/>
      </c>
      <c r="AH40" s="203" t="str">
        <f t="shared" si="43"/>
        <v/>
      </c>
      <c r="AI40" s="204" t="str">
        <f t="shared" si="43"/>
        <v/>
      </c>
      <c r="AJ40" s="205" t="str">
        <f t="shared" si="43"/>
        <v/>
      </c>
      <c r="AK40" s="203" t="str">
        <f t="shared" si="43"/>
        <v/>
      </c>
      <c r="AL40" s="203" t="str">
        <f t="shared" si="43"/>
        <v/>
      </c>
      <c r="AM40" s="204" t="str">
        <f t="shared" si="47"/>
        <v/>
      </c>
      <c r="AN40" s="205" t="str">
        <f t="shared" si="47"/>
        <v/>
      </c>
      <c r="AO40" s="203" t="str">
        <f t="shared" si="47"/>
        <v/>
      </c>
      <c r="AP40" s="203" t="str">
        <f t="shared" si="47"/>
        <v/>
      </c>
      <c r="AQ40" s="204" t="str">
        <f t="shared" si="47"/>
        <v/>
      </c>
      <c r="AR40" s="205" t="str">
        <f t="shared" si="47"/>
        <v/>
      </c>
      <c r="AS40" s="203" t="str">
        <f t="shared" si="47"/>
        <v/>
      </c>
      <c r="AT40" s="203" t="str">
        <f t="shared" si="47"/>
        <v/>
      </c>
      <c r="AU40" s="204" t="str">
        <f t="shared" si="47"/>
        <v/>
      </c>
      <c r="AV40" s="205" t="str">
        <f t="shared" si="47"/>
        <v/>
      </c>
      <c r="AW40" s="203" t="str">
        <f t="shared" si="47"/>
        <v/>
      </c>
      <c r="AX40" s="203" t="str">
        <f t="shared" si="47"/>
        <v/>
      </c>
      <c r="AY40" s="204" t="str">
        <f t="shared" si="47"/>
        <v/>
      </c>
      <c r="AZ40" s="205" t="str">
        <f t="shared" si="47"/>
        <v/>
      </c>
      <c r="BA40" s="203" t="str">
        <f t="shared" si="47"/>
        <v/>
      </c>
      <c r="BB40" s="203" t="str">
        <f t="shared" si="47"/>
        <v/>
      </c>
      <c r="BC40" s="204" t="str">
        <f t="shared" si="44"/>
        <v/>
      </c>
      <c r="BD40" s="205" t="str">
        <f t="shared" si="44"/>
        <v/>
      </c>
      <c r="BE40" s="203" t="str">
        <f t="shared" si="44"/>
        <v/>
      </c>
      <c r="BF40" s="203" t="str">
        <f t="shared" si="44"/>
        <v/>
      </c>
      <c r="BG40" s="204" t="str">
        <f t="shared" si="44"/>
        <v/>
      </c>
      <c r="BH40" s="205" t="str">
        <f t="shared" si="44"/>
        <v/>
      </c>
      <c r="BI40" s="203" t="str">
        <f t="shared" si="44"/>
        <v/>
      </c>
      <c r="BJ40" s="203" t="str">
        <f t="shared" si="44"/>
        <v/>
      </c>
      <c r="BK40" s="204" t="str">
        <f t="shared" si="44"/>
        <v/>
      </c>
      <c r="BL40" s="205" t="str">
        <f t="shared" si="44"/>
        <v/>
      </c>
      <c r="BM40" s="203" t="str">
        <f t="shared" si="44"/>
        <v/>
      </c>
      <c r="BN40" s="203" t="str">
        <f t="shared" si="44"/>
        <v/>
      </c>
      <c r="BO40" s="204" t="str">
        <f t="shared" si="44"/>
        <v/>
      </c>
      <c r="BP40" s="205" t="str">
        <f t="shared" si="48"/>
        <v/>
      </c>
      <c r="BQ40" s="203" t="str">
        <f t="shared" si="48"/>
        <v/>
      </c>
      <c r="BR40" s="203" t="str">
        <f t="shared" si="48"/>
        <v/>
      </c>
      <c r="BS40" s="204" t="str">
        <f t="shared" si="48"/>
        <v/>
      </c>
      <c r="BT40" s="205" t="str">
        <f t="shared" si="48"/>
        <v/>
      </c>
      <c r="BU40" s="203" t="str">
        <f t="shared" si="48"/>
        <v/>
      </c>
      <c r="BV40" s="203" t="str">
        <f t="shared" si="48"/>
        <v/>
      </c>
      <c r="BW40" s="204" t="str">
        <f t="shared" si="48"/>
        <v/>
      </c>
      <c r="BX40" s="205" t="str">
        <f t="shared" si="48"/>
        <v/>
      </c>
      <c r="BY40" s="203" t="str">
        <f t="shared" si="48"/>
        <v/>
      </c>
      <c r="BZ40" s="203" t="str">
        <f t="shared" si="48"/>
        <v/>
      </c>
      <c r="CA40" s="204" t="str">
        <f t="shared" si="48"/>
        <v/>
      </c>
      <c r="CB40" s="205" t="str">
        <f t="shared" si="48"/>
        <v/>
      </c>
      <c r="CC40" s="203" t="str">
        <f t="shared" si="48"/>
        <v/>
      </c>
      <c r="CD40" s="203" t="str">
        <f t="shared" si="48"/>
        <v/>
      </c>
      <c r="CE40" s="204" t="str">
        <f t="shared" si="48"/>
        <v/>
      </c>
    </row>
    <row r="41" spans="1:87" ht="18" customHeight="1">
      <c r="A41" s="22">
        <f>+TABELLA!AC45</f>
        <v>0</v>
      </c>
      <c r="B41" s="22">
        <f>+TABELLA!AD45</f>
        <v>0</v>
      </c>
      <c r="C41" s="22">
        <f>+TABELLA!AE45</f>
        <v>0</v>
      </c>
      <c r="D41" s="22">
        <f>+TABELLA!AF45</f>
        <v>0</v>
      </c>
      <c r="E41" s="22"/>
      <c r="F41" s="41">
        <f>IF(TABELLA!B45="","",TABELLA!B45)</f>
        <v>9</v>
      </c>
      <c r="G41" s="42" t="str">
        <f>IF(TABELLA!C45="","",TABELLA!C45)</f>
        <v>CANELLA PAOLO</v>
      </c>
      <c r="H41" s="206" t="str">
        <f t="shared" ref="H41:V41" si="51">IF(AND(G$3&gt;=$A41,G$3&lt;$B41),1,IF(AND(G$3&gt;=$C41,G$3&lt;$D41),1,""))</f>
        <v/>
      </c>
      <c r="I41" s="206" t="str">
        <f t="shared" si="51"/>
        <v/>
      </c>
      <c r="J41" s="206" t="str">
        <f t="shared" si="51"/>
        <v/>
      </c>
      <c r="K41" s="207" t="str">
        <f t="shared" si="51"/>
        <v/>
      </c>
      <c r="L41" s="208" t="str">
        <f t="shared" si="51"/>
        <v/>
      </c>
      <c r="M41" s="206" t="str">
        <f t="shared" si="51"/>
        <v/>
      </c>
      <c r="N41" s="206" t="str">
        <f t="shared" si="51"/>
        <v/>
      </c>
      <c r="O41" s="207" t="str">
        <f t="shared" si="51"/>
        <v/>
      </c>
      <c r="P41" s="208" t="str">
        <f t="shared" si="51"/>
        <v/>
      </c>
      <c r="Q41" s="206" t="str">
        <f t="shared" si="51"/>
        <v/>
      </c>
      <c r="R41" s="206" t="str">
        <f t="shared" si="51"/>
        <v/>
      </c>
      <c r="S41" s="207" t="str">
        <f t="shared" si="51"/>
        <v/>
      </c>
      <c r="T41" s="208" t="str">
        <f t="shared" si="51"/>
        <v/>
      </c>
      <c r="U41" s="206" t="str">
        <f t="shared" si="51"/>
        <v/>
      </c>
      <c r="V41" s="206" t="str">
        <f t="shared" si="51"/>
        <v/>
      </c>
      <c r="W41" s="207" t="str">
        <f t="shared" si="46"/>
        <v/>
      </c>
      <c r="X41" s="208" t="str">
        <f t="shared" si="43"/>
        <v/>
      </c>
      <c r="Y41" s="206" t="str">
        <f t="shared" si="43"/>
        <v/>
      </c>
      <c r="Z41" s="206" t="str">
        <f t="shared" si="43"/>
        <v/>
      </c>
      <c r="AA41" s="207" t="str">
        <f t="shared" si="43"/>
        <v/>
      </c>
      <c r="AB41" s="208" t="str">
        <f t="shared" si="43"/>
        <v/>
      </c>
      <c r="AC41" s="206" t="str">
        <f t="shared" si="43"/>
        <v/>
      </c>
      <c r="AD41" s="206" t="str">
        <f t="shared" si="43"/>
        <v/>
      </c>
      <c r="AE41" s="207" t="str">
        <f t="shared" si="43"/>
        <v/>
      </c>
      <c r="AF41" s="208" t="str">
        <f t="shared" si="43"/>
        <v/>
      </c>
      <c r="AG41" s="206" t="str">
        <f t="shared" si="43"/>
        <v/>
      </c>
      <c r="AH41" s="206" t="str">
        <f t="shared" si="43"/>
        <v/>
      </c>
      <c r="AI41" s="207" t="str">
        <f t="shared" si="43"/>
        <v/>
      </c>
      <c r="AJ41" s="208" t="str">
        <f t="shared" si="43"/>
        <v/>
      </c>
      <c r="AK41" s="206" t="str">
        <f t="shared" si="43"/>
        <v/>
      </c>
      <c r="AL41" s="206" t="str">
        <f t="shared" si="43"/>
        <v/>
      </c>
      <c r="AM41" s="207" t="str">
        <f t="shared" si="47"/>
        <v/>
      </c>
      <c r="AN41" s="208" t="str">
        <f t="shared" si="47"/>
        <v/>
      </c>
      <c r="AO41" s="206" t="str">
        <f t="shared" si="47"/>
        <v/>
      </c>
      <c r="AP41" s="206" t="str">
        <f t="shared" si="47"/>
        <v/>
      </c>
      <c r="AQ41" s="207" t="str">
        <f t="shared" si="47"/>
        <v/>
      </c>
      <c r="AR41" s="208" t="str">
        <f t="shared" si="47"/>
        <v/>
      </c>
      <c r="AS41" s="206" t="str">
        <f t="shared" si="47"/>
        <v/>
      </c>
      <c r="AT41" s="206" t="str">
        <f t="shared" si="47"/>
        <v/>
      </c>
      <c r="AU41" s="207" t="str">
        <f t="shared" si="47"/>
        <v/>
      </c>
      <c r="AV41" s="208" t="str">
        <f t="shared" si="47"/>
        <v/>
      </c>
      <c r="AW41" s="206" t="str">
        <f t="shared" si="47"/>
        <v/>
      </c>
      <c r="AX41" s="206" t="str">
        <f t="shared" si="47"/>
        <v/>
      </c>
      <c r="AY41" s="207" t="str">
        <f t="shared" si="47"/>
        <v/>
      </c>
      <c r="AZ41" s="208" t="str">
        <f t="shared" si="47"/>
        <v/>
      </c>
      <c r="BA41" s="206" t="str">
        <f t="shared" si="47"/>
        <v/>
      </c>
      <c r="BB41" s="206" t="str">
        <f t="shared" si="47"/>
        <v/>
      </c>
      <c r="BC41" s="207" t="str">
        <f t="shared" si="44"/>
        <v/>
      </c>
      <c r="BD41" s="208" t="str">
        <f t="shared" si="44"/>
        <v/>
      </c>
      <c r="BE41" s="206" t="str">
        <f t="shared" si="44"/>
        <v/>
      </c>
      <c r="BF41" s="206" t="str">
        <f t="shared" si="44"/>
        <v/>
      </c>
      <c r="BG41" s="207" t="str">
        <f t="shared" si="44"/>
        <v/>
      </c>
      <c r="BH41" s="208" t="str">
        <f t="shared" si="44"/>
        <v/>
      </c>
      <c r="BI41" s="206" t="str">
        <f t="shared" si="44"/>
        <v/>
      </c>
      <c r="BJ41" s="206" t="str">
        <f t="shared" si="44"/>
        <v/>
      </c>
      <c r="BK41" s="207" t="str">
        <f t="shared" si="44"/>
        <v/>
      </c>
      <c r="BL41" s="208" t="str">
        <f t="shared" si="44"/>
        <v/>
      </c>
      <c r="BM41" s="206" t="str">
        <f t="shared" si="44"/>
        <v/>
      </c>
      <c r="BN41" s="206" t="str">
        <f t="shared" si="44"/>
        <v/>
      </c>
      <c r="BO41" s="207" t="str">
        <f t="shared" si="44"/>
        <v/>
      </c>
      <c r="BP41" s="208" t="str">
        <f t="shared" si="48"/>
        <v/>
      </c>
      <c r="BQ41" s="206" t="str">
        <f t="shared" si="48"/>
        <v/>
      </c>
      <c r="BR41" s="206" t="str">
        <f t="shared" si="48"/>
        <v/>
      </c>
      <c r="BS41" s="207" t="str">
        <f t="shared" si="48"/>
        <v/>
      </c>
      <c r="BT41" s="208" t="str">
        <f t="shared" si="48"/>
        <v/>
      </c>
      <c r="BU41" s="206" t="str">
        <f t="shared" si="48"/>
        <v/>
      </c>
      <c r="BV41" s="206" t="str">
        <f t="shared" si="48"/>
        <v/>
      </c>
      <c r="BW41" s="207" t="str">
        <f t="shared" si="48"/>
        <v/>
      </c>
      <c r="BX41" s="208" t="str">
        <f t="shared" si="48"/>
        <v/>
      </c>
      <c r="BY41" s="206" t="str">
        <f t="shared" si="48"/>
        <v/>
      </c>
      <c r="BZ41" s="206" t="str">
        <f t="shared" si="48"/>
        <v/>
      </c>
      <c r="CA41" s="207" t="str">
        <f t="shared" si="48"/>
        <v/>
      </c>
      <c r="CB41" s="208" t="str">
        <f t="shared" si="48"/>
        <v/>
      </c>
      <c r="CC41" s="206" t="str">
        <f t="shared" si="48"/>
        <v/>
      </c>
      <c r="CD41" s="206" t="str">
        <f t="shared" si="48"/>
        <v/>
      </c>
      <c r="CE41" s="207" t="str">
        <f t="shared" si="48"/>
        <v/>
      </c>
    </row>
    <row r="42" spans="1:87" ht="18" customHeight="1">
      <c r="A42" s="22">
        <f>+TABELLA!AC46</f>
        <v>0</v>
      </c>
      <c r="B42" s="22">
        <f>+TABELLA!AD46</f>
        <v>0</v>
      </c>
      <c r="C42" s="22">
        <f>+TABELLA!AE46</f>
        <v>0</v>
      </c>
      <c r="D42" s="22">
        <f>+TABELLA!AF46</f>
        <v>0</v>
      </c>
      <c r="E42" s="22"/>
      <c r="F42" s="26" t="str">
        <f>IF(TABELLA!B46="","",TABELLA!B46)</f>
        <v/>
      </c>
      <c r="G42" s="27" t="str">
        <f>IF(TABELLA!C46="","",TABELLA!C46)</f>
        <v/>
      </c>
      <c r="H42" s="203" t="str">
        <f t="shared" ref="H42:V42" si="52">IF(AND(G$3&gt;=$A42,G$3&lt;$B42),1,IF(AND(G$3&gt;=$C42,G$3&lt;$D42),1,""))</f>
        <v/>
      </c>
      <c r="I42" s="203" t="str">
        <f t="shared" si="52"/>
        <v/>
      </c>
      <c r="J42" s="203" t="str">
        <f t="shared" si="52"/>
        <v/>
      </c>
      <c r="K42" s="204" t="str">
        <f t="shared" si="52"/>
        <v/>
      </c>
      <c r="L42" s="205" t="str">
        <f t="shared" si="52"/>
        <v/>
      </c>
      <c r="M42" s="203" t="str">
        <f t="shared" si="52"/>
        <v/>
      </c>
      <c r="N42" s="203" t="str">
        <f t="shared" si="52"/>
        <v/>
      </c>
      <c r="O42" s="204" t="str">
        <f t="shared" si="52"/>
        <v/>
      </c>
      <c r="P42" s="205" t="str">
        <f t="shared" si="52"/>
        <v/>
      </c>
      <c r="Q42" s="203" t="str">
        <f t="shared" si="52"/>
        <v/>
      </c>
      <c r="R42" s="203" t="str">
        <f t="shared" si="52"/>
        <v/>
      </c>
      <c r="S42" s="204" t="str">
        <f t="shared" si="52"/>
        <v/>
      </c>
      <c r="T42" s="205" t="str">
        <f t="shared" si="52"/>
        <v/>
      </c>
      <c r="U42" s="203" t="str">
        <f t="shared" si="52"/>
        <v/>
      </c>
      <c r="V42" s="203" t="str">
        <f t="shared" si="52"/>
        <v/>
      </c>
      <c r="W42" s="204" t="str">
        <f t="shared" si="46"/>
        <v/>
      </c>
      <c r="X42" s="205" t="str">
        <f t="shared" si="43"/>
        <v/>
      </c>
      <c r="Y42" s="203" t="str">
        <f t="shared" si="43"/>
        <v/>
      </c>
      <c r="Z42" s="203" t="str">
        <f t="shared" si="43"/>
        <v/>
      </c>
      <c r="AA42" s="204" t="str">
        <f t="shared" si="43"/>
        <v/>
      </c>
      <c r="AB42" s="205" t="str">
        <f t="shared" si="43"/>
        <v/>
      </c>
      <c r="AC42" s="203" t="str">
        <f t="shared" si="43"/>
        <v/>
      </c>
      <c r="AD42" s="203" t="str">
        <f t="shared" si="43"/>
        <v/>
      </c>
      <c r="AE42" s="204" t="str">
        <f t="shared" si="43"/>
        <v/>
      </c>
      <c r="AF42" s="205" t="str">
        <f t="shared" si="43"/>
        <v/>
      </c>
      <c r="AG42" s="203" t="str">
        <f t="shared" si="43"/>
        <v/>
      </c>
      <c r="AH42" s="203" t="str">
        <f t="shared" si="43"/>
        <v/>
      </c>
      <c r="AI42" s="204" t="str">
        <f t="shared" si="43"/>
        <v/>
      </c>
      <c r="AJ42" s="205" t="str">
        <f t="shared" si="43"/>
        <v/>
      </c>
      <c r="AK42" s="203" t="str">
        <f t="shared" si="43"/>
        <v/>
      </c>
      <c r="AL42" s="203" t="str">
        <f t="shared" si="43"/>
        <v/>
      </c>
      <c r="AM42" s="204" t="str">
        <f t="shared" si="47"/>
        <v/>
      </c>
      <c r="AN42" s="205" t="str">
        <f t="shared" si="47"/>
        <v/>
      </c>
      <c r="AO42" s="203" t="str">
        <f t="shared" si="47"/>
        <v/>
      </c>
      <c r="AP42" s="203" t="str">
        <f t="shared" si="47"/>
        <v/>
      </c>
      <c r="AQ42" s="204" t="str">
        <f t="shared" si="47"/>
        <v/>
      </c>
      <c r="AR42" s="205" t="str">
        <f t="shared" si="47"/>
        <v/>
      </c>
      <c r="AS42" s="203" t="str">
        <f t="shared" si="47"/>
        <v/>
      </c>
      <c r="AT42" s="203" t="str">
        <f t="shared" si="47"/>
        <v/>
      </c>
      <c r="AU42" s="204" t="str">
        <f t="shared" si="47"/>
        <v/>
      </c>
      <c r="AV42" s="205" t="str">
        <f t="shared" si="47"/>
        <v/>
      </c>
      <c r="AW42" s="203" t="str">
        <f t="shared" si="47"/>
        <v/>
      </c>
      <c r="AX42" s="203" t="str">
        <f t="shared" si="47"/>
        <v/>
      </c>
      <c r="AY42" s="204" t="str">
        <f t="shared" si="47"/>
        <v/>
      </c>
      <c r="AZ42" s="205" t="str">
        <f t="shared" si="47"/>
        <v/>
      </c>
      <c r="BA42" s="203" t="str">
        <f t="shared" si="47"/>
        <v/>
      </c>
      <c r="BB42" s="203" t="str">
        <f t="shared" si="47"/>
        <v/>
      </c>
      <c r="BC42" s="204" t="str">
        <f t="shared" si="44"/>
        <v/>
      </c>
      <c r="BD42" s="205" t="str">
        <f t="shared" si="44"/>
        <v/>
      </c>
      <c r="BE42" s="203" t="str">
        <f t="shared" si="44"/>
        <v/>
      </c>
      <c r="BF42" s="203" t="str">
        <f t="shared" si="44"/>
        <v/>
      </c>
      <c r="BG42" s="204" t="str">
        <f t="shared" si="44"/>
        <v/>
      </c>
      <c r="BH42" s="205" t="str">
        <f t="shared" si="44"/>
        <v/>
      </c>
      <c r="BI42" s="203" t="str">
        <f t="shared" si="44"/>
        <v/>
      </c>
      <c r="BJ42" s="203" t="str">
        <f t="shared" si="44"/>
        <v/>
      </c>
      <c r="BK42" s="204" t="str">
        <f t="shared" si="44"/>
        <v/>
      </c>
      <c r="BL42" s="205" t="str">
        <f t="shared" si="44"/>
        <v/>
      </c>
      <c r="BM42" s="203" t="str">
        <f t="shared" si="44"/>
        <v/>
      </c>
      <c r="BN42" s="203" t="str">
        <f t="shared" si="44"/>
        <v/>
      </c>
      <c r="BO42" s="204" t="str">
        <f t="shared" si="44"/>
        <v/>
      </c>
      <c r="BP42" s="205" t="str">
        <f t="shared" si="48"/>
        <v/>
      </c>
      <c r="BQ42" s="203" t="str">
        <f t="shared" si="48"/>
        <v/>
      </c>
      <c r="BR42" s="203" t="str">
        <f t="shared" si="48"/>
        <v/>
      </c>
      <c r="BS42" s="204" t="str">
        <f t="shared" si="48"/>
        <v/>
      </c>
      <c r="BT42" s="205" t="str">
        <f t="shared" si="48"/>
        <v/>
      </c>
      <c r="BU42" s="203" t="str">
        <f t="shared" si="48"/>
        <v/>
      </c>
      <c r="BV42" s="203" t="str">
        <f t="shared" si="48"/>
        <v/>
      </c>
      <c r="BW42" s="204" t="str">
        <f t="shared" si="48"/>
        <v/>
      </c>
      <c r="BX42" s="205" t="str">
        <f t="shared" si="48"/>
        <v/>
      </c>
      <c r="BY42" s="203" t="str">
        <f t="shared" si="48"/>
        <v/>
      </c>
      <c r="BZ42" s="203" t="str">
        <f t="shared" si="48"/>
        <v/>
      </c>
      <c r="CA42" s="204" t="str">
        <f t="shared" si="48"/>
        <v/>
      </c>
      <c r="CB42" s="205" t="str">
        <f t="shared" si="48"/>
        <v/>
      </c>
      <c r="CC42" s="203" t="str">
        <f t="shared" si="48"/>
        <v/>
      </c>
      <c r="CD42" s="203" t="str">
        <f t="shared" si="48"/>
        <v/>
      </c>
      <c r="CE42" s="204" t="str">
        <f t="shared" si="48"/>
        <v/>
      </c>
    </row>
    <row r="43" spans="1:87" ht="18" customHeight="1">
      <c r="A43" s="22">
        <f>+TABELLA!AC47</f>
        <v>0</v>
      </c>
      <c r="B43" s="22">
        <f>+TABELLA!AD47</f>
        <v>0</v>
      </c>
      <c r="C43" s="22">
        <f>+TABELLA!AE47</f>
        <v>0</v>
      </c>
      <c r="D43" s="22">
        <f>+TABELLA!AF47</f>
        <v>0</v>
      </c>
      <c r="E43" s="22"/>
      <c r="F43" s="41" t="str">
        <f>IF(TABELLA!B47="","",TABELLA!B47)</f>
        <v/>
      </c>
      <c r="G43" s="42" t="str">
        <f>IF(TABELLA!C47="","",TABELLA!C47)</f>
        <v/>
      </c>
      <c r="H43" s="206" t="str">
        <f t="shared" ref="H43:V43" si="53">IF(AND(G$3&gt;=$A43,G$3&lt;$B43),1,IF(AND(G$3&gt;=$C43,G$3&lt;$D43),1,""))</f>
        <v/>
      </c>
      <c r="I43" s="206" t="str">
        <f t="shared" si="53"/>
        <v/>
      </c>
      <c r="J43" s="206" t="str">
        <f t="shared" si="53"/>
        <v/>
      </c>
      <c r="K43" s="207" t="str">
        <f t="shared" si="53"/>
        <v/>
      </c>
      <c r="L43" s="208" t="str">
        <f t="shared" si="53"/>
        <v/>
      </c>
      <c r="M43" s="206" t="str">
        <f t="shared" si="53"/>
        <v/>
      </c>
      <c r="N43" s="206" t="str">
        <f t="shared" si="53"/>
        <v/>
      </c>
      <c r="O43" s="207" t="str">
        <f t="shared" si="53"/>
        <v/>
      </c>
      <c r="P43" s="208" t="str">
        <f t="shared" si="53"/>
        <v/>
      </c>
      <c r="Q43" s="206" t="str">
        <f t="shared" si="53"/>
        <v/>
      </c>
      <c r="R43" s="206" t="str">
        <f t="shared" si="53"/>
        <v/>
      </c>
      <c r="S43" s="207" t="str">
        <f t="shared" si="53"/>
        <v/>
      </c>
      <c r="T43" s="208" t="str">
        <f t="shared" si="53"/>
        <v/>
      </c>
      <c r="U43" s="206" t="str">
        <f t="shared" si="53"/>
        <v/>
      </c>
      <c r="V43" s="206" t="str">
        <f t="shared" si="53"/>
        <v/>
      </c>
      <c r="W43" s="207" t="str">
        <f t="shared" si="46"/>
        <v/>
      </c>
      <c r="X43" s="208" t="str">
        <f t="shared" si="43"/>
        <v/>
      </c>
      <c r="Y43" s="206" t="str">
        <f t="shared" si="43"/>
        <v/>
      </c>
      <c r="Z43" s="206" t="str">
        <f t="shared" si="43"/>
        <v/>
      </c>
      <c r="AA43" s="207" t="str">
        <f t="shared" si="43"/>
        <v/>
      </c>
      <c r="AB43" s="208" t="str">
        <f t="shared" si="43"/>
        <v/>
      </c>
      <c r="AC43" s="206" t="str">
        <f t="shared" si="43"/>
        <v/>
      </c>
      <c r="AD43" s="206" t="str">
        <f t="shared" si="43"/>
        <v/>
      </c>
      <c r="AE43" s="207" t="str">
        <f t="shared" si="43"/>
        <v/>
      </c>
      <c r="AF43" s="208" t="str">
        <f t="shared" si="43"/>
        <v/>
      </c>
      <c r="AG43" s="206" t="str">
        <f t="shared" si="43"/>
        <v/>
      </c>
      <c r="AH43" s="206" t="str">
        <f t="shared" si="43"/>
        <v/>
      </c>
      <c r="AI43" s="207" t="str">
        <f t="shared" si="43"/>
        <v/>
      </c>
      <c r="AJ43" s="208" t="str">
        <f t="shared" si="43"/>
        <v/>
      </c>
      <c r="AK43" s="206" t="str">
        <f t="shared" si="43"/>
        <v/>
      </c>
      <c r="AL43" s="206" t="str">
        <f t="shared" si="43"/>
        <v/>
      </c>
      <c r="AM43" s="207" t="str">
        <f t="shared" si="47"/>
        <v/>
      </c>
      <c r="AN43" s="208" t="str">
        <f t="shared" si="47"/>
        <v/>
      </c>
      <c r="AO43" s="206" t="str">
        <f t="shared" si="47"/>
        <v/>
      </c>
      <c r="AP43" s="206" t="str">
        <f t="shared" si="47"/>
        <v/>
      </c>
      <c r="AQ43" s="207" t="str">
        <f t="shared" si="47"/>
        <v/>
      </c>
      <c r="AR43" s="208" t="str">
        <f t="shared" si="47"/>
        <v/>
      </c>
      <c r="AS43" s="206" t="str">
        <f t="shared" si="47"/>
        <v/>
      </c>
      <c r="AT43" s="206" t="str">
        <f t="shared" si="47"/>
        <v/>
      </c>
      <c r="AU43" s="207" t="str">
        <f t="shared" si="47"/>
        <v/>
      </c>
      <c r="AV43" s="208" t="str">
        <f t="shared" si="47"/>
        <v/>
      </c>
      <c r="AW43" s="206" t="str">
        <f t="shared" si="47"/>
        <v/>
      </c>
      <c r="AX43" s="206" t="str">
        <f t="shared" si="47"/>
        <v/>
      </c>
      <c r="AY43" s="207" t="str">
        <f t="shared" si="47"/>
        <v/>
      </c>
      <c r="AZ43" s="208" t="str">
        <f t="shared" si="47"/>
        <v/>
      </c>
      <c r="BA43" s="206" t="str">
        <f t="shared" si="47"/>
        <v/>
      </c>
      <c r="BB43" s="206" t="str">
        <f t="shared" si="47"/>
        <v/>
      </c>
      <c r="BC43" s="207" t="str">
        <f t="shared" si="44"/>
        <v/>
      </c>
      <c r="BD43" s="208" t="str">
        <f t="shared" si="44"/>
        <v/>
      </c>
      <c r="BE43" s="206" t="str">
        <f t="shared" si="44"/>
        <v/>
      </c>
      <c r="BF43" s="206" t="str">
        <f t="shared" si="44"/>
        <v/>
      </c>
      <c r="BG43" s="207" t="str">
        <f t="shared" si="44"/>
        <v/>
      </c>
      <c r="BH43" s="208" t="str">
        <f t="shared" si="44"/>
        <v/>
      </c>
      <c r="BI43" s="206" t="str">
        <f t="shared" si="44"/>
        <v/>
      </c>
      <c r="BJ43" s="206" t="str">
        <f t="shared" si="44"/>
        <v/>
      </c>
      <c r="BK43" s="207" t="str">
        <f t="shared" si="44"/>
        <v/>
      </c>
      <c r="BL43" s="208" t="str">
        <f t="shared" si="44"/>
        <v/>
      </c>
      <c r="BM43" s="206" t="str">
        <f t="shared" si="44"/>
        <v/>
      </c>
      <c r="BN43" s="206" t="str">
        <f t="shared" si="44"/>
        <v/>
      </c>
      <c r="BO43" s="207" t="str">
        <f t="shared" si="44"/>
        <v/>
      </c>
      <c r="BP43" s="208" t="str">
        <f t="shared" si="48"/>
        <v/>
      </c>
      <c r="BQ43" s="206" t="str">
        <f t="shared" si="48"/>
        <v/>
      </c>
      <c r="BR43" s="206" t="str">
        <f t="shared" si="48"/>
        <v/>
      </c>
      <c r="BS43" s="207" t="str">
        <f t="shared" si="48"/>
        <v/>
      </c>
      <c r="BT43" s="208" t="str">
        <f t="shared" si="48"/>
        <v/>
      </c>
      <c r="BU43" s="206" t="str">
        <f t="shared" si="48"/>
        <v/>
      </c>
      <c r="BV43" s="206" t="str">
        <f t="shared" si="48"/>
        <v/>
      </c>
      <c r="BW43" s="207" t="str">
        <f t="shared" si="48"/>
        <v/>
      </c>
      <c r="BX43" s="208" t="str">
        <f t="shared" si="48"/>
        <v/>
      </c>
      <c r="BY43" s="206" t="str">
        <f t="shared" si="48"/>
        <v/>
      </c>
      <c r="BZ43" s="206" t="str">
        <f t="shared" si="48"/>
        <v/>
      </c>
      <c r="CA43" s="207" t="str">
        <f t="shared" si="48"/>
        <v/>
      </c>
      <c r="CB43" s="208" t="str">
        <f t="shared" si="48"/>
        <v/>
      </c>
      <c r="CC43" s="206" t="str">
        <f t="shared" si="48"/>
        <v/>
      </c>
      <c r="CD43" s="206" t="str">
        <f t="shared" si="48"/>
        <v/>
      </c>
      <c r="CE43" s="207" t="str">
        <f t="shared" si="48"/>
        <v/>
      </c>
    </row>
    <row r="44" spans="1:87" ht="18" customHeight="1">
      <c r="A44" s="22">
        <f>+TABELLA!AC48</f>
        <v>0</v>
      </c>
      <c r="B44" s="22">
        <f>+TABELLA!AD48</f>
        <v>0</v>
      </c>
      <c r="C44" s="22">
        <f>+TABELLA!AE48</f>
        <v>0</v>
      </c>
      <c r="D44" s="22">
        <f>+TABELLA!AF48</f>
        <v>0</v>
      </c>
      <c r="E44" s="22"/>
      <c r="F44" s="26" t="str">
        <f>IF(TABELLA!B48="","",TABELLA!B48)</f>
        <v/>
      </c>
      <c r="G44" s="27" t="str">
        <f>IF(TABELLA!C48="","",TABELLA!C48)</f>
        <v/>
      </c>
      <c r="H44" s="203" t="str">
        <f t="shared" ref="H44:V44" si="54">IF(AND(G$3&gt;=$A44,G$3&lt;$B44),1,IF(AND(G$3&gt;=$C44,G$3&lt;$D44),1,""))</f>
        <v/>
      </c>
      <c r="I44" s="203" t="str">
        <f t="shared" si="54"/>
        <v/>
      </c>
      <c r="J44" s="203" t="str">
        <f t="shared" si="54"/>
        <v/>
      </c>
      <c r="K44" s="204" t="str">
        <f t="shared" si="54"/>
        <v/>
      </c>
      <c r="L44" s="205" t="str">
        <f t="shared" si="54"/>
        <v/>
      </c>
      <c r="M44" s="203" t="str">
        <f t="shared" si="54"/>
        <v/>
      </c>
      <c r="N44" s="203" t="str">
        <f t="shared" si="54"/>
        <v/>
      </c>
      <c r="O44" s="204" t="str">
        <f t="shared" si="54"/>
        <v/>
      </c>
      <c r="P44" s="205" t="str">
        <f t="shared" si="54"/>
        <v/>
      </c>
      <c r="Q44" s="203" t="str">
        <f t="shared" si="54"/>
        <v/>
      </c>
      <c r="R44" s="203" t="str">
        <f t="shared" si="54"/>
        <v/>
      </c>
      <c r="S44" s="204" t="str">
        <f t="shared" si="54"/>
        <v/>
      </c>
      <c r="T44" s="205" t="str">
        <f t="shared" si="54"/>
        <v/>
      </c>
      <c r="U44" s="203" t="str">
        <f t="shared" si="54"/>
        <v/>
      </c>
      <c r="V44" s="203" t="str">
        <f t="shared" si="54"/>
        <v/>
      </c>
      <c r="W44" s="204" t="str">
        <f t="shared" si="46"/>
        <v/>
      </c>
      <c r="X44" s="205" t="str">
        <f t="shared" si="43"/>
        <v/>
      </c>
      <c r="Y44" s="203" t="str">
        <f t="shared" si="43"/>
        <v/>
      </c>
      <c r="Z44" s="203" t="str">
        <f t="shared" si="43"/>
        <v/>
      </c>
      <c r="AA44" s="204" t="str">
        <f t="shared" si="43"/>
        <v/>
      </c>
      <c r="AB44" s="205" t="str">
        <f t="shared" si="43"/>
        <v/>
      </c>
      <c r="AC44" s="203" t="str">
        <f t="shared" si="43"/>
        <v/>
      </c>
      <c r="AD44" s="203" t="str">
        <f t="shared" si="43"/>
        <v/>
      </c>
      <c r="AE44" s="204" t="str">
        <f t="shared" si="43"/>
        <v/>
      </c>
      <c r="AF44" s="205" t="str">
        <f t="shared" si="43"/>
        <v/>
      </c>
      <c r="AG44" s="203" t="str">
        <f t="shared" si="43"/>
        <v/>
      </c>
      <c r="AH44" s="203" t="str">
        <f t="shared" si="43"/>
        <v/>
      </c>
      <c r="AI44" s="204" t="str">
        <f t="shared" si="43"/>
        <v/>
      </c>
      <c r="AJ44" s="205" t="str">
        <f t="shared" si="43"/>
        <v/>
      </c>
      <c r="AK44" s="203" t="str">
        <f t="shared" si="43"/>
        <v/>
      </c>
      <c r="AL44" s="203" t="str">
        <f t="shared" si="43"/>
        <v/>
      </c>
      <c r="AM44" s="204" t="str">
        <f t="shared" si="47"/>
        <v/>
      </c>
      <c r="AN44" s="205" t="str">
        <f t="shared" si="47"/>
        <v/>
      </c>
      <c r="AO44" s="203" t="str">
        <f t="shared" si="47"/>
        <v/>
      </c>
      <c r="AP44" s="203" t="str">
        <f t="shared" si="47"/>
        <v/>
      </c>
      <c r="AQ44" s="204" t="str">
        <f t="shared" si="47"/>
        <v/>
      </c>
      <c r="AR44" s="205" t="str">
        <f t="shared" si="47"/>
        <v/>
      </c>
      <c r="AS44" s="203" t="str">
        <f t="shared" si="47"/>
        <v/>
      </c>
      <c r="AT44" s="203" t="str">
        <f t="shared" si="47"/>
        <v/>
      </c>
      <c r="AU44" s="204" t="str">
        <f t="shared" si="47"/>
        <v/>
      </c>
      <c r="AV44" s="205" t="str">
        <f t="shared" si="47"/>
        <v/>
      </c>
      <c r="AW44" s="203" t="str">
        <f t="shared" si="47"/>
        <v/>
      </c>
      <c r="AX44" s="203" t="str">
        <f t="shared" si="47"/>
        <v/>
      </c>
      <c r="AY44" s="204" t="str">
        <f t="shared" si="47"/>
        <v/>
      </c>
      <c r="AZ44" s="205" t="str">
        <f t="shared" si="47"/>
        <v/>
      </c>
      <c r="BA44" s="203" t="str">
        <f t="shared" si="47"/>
        <v/>
      </c>
      <c r="BB44" s="203" t="str">
        <f t="shared" si="47"/>
        <v/>
      </c>
      <c r="BC44" s="204" t="str">
        <f t="shared" si="44"/>
        <v/>
      </c>
      <c r="BD44" s="205" t="str">
        <f t="shared" si="44"/>
        <v/>
      </c>
      <c r="BE44" s="203" t="str">
        <f t="shared" si="44"/>
        <v/>
      </c>
      <c r="BF44" s="203" t="str">
        <f t="shared" si="44"/>
        <v/>
      </c>
      <c r="BG44" s="204" t="str">
        <f t="shared" si="44"/>
        <v/>
      </c>
      <c r="BH44" s="205" t="str">
        <f t="shared" si="44"/>
        <v/>
      </c>
      <c r="BI44" s="203" t="str">
        <f t="shared" si="44"/>
        <v/>
      </c>
      <c r="BJ44" s="203" t="str">
        <f t="shared" si="44"/>
        <v/>
      </c>
      <c r="BK44" s="204" t="str">
        <f t="shared" si="44"/>
        <v/>
      </c>
      <c r="BL44" s="205" t="str">
        <f t="shared" si="44"/>
        <v/>
      </c>
      <c r="BM44" s="203" t="str">
        <f t="shared" si="44"/>
        <v/>
      </c>
      <c r="BN44" s="203" t="str">
        <f t="shared" si="44"/>
        <v/>
      </c>
      <c r="BO44" s="204" t="str">
        <f t="shared" si="44"/>
        <v/>
      </c>
      <c r="BP44" s="205" t="str">
        <f t="shared" si="48"/>
        <v/>
      </c>
      <c r="BQ44" s="203" t="str">
        <f t="shared" si="48"/>
        <v/>
      </c>
      <c r="BR44" s="203" t="str">
        <f t="shared" si="48"/>
        <v/>
      </c>
      <c r="BS44" s="204" t="str">
        <f t="shared" si="48"/>
        <v/>
      </c>
      <c r="BT44" s="205" t="str">
        <f t="shared" si="48"/>
        <v/>
      </c>
      <c r="BU44" s="203" t="str">
        <f t="shared" si="48"/>
        <v/>
      </c>
      <c r="BV44" s="203" t="str">
        <f t="shared" si="48"/>
        <v/>
      </c>
      <c r="BW44" s="204" t="str">
        <f t="shared" si="48"/>
        <v/>
      </c>
      <c r="BX44" s="205" t="str">
        <f t="shared" si="48"/>
        <v/>
      </c>
      <c r="BY44" s="203" t="str">
        <f t="shared" si="48"/>
        <v/>
      </c>
      <c r="BZ44" s="203" t="str">
        <f t="shared" si="48"/>
        <v/>
      </c>
      <c r="CA44" s="204" t="str">
        <f t="shared" si="48"/>
        <v/>
      </c>
      <c r="CB44" s="205" t="str">
        <f t="shared" si="48"/>
        <v/>
      </c>
      <c r="CC44" s="203" t="str">
        <f t="shared" si="48"/>
        <v/>
      </c>
      <c r="CD44" s="203" t="str">
        <f t="shared" si="48"/>
        <v/>
      </c>
      <c r="CE44" s="204" t="str">
        <f t="shared" si="48"/>
        <v/>
      </c>
    </row>
    <row r="45" spans="1:87" ht="18" customHeight="1">
      <c r="A45" s="22">
        <f>+TABELLA!AC49</f>
        <v>0</v>
      </c>
      <c r="B45" s="22">
        <f>+TABELLA!AD49</f>
        <v>0</v>
      </c>
      <c r="C45" s="22">
        <f>+TABELLA!AE49</f>
        <v>0</v>
      </c>
      <c r="D45" s="22">
        <f>+TABELLA!AF49</f>
        <v>0</v>
      </c>
      <c r="E45" s="22"/>
      <c r="F45" s="41" t="str">
        <f>IF(TABELLA!B49="","",TABELLA!B49)</f>
        <v/>
      </c>
      <c r="G45" s="42" t="str">
        <f>IF(TABELLA!C49="","",TABELLA!C49)</f>
        <v/>
      </c>
      <c r="H45" s="206" t="str">
        <f t="shared" ref="H45:V45" si="55">IF(AND(G$3&gt;=$A45,G$3&lt;$B45),1,IF(AND(G$3&gt;=$C45,G$3&lt;$D45),1,""))</f>
        <v/>
      </c>
      <c r="I45" s="206" t="str">
        <f t="shared" si="55"/>
        <v/>
      </c>
      <c r="J45" s="206" t="str">
        <f t="shared" si="55"/>
        <v/>
      </c>
      <c r="K45" s="207" t="str">
        <f t="shared" si="55"/>
        <v/>
      </c>
      <c r="L45" s="208" t="str">
        <f t="shared" si="55"/>
        <v/>
      </c>
      <c r="M45" s="206" t="str">
        <f t="shared" si="55"/>
        <v/>
      </c>
      <c r="N45" s="206" t="str">
        <f t="shared" si="55"/>
        <v/>
      </c>
      <c r="O45" s="207" t="str">
        <f t="shared" si="55"/>
        <v/>
      </c>
      <c r="P45" s="208" t="str">
        <f t="shared" si="55"/>
        <v/>
      </c>
      <c r="Q45" s="206" t="str">
        <f t="shared" si="55"/>
        <v/>
      </c>
      <c r="R45" s="206" t="str">
        <f t="shared" si="55"/>
        <v/>
      </c>
      <c r="S45" s="207" t="str">
        <f t="shared" si="55"/>
        <v/>
      </c>
      <c r="T45" s="208" t="str">
        <f t="shared" si="55"/>
        <v/>
      </c>
      <c r="U45" s="206" t="str">
        <f t="shared" si="55"/>
        <v/>
      </c>
      <c r="V45" s="206" t="str">
        <f t="shared" si="55"/>
        <v/>
      </c>
      <c r="W45" s="207" t="str">
        <f t="shared" si="46"/>
        <v/>
      </c>
      <c r="X45" s="208" t="str">
        <f t="shared" si="43"/>
        <v/>
      </c>
      <c r="Y45" s="206" t="str">
        <f t="shared" si="43"/>
        <v/>
      </c>
      <c r="Z45" s="206" t="str">
        <f t="shared" si="43"/>
        <v/>
      </c>
      <c r="AA45" s="207" t="str">
        <f t="shared" si="43"/>
        <v/>
      </c>
      <c r="AB45" s="208" t="str">
        <f t="shared" si="43"/>
        <v/>
      </c>
      <c r="AC45" s="206" t="str">
        <f t="shared" si="43"/>
        <v/>
      </c>
      <c r="AD45" s="206" t="str">
        <f t="shared" si="43"/>
        <v/>
      </c>
      <c r="AE45" s="207" t="str">
        <f t="shared" si="43"/>
        <v/>
      </c>
      <c r="AF45" s="208" t="str">
        <f t="shared" si="43"/>
        <v/>
      </c>
      <c r="AG45" s="206" t="str">
        <f t="shared" si="43"/>
        <v/>
      </c>
      <c r="AH45" s="206" t="str">
        <f t="shared" si="43"/>
        <v/>
      </c>
      <c r="AI45" s="207" t="str">
        <f t="shared" si="43"/>
        <v/>
      </c>
      <c r="AJ45" s="208" t="str">
        <f t="shared" si="43"/>
        <v/>
      </c>
      <c r="AK45" s="206" t="str">
        <f t="shared" si="43"/>
        <v/>
      </c>
      <c r="AL45" s="206" t="str">
        <f t="shared" si="43"/>
        <v/>
      </c>
      <c r="AM45" s="207" t="str">
        <f t="shared" si="47"/>
        <v/>
      </c>
      <c r="AN45" s="208" t="str">
        <f t="shared" si="47"/>
        <v/>
      </c>
      <c r="AO45" s="206" t="str">
        <f t="shared" si="47"/>
        <v/>
      </c>
      <c r="AP45" s="206" t="str">
        <f t="shared" si="47"/>
        <v/>
      </c>
      <c r="AQ45" s="207" t="str">
        <f t="shared" si="47"/>
        <v/>
      </c>
      <c r="AR45" s="208" t="str">
        <f t="shared" si="47"/>
        <v/>
      </c>
      <c r="AS45" s="206" t="str">
        <f t="shared" si="47"/>
        <v/>
      </c>
      <c r="AT45" s="206" t="str">
        <f t="shared" si="47"/>
        <v/>
      </c>
      <c r="AU45" s="207" t="str">
        <f t="shared" si="47"/>
        <v/>
      </c>
      <c r="AV45" s="208" t="str">
        <f t="shared" si="47"/>
        <v/>
      </c>
      <c r="AW45" s="206" t="str">
        <f t="shared" si="47"/>
        <v/>
      </c>
      <c r="AX45" s="206" t="str">
        <f t="shared" si="47"/>
        <v/>
      </c>
      <c r="AY45" s="207" t="str">
        <f t="shared" si="47"/>
        <v/>
      </c>
      <c r="AZ45" s="208" t="str">
        <f t="shared" si="47"/>
        <v/>
      </c>
      <c r="BA45" s="206" t="str">
        <f t="shared" si="47"/>
        <v/>
      </c>
      <c r="BB45" s="206" t="str">
        <f t="shared" si="47"/>
        <v/>
      </c>
      <c r="BC45" s="207" t="str">
        <f t="shared" si="44"/>
        <v/>
      </c>
      <c r="BD45" s="208" t="str">
        <f t="shared" si="44"/>
        <v/>
      </c>
      <c r="BE45" s="206" t="str">
        <f t="shared" si="44"/>
        <v/>
      </c>
      <c r="BF45" s="206" t="str">
        <f t="shared" si="44"/>
        <v/>
      </c>
      <c r="BG45" s="207" t="str">
        <f t="shared" si="44"/>
        <v/>
      </c>
      <c r="BH45" s="208" t="str">
        <f t="shared" si="44"/>
        <v/>
      </c>
      <c r="BI45" s="206" t="str">
        <f t="shared" si="44"/>
        <v/>
      </c>
      <c r="BJ45" s="206" t="str">
        <f t="shared" si="44"/>
        <v/>
      </c>
      <c r="BK45" s="207" t="str">
        <f t="shared" si="44"/>
        <v/>
      </c>
      <c r="BL45" s="208" t="str">
        <f t="shared" si="44"/>
        <v/>
      </c>
      <c r="BM45" s="206" t="str">
        <f t="shared" si="44"/>
        <v/>
      </c>
      <c r="BN45" s="206" t="str">
        <f t="shared" si="44"/>
        <v/>
      </c>
      <c r="BO45" s="207" t="str">
        <f t="shared" si="44"/>
        <v/>
      </c>
      <c r="BP45" s="208" t="str">
        <f t="shared" si="48"/>
        <v/>
      </c>
      <c r="BQ45" s="206" t="str">
        <f t="shared" si="48"/>
        <v/>
      </c>
      <c r="BR45" s="206" t="str">
        <f t="shared" si="48"/>
        <v/>
      </c>
      <c r="BS45" s="207" t="str">
        <f t="shared" si="48"/>
        <v/>
      </c>
      <c r="BT45" s="208" t="str">
        <f t="shared" si="48"/>
        <v/>
      </c>
      <c r="BU45" s="206" t="str">
        <f t="shared" si="48"/>
        <v/>
      </c>
      <c r="BV45" s="206" t="str">
        <f t="shared" si="48"/>
        <v/>
      </c>
      <c r="BW45" s="207" t="str">
        <f t="shared" si="48"/>
        <v/>
      </c>
      <c r="BX45" s="208" t="str">
        <f t="shared" si="48"/>
        <v/>
      </c>
      <c r="BY45" s="206" t="str">
        <f t="shared" si="48"/>
        <v/>
      </c>
      <c r="BZ45" s="206" t="str">
        <f t="shared" si="48"/>
        <v/>
      </c>
      <c r="CA45" s="207" t="str">
        <f t="shared" si="48"/>
        <v/>
      </c>
      <c r="CB45" s="208" t="str">
        <f t="shared" si="48"/>
        <v/>
      </c>
      <c r="CC45" s="206" t="str">
        <f t="shared" si="48"/>
        <v/>
      </c>
      <c r="CD45" s="206" t="str">
        <f t="shared" si="48"/>
        <v/>
      </c>
      <c r="CE45" s="207" t="str">
        <f t="shared" si="48"/>
        <v/>
      </c>
    </row>
    <row r="46" spans="1:87" ht="20.100000000000001" customHeight="1">
      <c r="F46" s="9">
        <v>1</v>
      </c>
      <c r="G46" s="10" t="s">
        <v>80</v>
      </c>
      <c r="H46" s="177">
        <f t="shared" ref="H46:W54" si="56">SUMIF($F$6:$F$45,$F46,H$6:H$45)</f>
        <v>0</v>
      </c>
      <c r="I46" s="178">
        <f t="shared" si="56"/>
        <v>0</v>
      </c>
      <c r="J46" s="178">
        <f t="shared" si="56"/>
        <v>0</v>
      </c>
      <c r="K46" s="179">
        <f t="shared" si="56"/>
        <v>0</v>
      </c>
      <c r="L46" s="177">
        <f t="shared" si="56"/>
        <v>0</v>
      </c>
      <c r="M46" s="178">
        <f t="shared" si="56"/>
        <v>0</v>
      </c>
      <c r="N46" s="178">
        <f t="shared" si="56"/>
        <v>0</v>
      </c>
      <c r="O46" s="179">
        <f t="shared" si="56"/>
        <v>0</v>
      </c>
      <c r="P46" s="177">
        <f t="shared" si="56"/>
        <v>0</v>
      </c>
      <c r="Q46" s="178">
        <f t="shared" si="56"/>
        <v>0</v>
      </c>
      <c r="R46" s="178">
        <f t="shared" si="56"/>
        <v>0</v>
      </c>
      <c r="S46" s="179">
        <f t="shared" si="56"/>
        <v>0</v>
      </c>
      <c r="T46" s="177">
        <f t="shared" si="56"/>
        <v>0</v>
      </c>
      <c r="U46" s="178">
        <f t="shared" si="56"/>
        <v>0</v>
      </c>
      <c r="V46" s="178">
        <f t="shared" si="56"/>
        <v>0</v>
      </c>
      <c r="W46" s="179">
        <f t="shared" si="56"/>
        <v>0</v>
      </c>
      <c r="X46" s="177">
        <f t="shared" ref="X46:AM54" si="57">SUMIF($F$6:$F$45,$F46,X$6:X$45)</f>
        <v>0</v>
      </c>
      <c r="Y46" s="178">
        <f t="shared" si="57"/>
        <v>0</v>
      </c>
      <c r="Z46" s="178">
        <f t="shared" si="57"/>
        <v>0</v>
      </c>
      <c r="AA46" s="179">
        <f t="shared" si="57"/>
        <v>0</v>
      </c>
      <c r="AB46" s="177">
        <f t="shared" si="57"/>
        <v>0</v>
      </c>
      <c r="AC46" s="178">
        <f t="shared" si="57"/>
        <v>0</v>
      </c>
      <c r="AD46" s="178">
        <f t="shared" si="57"/>
        <v>0</v>
      </c>
      <c r="AE46" s="179">
        <f t="shared" si="57"/>
        <v>0</v>
      </c>
      <c r="AF46" s="177">
        <f t="shared" si="57"/>
        <v>0</v>
      </c>
      <c r="AG46" s="178">
        <f t="shared" si="57"/>
        <v>0</v>
      </c>
      <c r="AH46" s="178">
        <f t="shared" si="57"/>
        <v>0</v>
      </c>
      <c r="AI46" s="179">
        <f t="shared" si="57"/>
        <v>0</v>
      </c>
      <c r="AJ46" s="177">
        <f t="shared" si="57"/>
        <v>0</v>
      </c>
      <c r="AK46" s="178">
        <f t="shared" si="57"/>
        <v>0</v>
      </c>
      <c r="AL46" s="178">
        <f t="shared" si="57"/>
        <v>0</v>
      </c>
      <c r="AM46" s="179">
        <f t="shared" si="57"/>
        <v>0</v>
      </c>
      <c r="AN46" s="177">
        <f t="shared" ref="AN46:BC54" si="58">SUMIF($F$6:$F$45,$F46,AN$6:AN$45)</f>
        <v>0</v>
      </c>
      <c r="AO46" s="178">
        <f t="shared" si="58"/>
        <v>0</v>
      </c>
      <c r="AP46" s="178">
        <f t="shared" si="58"/>
        <v>0</v>
      </c>
      <c r="AQ46" s="179">
        <f t="shared" si="58"/>
        <v>0</v>
      </c>
      <c r="AR46" s="177">
        <f t="shared" si="58"/>
        <v>0</v>
      </c>
      <c r="AS46" s="178">
        <f t="shared" si="58"/>
        <v>0</v>
      </c>
      <c r="AT46" s="178">
        <f t="shared" si="58"/>
        <v>0</v>
      </c>
      <c r="AU46" s="179">
        <f t="shared" si="58"/>
        <v>0</v>
      </c>
      <c r="AV46" s="177">
        <f t="shared" si="58"/>
        <v>0</v>
      </c>
      <c r="AW46" s="178">
        <f t="shared" si="58"/>
        <v>0</v>
      </c>
      <c r="AX46" s="178">
        <f t="shared" si="58"/>
        <v>0</v>
      </c>
      <c r="AY46" s="179">
        <f t="shared" si="58"/>
        <v>0</v>
      </c>
      <c r="AZ46" s="177">
        <f t="shared" si="58"/>
        <v>0</v>
      </c>
      <c r="BA46" s="178">
        <f t="shared" si="58"/>
        <v>0</v>
      </c>
      <c r="BB46" s="178">
        <f t="shared" si="58"/>
        <v>0</v>
      </c>
      <c r="BC46" s="179">
        <f t="shared" si="58"/>
        <v>0</v>
      </c>
      <c r="BD46" s="177">
        <f t="shared" ref="BD46:BS54" si="59">SUMIF($F$6:$F$45,$F46,BD$6:BD$45)</f>
        <v>0</v>
      </c>
      <c r="BE46" s="178">
        <f t="shared" si="59"/>
        <v>0</v>
      </c>
      <c r="BF46" s="178">
        <f t="shared" si="59"/>
        <v>0</v>
      </c>
      <c r="BG46" s="179">
        <f t="shared" si="59"/>
        <v>0</v>
      </c>
      <c r="BH46" s="177">
        <f t="shared" si="59"/>
        <v>0</v>
      </c>
      <c r="BI46" s="178">
        <f t="shared" si="59"/>
        <v>0</v>
      </c>
      <c r="BJ46" s="178">
        <f t="shared" si="59"/>
        <v>0</v>
      </c>
      <c r="BK46" s="179">
        <f t="shared" si="59"/>
        <v>0</v>
      </c>
      <c r="BL46" s="177">
        <f t="shared" si="59"/>
        <v>0</v>
      </c>
      <c r="BM46" s="178">
        <f t="shared" si="59"/>
        <v>0</v>
      </c>
      <c r="BN46" s="178">
        <f t="shared" si="59"/>
        <v>0</v>
      </c>
      <c r="BO46" s="179">
        <f t="shared" si="59"/>
        <v>0</v>
      </c>
      <c r="BP46" s="177">
        <f t="shared" si="59"/>
        <v>0</v>
      </c>
      <c r="BQ46" s="178">
        <f t="shared" si="59"/>
        <v>0</v>
      </c>
      <c r="BR46" s="178">
        <f t="shared" si="59"/>
        <v>0</v>
      </c>
      <c r="BS46" s="179">
        <f t="shared" si="59"/>
        <v>0</v>
      </c>
      <c r="BT46" s="177">
        <f t="shared" ref="BT46:CE54" si="60">SUMIF($F$6:$F$45,$F46,BT$6:BT$45)</f>
        <v>0</v>
      </c>
      <c r="BU46" s="178">
        <f t="shared" si="60"/>
        <v>0</v>
      </c>
      <c r="BV46" s="178">
        <f t="shared" si="60"/>
        <v>0</v>
      </c>
      <c r="BW46" s="179">
        <f t="shared" si="60"/>
        <v>0</v>
      </c>
      <c r="BX46" s="177">
        <f t="shared" si="60"/>
        <v>0</v>
      </c>
      <c r="BY46" s="178">
        <f t="shared" si="60"/>
        <v>0</v>
      </c>
      <c r="BZ46" s="178">
        <f t="shared" si="60"/>
        <v>0</v>
      </c>
      <c r="CA46" s="179">
        <f t="shared" si="60"/>
        <v>0</v>
      </c>
      <c r="CB46" s="177">
        <f t="shared" si="60"/>
        <v>0</v>
      </c>
      <c r="CC46" s="178">
        <f t="shared" si="60"/>
        <v>0</v>
      </c>
      <c r="CD46" s="178">
        <f t="shared" si="60"/>
        <v>0</v>
      </c>
      <c r="CE46" s="179">
        <f t="shared" si="60"/>
        <v>0</v>
      </c>
      <c r="CF46" s="13"/>
      <c r="CG46" s="13"/>
      <c r="CH46" s="13"/>
      <c r="CI46" s="13"/>
    </row>
    <row r="47" spans="1:87" ht="20.100000000000001" customHeight="1">
      <c r="F47" s="3">
        <v>2</v>
      </c>
      <c r="G47" s="4" t="s">
        <v>11</v>
      </c>
      <c r="H47" s="180">
        <f t="shared" si="56"/>
        <v>0</v>
      </c>
      <c r="I47" s="181">
        <f t="shared" si="56"/>
        <v>0</v>
      </c>
      <c r="J47" s="181">
        <f t="shared" si="56"/>
        <v>0</v>
      </c>
      <c r="K47" s="182">
        <f t="shared" si="56"/>
        <v>0</v>
      </c>
      <c r="L47" s="180">
        <f t="shared" si="56"/>
        <v>0</v>
      </c>
      <c r="M47" s="181">
        <f t="shared" si="56"/>
        <v>0</v>
      </c>
      <c r="N47" s="181">
        <f t="shared" si="56"/>
        <v>0</v>
      </c>
      <c r="O47" s="182">
        <f t="shared" si="56"/>
        <v>0</v>
      </c>
      <c r="P47" s="180">
        <f t="shared" si="56"/>
        <v>0</v>
      </c>
      <c r="Q47" s="181">
        <f t="shared" si="56"/>
        <v>0</v>
      </c>
      <c r="R47" s="181">
        <f t="shared" si="56"/>
        <v>0</v>
      </c>
      <c r="S47" s="182">
        <f t="shared" si="56"/>
        <v>0</v>
      </c>
      <c r="T47" s="180">
        <f t="shared" si="56"/>
        <v>0</v>
      </c>
      <c r="U47" s="181">
        <f t="shared" si="56"/>
        <v>0</v>
      </c>
      <c r="V47" s="181">
        <f t="shared" si="56"/>
        <v>0</v>
      </c>
      <c r="W47" s="182">
        <f t="shared" si="56"/>
        <v>0</v>
      </c>
      <c r="X47" s="180">
        <f t="shared" si="57"/>
        <v>0</v>
      </c>
      <c r="Y47" s="181">
        <f t="shared" si="57"/>
        <v>0</v>
      </c>
      <c r="Z47" s="181">
        <f t="shared" si="57"/>
        <v>0</v>
      </c>
      <c r="AA47" s="182">
        <f t="shared" si="57"/>
        <v>0</v>
      </c>
      <c r="AB47" s="180">
        <f t="shared" si="57"/>
        <v>0</v>
      </c>
      <c r="AC47" s="181">
        <f t="shared" si="57"/>
        <v>0</v>
      </c>
      <c r="AD47" s="181">
        <f t="shared" si="57"/>
        <v>0</v>
      </c>
      <c r="AE47" s="182">
        <f t="shared" si="57"/>
        <v>0</v>
      </c>
      <c r="AF47" s="180">
        <f t="shared" si="57"/>
        <v>0</v>
      </c>
      <c r="AG47" s="181">
        <f t="shared" si="57"/>
        <v>0</v>
      </c>
      <c r="AH47" s="181">
        <f t="shared" si="57"/>
        <v>0</v>
      </c>
      <c r="AI47" s="182">
        <f t="shared" si="57"/>
        <v>0</v>
      </c>
      <c r="AJ47" s="180">
        <f t="shared" si="57"/>
        <v>0</v>
      </c>
      <c r="AK47" s="181">
        <f t="shared" si="57"/>
        <v>0</v>
      </c>
      <c r="AL47" s="181">
        <f t="shared" si="57"/>
        <v>0</v>
      </c>
      <c r="AM47" s="182">
        <f t="shared" si="57"/>
        <v>0</v>
      </c>
      <c r="AN47" s="180">
        <f t="shared" si="58"/>
        <v>0</v>
      </c>
      <c r="AO47" s="181">
        <f t="shared" si="58"/>
        <v>0</v>
      </c>
      <c r="AP47" s="181">
        <f t="shared" si="58"/>
        <v>0</v>
      </c>
      <c r="AQ47" s="182">
        <f t="shared" si="58"/>
        <v>0</v>
      </c>
      <c r="AR47" s="180">
        <f t="shared" si="58"/>
        <v>0</v>
      </c>
      <c r="AS47" s="181">
        <f t="shared" si="58"/>
        <v>0</v>
      </c>
      <c r="AT47" s="181">
        <f t="shared" si="58"/>
        <v>0</v>
      </c>
      <c r="AU47" s="182">
        <f t="shared" si="58"/>
        <v>0</v>
      </c>
      <c r="AV47" s="180">
        <f t="shared" si="58"/>
        <v>0</v>
      </c>
      <c r="AW47" s="181">
        <f t="shared" si="58"/>
        <v>0</v>
      </c>
      <c r="AX47" s="181">
        <f t="shared" si="58"/>
        <v>0</v>
      </c>
      <c r="AY47" s="182">
        <f t="shared" si="58"/>
        <v>0</v>
      </c>
      <c r="AZ47" s="180">
        <f t="shared" si="58"/>
        <v>0</v>
      </c>
      <c r="BA47" s="181">
        <f t="shared" si="58"/>
        <v>0</v>
      </c>
      <c r="BB47" s="181">
        <f t="shared" si="58"/>
        <v>0</v>
      </c>
      <c r="BC47" s="182">
        <f t="shared" si="58"/>
        <v>0</v>
      </c>
      <c r="BD47" s="180">
        <f t="shared" si="59"/>
        <v>0</v>
      </c>
      <c r="BE47" s="181">
        <f t="shared" si="59"/>
        <v>0</v>
      </c>
      <c r="BF47" s="181">
        <f t="shared" si="59"/>
        <v>0</v>
      </c>
      <c r="BG47" s="182">
        <f t="shared" si="59"/>
        <v>0</v>
      </c>
      <c r="BH47" s="180">
        <f t="shared" si="59"/>
        <v>0</v>
      </c>
      <c r="BI47" s="181">
        <f t="shared" si="59"/>
        <v>0</v>
      </c>
      <c r="BJ47" s="181">
        <f t="shared" si="59"/>
        <v>0</v>
      </c>
      <c r="BK47" s="182">
        <f t="shared" si="59"/>
        <v>0</v>
      </c>
      <c r="BL47" s="180">
        <f t="shared" si="59"/>
        <v>0</v>
      </c>
      <c r="BM47" s="181">
        <f t="shared" si="59"/>
        <v>0</v>
      </c>
      <c r="BN47" s="181">
        <f t="shared" si="59"/>
        <v>0</v>
      </c>
      <c r="BO47" s="182">
        <f t="shared" si="59"/>
        <v>0</v>
      </c>
      <c r="BP47" s="180">
        <f t="shared" si="59"/>
        <v>0</v>
      </c>
      <c r="BQ47" s="181">
        <f t="shared" si="59"/>
        <v>0</v>
      </c>
      <c r="BR47" s="181">
        <f t="shared" si="59"/>
        <v>0</v>
      </c>
      <c r="BS47" s="182">
        <f t="shared" si="59"/>
        <v>0</v>
      </c>
      <c r="BT47" s="180">
        <f t="shared" si="60"/>
        <v>0</v>
      </c>
      <c r="BU47" s="181">
        <f t="shared" si="60"/>
        <v>0</v>
      </c>
      <c r="BV47" s="181">
        <f t="shared" si="60"/>
        <v>0</v>
      </c>
      <c r="BW47" s="182">
        <f t="shared" si="60"/>
        <v>0</v>
      </c>
      <c r="BX47" s="180">
        <f t="shared" si="60"/>
        <v>0</v>
      </c>
      <c r="BY47" s="181">
        <f t="shared" si="60"/>
        <v>0</v>
      </c>
      <c r="BZ47" s="181">
        <f t="shared" si="60"/>
        <v>0</v>
      </c>
      <c r="CA47" s="182">
        <f t="shared" si="60"/>
        <v>0</v>
      </c>
      <c r="CB47" s="180">
        <f t="shared" si="60"/>
        <v>0</v>
      </c>
      <c r="CC47" s="181">
        <f t="shared" si="60"/>
        <v>0</v>
      </c>
      <c r="CD47" s="181">
        <f t="shared" si="60"/>
        <v>0</v>
      </c>
      <c r="CE47" s="182">
        <f t="shared" si="60"/>
        <v>0</v>
      </c>
      <c r="CF47" s="13"/>
      <c r="CG47" s="13"/>
      <c r="CH47" s="13"/>
      <c r="CI47" s="13"/>
    </row>
    <row r="48" spans="1:87" ht="20.100000000000001" customHeight="1">
      <c r="F48" s="198">
        <v>3</v>
      </c>
      <c r="G48" s="199" t="s">
        <v>12</v>
      </c>
      <c r="H48" s="219">
        <f t="shared" si="56"/>
        <v>0</v>
      </c>
      <c r="I48" s="220">
        <f t="shared" si="56"/>
        <v>0</v>
      </c>
      <c r="J48" s="220">
        <f t="shared" si="56"/>
        <v>0</v>
      </c>
      <c r="K48" s="221">
        <f t="shared" si="56"/>
        <v>0</v>
      </c>
      <c r="L48" s="219">
        <f t="shared" si="56"/>
        <v>0</v>
      </c>
      <c r="M48" s="220">
        <f t="shared" si="56"/>
        <v>0</v>
      </c>
      <c r="N48" s="220">
        <f t="shared" si="56"/>
        <v>0</v>
      </c>
      <c r="O48" s="221">
        <f t="shared" si="56"/>
        <v>0</v>
      </c>
      <c r="P48" s="219">
        <f t="shared" si="56"/>
        <v>0</v>
      </c>
      <c r="Q48" s="220">
        <f t="shared" si="56"/>
        <v>0</v>
      </c>
      <c r="R48" s="220">
        <f t="shared" si="56"/>
        <v>0</v>
      </c>
      <c r="S48" s="221">
        <f t="shared" si="56"/>
        <v>0</v>
      </c>
      <c r="T48" s="219">
        <f t="shared" si="56"/>
        <v>0</v>
      </c>
      <c r="U48" s="220">
        <f t="shared" si="56"/>
        <v>0</v>
      </c>
      <c r="V48" s="220">
        <f t="shared" si="56"/>
        <v>0</v>
      </c>
      <c r="W48" s="221">
        <f t="shared" si="56"/>
        <v>0</v>
      </c>
      <c r="X48" s="219">
        <f t="shared" si="57"/>
        <v>0</v>
      </c>
      <c r="Y48" s="220">
        <f t="shared" si="57"/>
        <v>0</v>
      </c>
      <c r="Z48" s="220">
        <f t="shared" si="57"/>
        <v>0</v>
      </c>
      <c r="AA48" s="221">
        <f t="shared" si="57"/>
        <v>0</v>
      </c>
      <c r="AB48" s="219">
        <f t="shared" si="57"/>
        <v>0</v>
      </c>
      <c r="AC48" s="220">
        <f t="shared" si="57"/>
        <v>0</v>
      </c>
      <c r="AD48" s="220">
        <f t="shared" si="57"/>
        <v>0</v>
      </c>
      <c r="AE48" s="221">
        <f t="shared" si="57"/>
        <v>0</v>
      </c>
      <c r="AF48" s="219">
        <f t="shared" si="57"/>
        <v>0</v>
      </c>
      <c r="AG48" s="220">
        <f t="shared" si="57"/>
        <v>0</v>
      </c>
      <c r="AH48" s="220">
        <f t="shared" si="57"/>
        <v>0</v>
      </c>
      <c r="AI48" s="221">
        <f t="shared" si="57"/>
        <v>0</v>
      </c>
      <c r="AJ48" s="219">
        <f t="shared" si="57"/>
        <v>0</v>
      </c>
      <c r="AK48" s="220">
        <f t="shared" si="57"/>
        <v>0</v>
      </c>
      <c r="AL48" s="220">
        <f t="shared" si="57"/>
        <v>0</v>
      </c>
      <c r="AM48" s="221">
        <f t="shared" si="57"/>
        <v>0</v>
      </c>
      <c r="AN48" s="219">
        <f t="shared" si="58"/>
        <v>0</v>
      </c>
      <c r="AO48" s="220">
        <f t="shared" si="58"/>
        <v>0</v>
      </c>
      <c r="AP48" s="220">
        <f t="shared" si="58"/>
        <v>0</v>
      </c>
      <c r="AQ48" s="221">
        <f t="shared" si="58"/>
        <v>0</v>
      </c>
      <c r="AR48" s="219">
        <f t="shared" si="58"/>
        <v>0</v>
      </c>
      <c r="AS48" s="220">
        <f t="shared" si="58"/>
        <v>0</v>
      </c>
      <c r="AT48" s="220">
        <f t="shared" si="58"/>
        <v>0</v>
      </c>
      <c r="AU48" s="221">
        <f t="shared" si="58"/>
        <v>0</v>
      </c>
      <c r="AV48" s="219">
        <f t="shared" si="58"/>
        <v>0</v>
      </c>
      <c r="AW48" s="220">
        <f t="shared" si="58"/>
        <v>0</v>
      </c>
      <c r="AX48" s="220">
        <f t="shared" si="58"/>
        <v>0</v>
      </c>
      <c r="AY48" s="221">
        <f t="shared" si="58"/>
        <v>0</v>
      </c>
      <c r="AZ48" s="219">
        <f t="shared" si="58"/>
        <v>0</v>
      </c>
      <c r="BA48" s="220">
        <f t="shared" si="58"/>
        <v>0</v>
      </c>
      <c r="BB48" s="220">
        <f t="shared" si="58"/>
        <v>0</v>
      </c>
      <c r="BC48" s="221">
        <f t="shared" si="58"/>
        <v>0</v>
      </c>
      <c r="BD48" s="219">
        <f t="shared" si="59"/>
        <v>0</v>
      </c>
      <c r="BE48" s="220">
        <f t="shared" si="59"/>
        <v>0</v>
      </c>
      <c r="BF48" s="220">
        <f t="shared" si="59"/>
        <v>0</v>
      </c>
      <c r="BG48" s="221">
        <f t="shared" si="59"/>
        <v>0</v>
      </c>
      <c r="BH48" s="219">
        <f t="shared" si="59"/>
        <v>0</v>
      </c>
      <c r="BI48" s="220">
        <f t="shared" si="59"/>
        <v>0</v>
      </c>
      <c r="BJ48" s="220">
        <f t="shared" si="59"/>
        <v>0</v>
      </c>
      <c r="BK48" s="221">
        <f t="shared" si="59"/>
        <v>0</v>
      </c>
      <c r="BL48" s="219">
        <f t="shared" si="59"/>
        <v>0</v>
      </c>
      <c r="BM48" s="220">
        <f t="shared" si="59"/>
        <v>0</v>
      </c>
      <c r="BN48" s="220">
        <f t="shared" si="59"/>
        <v>0</v>
      </c>
      <c r="BO48" s="221">
        <f t="shared" si="59"/>
        <v>0</v>
      </c>
      <c r="BP48" s="219">
        <f t="shared" si="59"/>
        <v>0</v>
      </c>
      <c r="BQ48" s="220">
        <f t="shared" si="59"/>
        <v>0</v>
      </c>
      <c r="BR48" s="220">
        <f t="shared" si="59"/>
        <v>0</v>
      </c>
      <c r="BS48" s="221">
        <f t="shared" si="59"/>
        <v>0</v>
      </c>
      <c r="BT48" s="219">
        <f t="shared" si="60"/>
        <v>0</v>
      </c>
      <c r="BU48" s="220">
        <f t="shared" si="60"/>
        <v>0</v>
      </c>
      <c r="BV48" s="220">
        <f t="shared" si="60"/>
        <v>0</v>
      </c>
      <c r="BW48" s="221">
        <f t="shared" si="60"/>
        <v>0</v>
      </c>
      <c r="BX48" s="219">
        <f t="shared" si="60"/>
        <v>0</v>
      </c>
      <c r="BY48" s="220">
        <f t="shared" si="60"/>
        <v>0</v>
      </c>
      <c r="BZ48" s="220">
        <f t="shared" si="60"/>
        <v>0</v>
      </c>
      <c r="CA48" s="221">
        <f t="shared" si="60"/>
        <v>0</v>
      </c>
      <c r="CB48" s="219">
        <f t="shared" si="60"/>
        <v>0</v>
      </c>
      <c r="CC48" s="220">
        <f t="shared" si="60"/>
        <v>0</v>
      </c>
      <c r="CD48" s="220">
        <f t="shared" si="60"/>
        <v>0</v>
      </c>
      <c r="CE48" s="221">
        <f t="shared" si="60"/>
        <v>0</v>
      </c>
      <c r="CF48" s="13"/>
      <c r="CG48" s="13"/>
      <c r="CH48" s="13"/>
      <c r="CI48" s="13"/>
    </row>
    <row r="49" spans="1:87" ht="20.100000000000001" customHeight="1">
      <c r="B49" s="28"/>
      <c r="F49" s="1">
        <v>4</v>
      </c>
      <c r="G49" s="2" t="s">
        <v>81</v>
      </c>
      <c r="H49" s="214">
        <f t="shared" si="56"/>
        <v>0</v>
      </c>
      <c r="I49" s="215">
        <f t="shared" si="56"/>
        <v>0</v>
      </c>
      <c r="J49" s="215">
        <f t="shared" si="56"/>
        <v>0</v>
      </c>
      <c r="K49" s="216">
        <f t="shared" si="56"/>
        <v>0</v>
      </c>
      <c r="L49" s="214">
        <f t="shared" si="56"/>
        <v>0</v>
      </c>
      <c r="M49" s="215">
        <f t="shared" si="56"/>
        <v>0</v>
      </c>
      <c r="N49" s="215">
        <f t="shared" si="56"/>
        <v>0</v>
      </c>
      <c r="O49" s="216">
        <f t="shared" si="56"/>
        <v>0</v>
      </c>
      <c r="P49" s="214">
        <f t="shared" si="56"/>
        <v>0</v>
      </c>
      <c r="Q49" s="215">
        <f t="shared" si="56"/>
        <v>0</v>
      </c>
      <c r="R49" s="215">
        <f t="shared" si="56"/>
        <v>0</v>
      </c>
      <c r="S49" s="216">
        <f t="shared" si="56"/>
        <v>0</v>
      </c>
      <c r="T49" s="214">
        <f t="shared" si="56"/>
        <v>0</v>
      </c>
      <c r="U49" s="215">
        <f t="shared" si="56"/>
        <v>0</v>
      </c>
      <c r="V49" s="215">
        <f t="shared" si="56"/>
        <v>0</v>
      </c>
      <c r="W49" s="216">
        <f t="shared" si="56"/>
        <v>0</v>
      </c>
      <c r="X49" s="214">
        <f t="shared" si="57"/>
        <v>0</v>
      </c>
      <c r="Y49" s="215">
        <f t="shared" si="57"/>
        <v>0</v>
      </c>
      <c r="Z49" s="215">
        <f t="shared" si="57"/>
        <v>0</v>
      </c>
      <c r="AA49" s="216">
        <f t="shared" si="57"/>
        <v>0</v>
      </c>
      <c r="AB49" s="214">
        <f t="shared" si="57"/>
        <v>0</v>
      </c>
      <c r="AC49" s="215">
        <f t="shared" si="57"/>
        <v>0</v>
      </c>
      <c r="AD49" s="215">
        <f t="shared" si="57"/>
        <v>0</v>
      </c>
      <c r="AE49" s="216">
        <f t="shared" si="57"/>
        <v>0</v>
      </c>
      <c r="AF49" s="214">
        <f t="shared" si="57"/>
        <v>0</v>
      </c>
      <c r="AG49" s="215">
        <f t="shared" si="57"/>
        <v>0</v>
      </c>
      <c r="AH49" s="215">
        <f t="shared" si="57"/>
        <v>0</v>
      </c>
      <c r="AI49" s="216">
        <f t="shared" si="57"/>
        <v>0</v>
      </c>
      <c r="AJ49" s="214">
        <f t="shared" si="57"/>
        <v>0</v>
      </c>
      <c r="AK49" s="215">
        <f t="shared" si="57"/>
        <v>0</v>
      </c>
      <c r="AL49" s="215">
        <f t="shared" si="57"/>
        <v>0</v>
      </c>
      <c r="AM49" s="216">
        <f t="shared" si="57"/>
        <v>0</v>
      </c>
      <c r="AN49" s="214">
        <f t="shared" si="58"/>
        <v>0</v>
      </c>
      <c r="AO49" s="215">
        <f t="shared" si="58"/>
        <v>0</v>
      </c>
      <c r="AP49" s="215">
        <f t="shared" si="58"/>
        <v>0</v>
      </c>
      <c r="AQ49" s="216">
        <f t="shared" si="58"/>
        <v>0</v>
      </c>
      <c r="AR49" s="214">
        <f t="shared" si="58"/>
        <v>0</v>
      </c>
      <c r="AS49" s="215">
        <f t="shared" si="58"/>
        <v>0</v>
      </c>
      <c r="AT49" s="215">
        <f t="shared" si="58"/>
        <v>0</v>
      </c>
      <c r="AU49" s="216">
        <f t="shared" si="58"/>
        <v>0</v>
      </c>
      <c r="AV49" s="214">
        <f t="shared" si="58"/>
        <v>0</v>
      </c>
      <c r="AW49" s="215">
        <f t="shared" si="58"/>
        <v>0</v>
      </c>
      <c r="AX49" s="215">
        <f t="shared" si="58"/>
        <v>0</v>
      </c>
      <c r="AY49" s="216">
        <f t="shared" si="58"/>
        <v>0</v>
      </c>
      <c r="AZ49" s="214">
        <f t="shared" si="58"/>
        <v>0</v>
      </c>
      <c r="BA49" s="215">
        <f t="shared" si="58"/>
        <v>0</v>
      </c>
      <c r="BB49" s="215">
        <f t="shared" si="58"/>
        <v>0</v>
      </c>
      <c r="BC49" s="216">
        <f t="shared" si="58"/>
        <v>0</v>
      </c>
      <c r="BD49" s="214">
        <f t="shared" si="59"/>
        <v>0</v>
      </c>
      <c r="BE49" s="215">
        <f t="shared" si="59"/>
        <v>0</v>
      </c>
      <c r="BF49" s="215">
        <f t="shared" si="59"/>
        <v>0</v>
      </c>
      <c r="BG49" s="216">
        <f t="shared" si="59"/>
        <v>0</v>
      </c>
      <c r="BH49" s="214">
        <f t="shared" si="59"/>
        <v>0</v>
      </c>
      <c r="BI49" s="215">
        <f t="shared" si="59"/>
        <v>0</v>
      </c>
      <c r="BJ49" s="215">
        <f t="shared" si="59"/>
        <v>0</v>
      </c>
      <c r="BK49" s="216">
        <f t="shared" si="59"/>
        <v>0</v>
      </c>
      <c r="BL49" s="214">
        <f t="shared" si="59"/>
        <v>0</v>
      </c>
      <c r="BM49" s="215">
        <f t="shared" si="59"/>
        <v>0</v>
      </c>
      <c r="BN49" s="215">
        <f t="shared" si="59"/>
        <v>0</v>
      </c>
      <c r="BO49" s="216">
        <f t="shared" si="59"/>
        <v>0</v>
      </c>
      <c r="BP49" s="214">
        <f t="shared" si="59"/>
        <v>0</v>
      </c>
      <c r="BQ49" s="215">
        <f t="shared" si="59"/>
        <v>0</v>
      </c>
      <c r="BR49" s="215">
        <f t="shared" si="59"/>
        <v>0</v>
      </c>
      <c r="BS49" s="216">
        <f t="shared" si="59"/>
        <v>0</v>
      </c>
      <c r="BT49" s="214">
        <f t="shared" si="60"/>
        <v>0</v>
      </c>
      <c r="BU49" s="215">
        <f t="shared" si="60"/>
        <v>0</v>
      </c>
      <c r="BV49" s="215">
        <f t="shared" si="60"/>
        <v>0</v>
      </c>
      <c r="BW49" s="216">
        <f t="shared" si="60"/>
        <v>0</v>
      </c>
      <c r="BX49" s="214">
        <f t="shared" si="60"/>
        <v>0</v>
      </c>
      <c r="BY49" s="215">
        <f t="shared" si="60"/>
        <v>0</v>
      </c>
      <c r="BZ49" s="215">
        <f t="shared" si="60"/>
        <v>0</v>
      </c>
      <c r="CA49" s="216">
        <f t="shared" si="60"/>
        <v>0</v>
      </c>
      <c r="CB49" s="214">
        <f t="shared" si="60"/>
        <v>0</v>
      </c>
      <c r="CC49" s="215">
        <f t="shared" si="60"/>
        <v>0</v>
      </c>
      <c r="CD49" s="215">
        <f t="shared" si="60"/>
        <v>0</v>
      </c>
      <c r="CE49" s="216">
        <f t="shared" si="60"/>
        <v>0</v>
      </c>
      <c r="CF49" s="13"/>
      <c r="CG49" s="13"/>
      <c r="CH49" s="13"/>
      <c r="CI49" s="13"/>
    </row>
    <row r="50" spans="1:87" ht="20.100000000000001" customHeight="1">
      <c r="F50" s="217">
        <v>8</v>
      </c>
      <c r="G50" s="218" t="s">
        <v>14</v>
      </c>
      <c r="H50" s="183">
        <f t="shared" si="56"/>
        <v>0</v>
      </c>
      <c r="I50" s="184">
        <f t="shared" si="56"/>
        <v>0</v>
      </c>
      <c r="J50" s="184">
        <f t="shared" si="56"/>
        <v>0</v>
      </c>
      <c r="K50" s="185">
        <f t="shared" si="56"/>
        <v>0</v>
      </c>
      <c r="L50" s="183">
        <f t="shared" si="56"/>
        <v>0</v>
      </c>
      <c r="M50" s="184">
        <f t="shared" si="56"/>
        <v>0</v>
      </c>
      <c r="N50" s="184">
        <f t="shared" si="56"/>
        <v>0</v>
      </c>
      <c r="O50" s="185">
        <f t="shared" si="56"/>
        <v>0</v>
      </c>
      <c r="P50" s="183">
        <f t="shared" si="56"/>
        <v>0</v>
      </c>
      <c r="Q50" s="184">
        <f t="shared" si="56"/>
        <v>0</v>
      </c>
      <c r="R50" s="184">
        <f t="shared" si="56"/>
        <v>0</v>
      </c>
      <c r="S50" s="185">
        <f t="shared" si="56"/>
        <v>0</v>
      </c>
      <c r="T50" s="183">
        <f t="shared" si="56"/>
        <v>0</v>
      </c>
      <c r="U50" s="184">
        <f t="shared" si="56"/>
        <v>0</v>
      </c>
      <c r="V50" s="184">
        <f t="shared" si="56"/>
        <v>0</v>
      </c>
      <c r="W50" s="185">
        <f t="shared" si="56"/>
        <v>0</v>
      </c>
      <c r="X50" s="183">
        <f t="shared" si="57"/>
        <v>0</v>
      </c>
      <c r="Y50" s="184">
        <f t="shared" si="57"/>
        <v>0</v>
      </c>
      <c r="Z50" s="184">
        <f t="shared" si="57"/>
        <v>0</v>
      </c>
      <c r="AA50" s="185">
        <f t="shared" si="57"/>
        <v>0</v>
      </c>
      <c r="AB50" s="183">
        <f t="shared" si="57"/>
        <v>0</v>
      </c>
      <c r="AC50" s="184">
        <f t="shared" si="57"/>
        <v>0</v>
      </c>
      <c r="AD50" s="184">
        <f t="shared" si="57"/>
        <v>0</v>
      </c>
      <c r="AE50" s="185">
        <f t="shared" si="57"/>
        <v>0</v>
      </c>
      <c r="AF50" s="183">
        <f t="shared" si="57"/>
        <v>0</v>
      </c>
      <c r="AG50" s="184">
        <f t="shared" si="57"/>
        <v>0</v>
      </c>
      <c r="AH50" s="184">
        <f t="shared" si="57"/>
        <v>0</v>
      </c>
      <c r="AI50" s="185">
        <f t="shared" si="57"/>
        <v>0</v>
      </c>
      <c r="AJ50" s="183">
        <f t="shared" si="57"/>
        <v>0</v>
      </c>
      <c r="AK50" s="184">
        <f t="shared" si="57"/>
        <v>0</v>
      </c>
      <c r="AL50" s="184">
        <f t="shared" si="57"/>
        <v>0</v>
      </c>
      <c r="AM50" s="185">
        <f t="shared" si="57"/>
        <v>0</v>
      </c>
      <c r="AN50" s="183">
        <f t="shared" si="58"/>
        <v>0</v>
      </c>
      <c r="AO50" s="184">
        <f t="shared" si="58"/>
        <v>0</v>
      </c>
      <c r="AP50" s="184">
        <f t="shared" si="58"/>
        <v>0</v>
      </c>
      <c r="AQ50" s="185">
        <f t="shared" si="58"/>
        <v>0</v>
      </c>
      <c r="AR50" s="183">
        <f t="shared" si="58"/>
        <v>0</v>
      </c>
      <c r="AS50" s="184">
        <f t="shared" si="58"/>
        <v>0</v>
      </c>
      <c r="AT50" s="184">
        <f t="shared" si="58"/>
        <v>0</v>
      </c>
      <c r="AU50" s="185">
        <f t="shared" si="58"/>
        <v>0</v>
      </c>
      <c r="AV50" s="183">
        <f t="shared" si="58"/>
        <v>0</v>
      </c>
      <c r="AW50" s="184">
        <f t="shared" si="58"/>
        <v>0</v>
      </c>
      <c r="AX50" s="184">
        <f t="shared" si="58"/>
        <v>0</v>
      </c>
      <c r="AY50" s="185">
        <f t="shared" si="58"/>
        <v>0</v>
      </c>
      <c r="AZ50" s="183">
        <f t="shared" si="58"/>
        <v>0</v>
      </c>
      <c r="BA50" s="184">
        <f t="shared" si="58"/>
        <v>0</v>
      </c>
      <c r="BB50" s="184">
        <f t="shared" si="58"/>
        <v>0</v>
      </c>
      <c r="BC50" s="185">
        <f t="shared" si="58"/>
        <v>0</v>
      </c>
      <c r="BD50" s="183">
        <f t="shared" si="59"/>
        <v>0</v>
      </c>
      <c r="BE50" s="184">
        <f t="shared" si="59"/>
        <v>0</v>
      </c>
      <c r="BF50" s="184">
        <f t="shared" si="59"/>
        <v>0</v>
      </c>
      <c r="BG50" s="185">
        <f t="shared" si="59"/>
        <v>0</v>
      </c>
      <c r="BH50" s="183">
        <f t="shared" si="59"/>
        <v>0</v>
      </c>
      <c r="BI50" s="184">
        <f t="shared" si="59"/>
        <v>0</v>
      </c>
      <c r="BJ50" s="184">
        <f t="shared" si="59"/>
        <v>0</v>
      </c>
      <c r="BK50" s="185">
        <f t="shared" si="59"/>
        <v>0</v>
      </c>
      <c r="BL50" s="183">
        <f t="shared" si="59"/>
        <v>0</v>
      </c>
      <c r="BM50" s="184">
        <f t="shared" si="59"/>
        <v>0</v>
      </c>
      <c r="BN50" s="184">
        <f t="shared" si="59"/>
        <v>0</v>
      </c>
      <c r="BO50" s="185">
        <f t="shared" si="59"/>
        <v>0</v>
      </c>
      <c r="BP50" s="183">
        <f t="shared" si="59"/>
        <v>0</v>
      </c>
      <c r="BQ50" s="184">
        <f t="shared" si="59"/>
        <v>0</v>
      </c>
      <c r="BR50" s="184">
        <f t="shared" si="59"/>
        <v>0</v>
      </c>
      <c r="BS50" s="185">
        <f t="shared" si="59"/>
        <v>0</v>
      </c>
      <c r="BT50" s="183">
        <f t="shared" si="60"/>
        <v>0</v>
      </c>
      <c r="BU50" s="184">
        <f t="shared" si="60"/>
        <v>0</v>
      </c>
      <c r="BV50" s="184">
        <f t="shared" si="60"/>
        <v>0</v>
      </c>
      <c r="BW50" s="185">
        <f t="shared" si="60"/>
        <v>0</v>
      </c>
      <c r="BX50" s="183">
        <f t="shared" si="60"/>
        <v>0</v>
      </c>
      <c r="BY50" s="184">
        <f t="shared" si="60"/>
        <v>0</v>
      </c>
      <c r="BZ50" s="184">
        <f t="shared" si="60"/>
        <v>0</v>
      </c>
      <c r="CA50" s="185">
        <f t="shared" si="60"/>
        <v>0</v>
      </c>
      <c r="CB50" s="183">
        <f t="shared" si="60"/>
        <v>0</v>
      </c>
      <c r="CC50" s="184">
        <f t="shared" si="60"/>
        <v>0</v>
      </c>
      <c r="CD50" s="184">
        <f t="shared" si="60"/>
        <v>0</v>
      </c>
      <c r="CE50" s="185">
        <f t="shared" si="60"/>
        <v>0</v>
      </c>
      <c r="CF50" s="13"/>
      <c r="CG50" s="13"/>
      <c r="CH50" s="13"/>
      <c r="CI50" s="13"/>
    </row>
    <row r="51" spans="1:87" ht="20.100000000000001" customHeight="1">
      <c r="F51" s="5">
        <v>9</v>
      </c>
      <c r="G51" s="6" t="s">
        <v>82</v>
      </c>
      <c r="H51" s="186">
        <f t="shared" si="56"/>
        <v>0</v>
      </c>
      <c r="I51" s="187">
        <f t="shared" si="56"/>
        <v>0</v>
      </c>
      <c r="J51" s="187">
        <f t="shared" si="56"/>
        <v>0</v>
      </c>
      <c r="K51" s="188">
        <f t="shared" si="56"/>
        <v>0</v>
      </c>
      <c r="L51" s="186">
        <f t="shared" si="56"/>
        <v>0</v>
      </c>
      <c r="M51" s="187">
        <f t="shared" si="56"/>
        <v>0</v>
      </c>
      <c r="N51" s="187">
        <f t="shared" si="56"/>
        <v>0</v>
      </c>
      <c r="O51" s="188">
        <f t="shared" si="56"/>
        <v>0</v>
      </c>
      <c r="P51" s="186">
        <f t="shared" si="56"/>
        <v>0</v>
      </c>
      <c r="Q51" s="187">
        <f t="shared" si="56"/>
        <v>0</v>
      </c>
      <c r="R51" s="187">
        <f t="shared" si="56"/>
        <v>0</v>
      </c>
      <c r="S51" s="188">
        <f t="shared" si="56"/>
        <v>0</v>
      </c>
      <c r="T51" s="186">
        <f t="shared" si="56"/>
        <v>0</v>
      </c>
      <c r="U51" s="187">
        <f t="shared" si="56"/>
        <v>0</v>
      </c>
      <c r="V51" s="187">
        <f t="shared" si="56"/>
        <v>0</v>
      </c>
      <c r="W51" s="188">
        <f t="shared" si="56"/>
        <v>0</v>
      </c>
      <c r="X51" s="186">
        <f t="shared" si="57"/>
        <v>0</v>
      </c>
      <c r="Y51" s="187">
        <f t="shared" si="57"/>
        <v>0</v>
      </c>
      <c r="Z51" s="187">
        <f t="shared" si="57"/>
        <v>0</v>
      </c>
      <c r="AA51" s="188">
        <f t="shared" si="57"/>
        <v>0</v>
      </c>
      <c r="AB51" s="186">
        <f t="shared" si="57"/>
        <v>0</v>
      </c>
      <c r="AC51" s="187">
        <f t="shared" si="57"/>
        <v>0</v>
      </c>
      <c r="AD51" s="187">
        <f t="shared" si="57"/>
        <v>0</v>
      </c>
      <c r="AE51" s="188">
        <f t="shared" si="57"/>
        <v>0</v>
      </c>
      <c r="AF51" s="186">
        <f t="shared" si="57"/>
        <v>0</v>
      </c>
      <c r="AG51" s="187">
        <f t="shared" si="57"/>
        <v>0</v>
      </c>
      <c r="AH51" s="187">
        <f t="shared" si="57"/>
        <v>0</v>
      </c>
      <c r="AI51" s="188">
        <f t="shared" si="57"/>
        <v>0</v>
      </c>
      <c r="AJ51" s="186">
        <f t="shared" si="57"/>
        <v>0</v>
      </c>
      <c r="AK51" s="187">
        <f t="shared" si="57"/>
        <v>0</v>
      </c>
      <c r="AL51" s="187">
        <f t="shared" si="57"/>
        <v>0</v>
      </c>
      <c r="AM51" s="188">
        <f t="shared" si="57"/>
        <v>0</v>
      </c>
      <c r="AN51" s="186">
        <f t="shared" si="58"/>
        <v>0</v>
      </c>
      <c r="AO51" s="187">
        <f t="shared" si="58"/>
        <v>0</v>
      </c>
      <c r="AP51" s="187">
        <f t="shared" si="58"/>
        <v>0</v>
      </c>
      <c r="AQ51" s="188">
        <f t="shared" si="58"/>
        <v>0</v>
      </c>
      <c r="AR51" s="186">
        <f t="shared" si="58"/>
        <v>0</v>
      </c>
      <c r="AS51" s="187">
        <f t="shared" si="58"/>
        <v>0</v>
      </c>
      <c r="AT51" s="187">
        <f t="shared" si="58"/>
        <v>0</v>
      </c>
      <c r="AU51" s="188">
        <f t="shared" si="58"/>
        <v>0</v>
      </c>
      <c r="AV51" s="186">
        <f t="shared" si="58"/>
        <v>0</v>
      </c>
      <c r="AW51" s="187">
        <f t="shared" si="58"/>
        <v>0</v>
      </c>
      <c r="AX51" s="187">
        <f t="shared" si="58"/>
        <v>0</v>
      </c>
      <c r="AY51" s="188">
        <f t="shared" si="58"/>
        <v>0</v>
      </c>
      <c r="AZ51" s="186">
        <f t="shared" si="58"/>
        <v>0</v>
      </c>
      <c r="BA51" s="187">
        <f t="shared" si="58"/>
        <v>0</v>
      </c>
      <c r="BB51" s="187">
        <f t="shared" si="58"/>
        <v>0</v>
      </c>
      <c r="BC51" s="188">
        <f t="shared" si="58"/>
        <v>0</v>
      </c>
      <c r="BD51" s="186">
        <f t="shared" si="59"/>
        <v>0</v>
      </c>
      <c r="BE51" s="187">
        <f t="shared" si="59"/>
        <v>0</v>
      </c>
      <c r="BF51" s="187">
        <f t="shared" si="59"/>
        <v>0</v>
      </c>
      <c r="BG51" s="188">
        <f t="shared" si="59"/>
        <v>0</v>
      </c>
      <c r="BH51" s="186">
        <f t="shared" si="59"/>
        <v>0</v>
      </c>
      <c r="BI51" s="187">
        <f t="shared" si="59"/>
        <v>0</v>
      </c>
      <c r="BJ51" s="187">
        <f t="shared" si="59"/>
        <v>0</v>
      </c>
      <c r="BK51" s="188">
        <f t="shared" si="59"/>
        <v>0</v>
      </c>
      <c r="BL51" s="186">
        <f t="shared" si="59"/>
        <v>0</v>
      </c>
      <c r="BM51" s="187">
        <f t="shared" si="59"/>
        <v>0</v>
      </c>
      <c r="BN51" s="187">
        <f t="shared" si="59"/>
        <v>0</v>
      </c>
      <c r="BO51" s="188">
        <f t="shared" si="59"/>
        <v>0</v>
      </c>
      <c r="BP51" s="186">
        <f t="shared" si="59"/>
        <v>0</v>
      </c>
      <c r="BQ51" s="187">
        <f t="shared" si="59"/>
        <v>0</v>
      </c>
      <c r="BR51" s="187">
        <f t="shared" si="59"/>
        <v>0</v>
      </c>
      <c r="BS51" s="188">
        <f t="shared" si="59"/>
        <v>0</v>
      </c>
      <c r="BT51" s="186">
        <f t="shared" si="60"/>
        <v>0</v>
      </c>
      <c r="BU51" s="187">
        <f t="shared" si="60"/>
        <v>0</v>
      </c>
      <c r="BV51" s="187">
        <f t="shared" si="60"/>
        <v>0</v>
      </c>
      <c r="BW51" s="188">
        <f t="shared" si="60"/>
        <v>0</v>
      </c>
      <c r="BX51" s="186">
        <f t="shared" si="60"/>
        <v>0</v>
      </c>
      <c r="BY51" s="187">
        <f t="shared" si="60"/>
        <v>0</v>
      </c>
      <c r="BZ51" s="187">
        <f t="shared" si="60"/>
        <v>0</v>
      </c>
      <c r="CA51" s="188">
        <f t="shared" si="60"/>
        <v>0</v>
      </c>
      <c r="CB51" s="186">
        <f t="shared" si="60"/>
        <v>0</v>
      </c>
      <c r="CC51" s="187">
        <f t="shared" si="60"/>
        <v>0</v>
      </c>
      <c r="CD51" s="187">
        <f t="shared" si="60"/>
        <v>0</v>
      </c>
      <c r="CE51" s="188">
        <f t="shared" si="60"/>
        <v>0</v>
      </c>
      <c r="CF51" s="13"/>
      <c r="CG51" s="13"/>
      <c r="CH51" s="13"/>
      <c r="CI51" s="13"/>
    </row>
    <row r="52" spans="1:87" ht="20.100000000000001" customHeight="1">
      <c r="F52" s="212">
        <v>10</v>
      </c>
      <c r="G52" s="213" t="s">
        <v>16</v>
      </c>
      <c r="H52" s="209">
        <f t="shared" si="56"/>
        <v>0</v>
      </c>
      <c r="I52" s="210">
        <f t="shared" si="56"/>
        <v>0</v>
      </c>
      <c r="J52" s="210">
        <f t="shared" si="56"/>
        <v>0</v>
      </c>
      <c r="K52" s="211">
        <f t="shared" si="56"/>
        <v>0</v>
      </c>
      <c r="L52" s="209">
        <f t="shared" si="56"/>
        <v>0</v>
      </c>
      <c r="M52" s="210">
        <f t="shared" si="56"/>
        <v>0</v>
      </c>
      <c r="N52" s="210">
        <f t="shared" si="56"/>
        <v>0</v>
      </c>
      <c r="O52" s="211">
        <f t="shared" si="56"/>
        <v>0</v>
      </c>
      <c r="P52" s="209">
        <f t="shared" si="56"/>
        <v>0</v>
      </c>
      <c r="Q52" s="210">
        <f t="shared" si="56"/>
        <v>0</v>
      </c>
      <c r="R52" s="210">
        <f t="shared" si="56"/>
        <v>0</v>
      </c>
      <c r="S52" s="211">
        <f t="shared" si="56"/>
        <v>0</v>
      </c>
      <c r="T52" s="209">
        <f t="shared" si="56"/>
        <v>1</v>
      </c>
      <c r="U52" s="210">
        <f t="shared" si="56"/>
        <v>1</v>
      </c>
      <c r="V52" s="210">
        <f t="shared" si="56"/>
        <v>1</v>
      </c>
      <c r="W52" s="211">
        <f t="shared" si="56"/>
        <v>1</v>
      </c>
      <c r="X52" s="209">
        <f t="shared" si="57"/>
        <v>1</v>
      </c>
      <c r="Y52" s="210">
        <f t="shared" si="57"/>
        <v>1</v>
      </c>
      <c r="Z52" s="210">
        <f t="shared" si="57"/>
        <v>1</v>
      </c>
      <c r="AA52" s="211">
        <f t="shared" si="57"/>
        <v>2</v>
      </c>
      <c r="AB52" s="209">
        <f t="shared" si="57"/>
        <v>2</v>
      </c>
      <c r="AC52" s="210">
        <f t="shared" si="57"/>
        <v>3</v>
      </c>
      <c r="AD52" s="210">
        <f t="shared" si="57"/>
        <v>3</v>
      </c>
      <c r="AE52" s="211">
        <f t="shared" si="57"/>
        <v>3</v>
      </c>
      <c r="AF52" s="209">
        <f t="shared" si="57"/>
        <v>3</v>
      </c>
      <c r="AG52" s="210">
        <f t="shared" si="57"/>
        <v>3</v>
      </c>
      <c r="AH52" s="210">
        <f t="shared" si="57"/>
        <v>3</v>
      </c>
      <c r="AI52" s="211">
        <f t="shared" si="57"/>
        <v>3</v>
      </c>
      <c r="AJ52" s="209">
        <f t="shared" si="57"/>
        <v>4</v>
      </c>
      <c r="AK52" s="210">
        <f t="shared" si="57"/>
        <v>4</v>
      </c>
      <c r="AL52" s="210">
        <f t="shared" si="57"/>
        <v>4</v>
      </c>
      <c r="AM52" s="211">
        <f t="shared" si="57"/>
        <v>4</v>
      </c>
      <c r="AN52" s="209">
        <f t="shared" si="58"/>
        <v>3</v>
      </c>
      <c r="AO52" s="210">
        <f t="shared" si="58"/>
        <v>2</v>
      </c>
      <c r="AP52" s="210">
        <f t="shared" si="58"/>
        <v>2</v>
      </c>
      <c r="AQ52" s="211">
        <f t="shared" si="58"/>
        <v>2</v>
      </c>
      <c r="AR52" s="209">
        <f t="shared" si="58"/>
        <v>2</v>
      </c>
      <c r="AS52" s="210">
        <f t="shared" si="58"/>
        <v>2</v>
      </c>
      <c r="AT52" s="210">
        <f t="shared" si="58"/>
        <v>3</v>
      </c>
      <c r="AU52" s="211">
        <f t="shared" si="58"/>
        <v>2</v>
      </c>
      <c r="AV52" s="209">
        <f t="shared" si="58"/>
        <v>2</v>
      </c>
      <c r="AW52" s="210">
        <f t="shared" si="58"/>
        <v>2</v>
      </c>
      <c r="AX52" s="210">
        <f t="shared" si="58"/>
        <v>2</v>
      </c>
      <c r="AY52" s="211">
        <f t="shared" si="58"/>
        <v>2</v>
      </c>
      <c r="AZ52" s="209">
        <f t="shared" si="58"/>
        <v>3</v>
      </c>
      <c r="BA52" s="210">
        <f t="shared" si="58"/>
        <v>2</v>
      </c>
      <c r="BB52" s="210">
        <f t="shared" si="58"/>
        <v>3</v>
      </c>
      <c r="BC52" s="211">
        <f t="shared" si="58"/>
        <v>3</v>
      </c>
      <c r="BD52" s="209">
        <f t="shared" si="59"/>
        <v>3</v>
      </c>
      <c r="BE52" s="210">
        <f t="shared" si="59"/>
        <v>3</v>
      </c>
      <c r="BF52" s="210">
        <f t="shared" si="59"/>
        <v>3</v>
      </c>
      <c r="BG52" s="211">
        <f t="shared" si="59"/>
        <v>3</v>
      </c>
      <c r="BH52" s="209">
        <f t="shared" si="59"/>
        <v>3</v>
      </c>
      <c r="BI52" s="210">
        <f t="shared" si="59"/>
        <v>3</v>
      </c>
      <c r="BJ52" s="210">
        <f t="shared" si="59"/>
        <v>3</v>
      </c>
      <c r="BK52" s="211">
        <f t="shared" si="59"/>
        <v>3</v>
      </c>
      <c r="BL52" s="209">
        <f t="shared" si="59"/>
        <v>3</v>
      </c>
      <c r="BM52" s="210">
        <f t="shared" si="59"/>
        <v>3</v>
      </c>
      <c r="BN52" s="210">
        <f t="shared" si="59"/>
        <v>2</v>
      </c>
      <c r="BO52" s="211">
        <f t="shared" si="59"/>
        <v>2</v>
      </c>
      <c r="BP52" s="209">
        <f t="shared" si="59"/>
        <v>2</v>
      </c>
      <c r="BQ52" s="210">
        <f t="shared" si="59"/>
        <v>2</v>
      </c>
      <c r="BR52" s="210">
        <f t="shared" si="59"/>
        <v>2</v>
      </c>
      <c r="BS52" s="211">
        <f t="shared" si="59"/>
        <v>0</v>
      </c>
      <c r="BT52" s="209">
        <f t="shared" si="60"/>
        <v>0</v>
      </c>
      <c r="BU52" s="210">
        <f t="shared" si="60"/>
        <v>0</v>
      </c>
      <c r="BV52" s="210">
        <f t="shared" si="60"/>
        <v>0</v>
      </c>
      <c r="BW52" s="211">
        <f t="shared" si="60"/>
        <v>0</v>
      </c>
      <c r="BX52" s="209">
        <f t="shared" si="60"/>
        <v>0</v>
      </c>
      <c r="BY52" s="210">
        <f t="shared" si="60"/>
        <v>0</v>
      </c>
      <c r="BZ52" s="210">
        <f t="shared" si="60"/>
        <v>0</v>
      </c>
      <c r="CA52" s="211">
        <f t="shared" si="60"/>
        <v>0</v>
      </c>
      <c r="CB52" s="209">
        <f t="shared" si="60"/>
        <v>0</v>
      </c>
      <c r="CC52" s="210">
        <f t="shared" si="60"/>
        <v>0</v>
      </c>
      <c r="CD52" s="210">
        <f t="shared" si="60"/>
        <v>0</v>
      </c>
      <c r="CE52" s="211">
        <f t="shared" si="60"/>
        <v>0</v>
      </c>
      <c r="CF52" s="13"/>
      <c r="CG52" s="13"/>
      <c r="CH52" s="13"/>
      <c r="CI52" s="13"/>
    </row>
    <row r="53" spans="1:87" ht="20.100000000000001" customHeight="1">
      <c r="F53" s="7">
        <v>12</v>
      </c>
      <c r="G53" s="8" t="s">
        <v>17</v>
      </c>
      <c r="H53" s="189">
        <f t="shared" si="56"/>
        <v>0</v>
      </c>
      <c r="I53" s="190">
        <f t="shared" si="56"/>
        <v>0</v>
      </c>
      <c r="J53" s="190">
        <f t="shared" si="56"/>
        <v>0</v>
      </c>
      <c r="K53" s="191">
        <f t="shared" si="56"/>
        <v>0</v>
      </c>
      <c r="L53" s="189">
        <f t="shared" si="56"/>
        <v>0</v>
      </c>
      <c r="M53" s="190">
        <f t="shared" si="56"/>
        <v>0</v>
      </c>
      <c r="N53" s="190">
        <f t="shared" si="56"/>
        <v>0</v>
      </c>
      <c r="O53" s="191">
        <f t="shared" si="56"/>
        <v>0</v>
      </c>
      <c r="P53" s="189">
        <f t="shared" si="56"/>
        <v>0</v>
      </c>
      <c r="Q53" s="190">
        <f t="shared" si="56"/>
        <v>0</v>
      </c>
      <c r="R53" s="190">
        <f t="shared" si="56"/>
        <v>0</v>
      </c>
      <c r="S53" s="191">
        <f t="shared" si="56"/>
        <v>0</v>
      </c>
      <c r="T53" s="189">
        <f t="shared" si="56"/>
        <v>1</v>
      </c>
      <c r="U53" s="190">
        <f t="shared" si="56"/>
        <v>1</v>
      </c>
      <c r="V53" s="190">
        <f t="shared" si="56"/>
        <v>1</v>
      </c>
      <c r="W53" s="191">
        <f t="shared" si="56"/>
        <v>1</v>
      </c>
      <c r="X53" s="189">
        <f t="shared" si="57"/>
        <v>1</v>
      </c>
      <c r="Y53" s="190">
        <f t="shared" si="57"/>
        <v>1</v>
      </c>
      <c r="Z53" s="190">
        <f t="shared" si="57"/>
        <v>1</v>
      </c>
      <c r="AA53" s="191">
        <f t="shared" si="57"/>
        <v>1</v>
      </c>
      <c r="AB53" s="189">
        <f t="shared" si="57"/>
        <v>1</v>
      </c>
      <c r="AC53" s="190">
        <f t="shared" si="57"/>
        <v>1</v>
      </c>
      <c r="AD53" s="190">
        <f t="shared" si="57"/>
        <v>1</v>
      </c>
      <c r="AE53" s="191">
        <f t="shared" si="57"/>
        <v>1</v>
      </c>
      <c r="AF53" s="189">
        <f t="shared" si="57"/>
        <v>1</v>
      </c>
      <c r="AG53" s="190">
        <f t="shared" si="57"/>
        <v>1</v>
      </c>
      <c r="AH53" s="190">
        <f t="shared" si="57"/>
        <v>1</v>
      </c>
      <c r="AI53" s="191">
        <f t="shared" si="57"/>
        <v>1</v>
      </c>
      <c r="AJ53" s="189">
        <f t="shared" si="57"/>
        <v>1</v>
      </c>
      <c r="AK53" s="190">
        <f t="shared" si="57"/>
        <v>1</v>
      </c>
      <c r="AL53" s="190">
        <f t="shared" si="57"/>
        <v>1</v>
      </c>
      <c r="AM53" s="191">
        <f t="shared" si="57"/>
        <v>1</v>
      </c>
      <c r="AN53" s="189">
        <f t="shared" si="58"/>
        <v>1</v>
      </c>
      <c r="AO53" s="190">
        <f t="shared" si="58"/>
        <v>1</v>
      </c>
      <c r="AP53" s="190">
        <f t="shared" si="58"/>
        <v>1</v>
      </c>
      <c r="AQ53" s="191">
        <f t="shared" si="58"/>
        <v>1</v>
      </c>
      <c r="AR53" s="189">
        <f t="shared" si="58"/>
        <v>0</v>
      </c>
      <c r="AS53" s="190">
        <f t="shared" si="58"/>
        <v>0</v>
      </c>
      <c r="AT53" s="190">
        <f t="shared" si="58"/>
        <v>0</v>
      </c>
      <c r="AU53" s="191">
        <f t="shared" si="58"/>
        <v>0</v>
      </c>
      <c r="AV53" s="189">
        <f t="shared" si="58"/>
        <v>0</v>
      </c>
      <c r="AW53" s="190">
        <f t="shared" si="58"/>
        <v>0</v>
      </c>
      <c r="AX53" s="190">
        <f t="shared" si="58"/>
        <v>0</v>
      </c>
      <c r="AY53" s="191">
        <f t="shared" si="58"/>
        <v>0</v>
      </c>
      <c r="AZ53" s="189">
        <f t="shared" si="58"/>
        <v>0</v>
      </c>
      <c r="BA53" s="190">
        <f t="shared" si="58"/>
        <v>0</v>
      </c>
      <c r="BB53" s="190">
        <f t="shared" si="58"/>
        <v>0</v>
      </c>
      <c r="BC53" s="191">
        <f t="shared" si="58"/>
        <v>0</v>
      </c>
      <c r="BD53" s="189">
        <f t="shared" si="59"/>
        <v>0</v>
      </c>
      <c r="BE53" s="190">
        <f t="shared" si="59"/>
        <v>0</v>
      </c>
      <c r="BF53" s="190">
        <f t="shared" si="59"/>
        <v>0</v>
      </c>
      <c r="BG53" s="191">
        <f t="shared" si="59"/>
        <v>0</v>
      </c>
      <c r="BH53" s="189">
        <f t="shared" si="59"/>
        <v>0</v>
      </c>
      <c r="BI53" s="190">
        <f t="shared" si="59"/>
        <v>0</v>
      </c>
      <c r="BJ53" s="190">
        <f t="shared" si="59"/>
        <v>0</v>
      </c>
      <c r="BK53" s="191">
        <f t="shared" si="59"/>
        <v>0</v>
      </c>
      <c r="BL53" s="189">
        <f t="shared" si="59"/>
        <v>0</v>
      </c>
      <c r="BM53" s="190">
        <f t="shared" si="59"/>
        <v>0</v>
      </c>
      <c r="BN53" s="190">
        <f t="shared" si="59"/>
        <v>0</v>
      </c>
      <c r="BO53" s="191">
        <f t="shared" si="59"/>
        <v>0</v>
      </c>
      <c r="BP53" s="189">
        <f t="shared" si="59"/>
        <v>0</v>
      </c>
      <c r="BQ53" s="190">
        <f t="shared" si="59"/>
        <v>0</v>
      </c>
      <c r="BR53" s="190">
        <f t="shared" si="59"/>
        <v>0</v>
      </c>
      <c r="BS53" s="191">
        <f t="shared" si="59"/>
        <v>0</v>
      </c>
      <c r="BT53" s="189">
        <f t="shared" si="60"/>
        <v>0</v>
      </c>
      <c r="BU53" s="190">
        <f t="shared" si="60"/>
        <v>0</v>
      </c>
      <c r="BV53" s="190">
        <f t="shared" si="60"/>
        <v>0</v>
      </c>
      <c r="BW53" s="191">
        <f t="shared" si="60"/>
        <v>0</v>
      </c>
      <c r="BX53" s="189">
        <f t="shared" si="60"/>
        <v>0</v>
      </c>
      <c r="BY53" s="190">
        <f t="shared" si="60"/>
        <v>0</v>
      </c>
      <c r="BZ53" s="190">
        <f t="shared" si="60"/>
        <v>0</v>
      </c>
      <c r="CA53" s="191">
        <f t="shared" si="60"/>
        <v>0</v>
      </c>
      <c r="CB53" s="189">
        <f t="shared" si="60"/>
        <v>0</v>
      </c>
      <c r="CC53" s="190">
        <f t="shared" si="60"/>
        <v>0</v>
      </c>
      <c r="CD53" s="190">
        <f t="shared" si="60"/>
        <v>0</v>
      </c>
      <c r="CE53" s="191">
        <f t="shared" si="60"/>
        <v>0</v>
      </c>
      <c r="CF53" s="13"/>
      <c r="CG53" s="13"/>
      <c r="CH53" s="13"/>
      <c r="CI53" s="13"/>
    </row>
    <row r="54" spans="1:87" ht="20.100000000000001" customHeight="1">
      <c r="F54" s="155">
        <v>13</v>
      </c>
      <c r="G54" s="156" t="s">
        <v>83</v>
      </c>
      <c r="H54" s="192">
        <f t="shared" si="56"/>
        <v>0</v>
      </c>
      <c r="I54" s="193">
        <f t="shared" si="56"/>
        <v>0</v>
      </c>
      <c r="J54" s="193">
        <f t="shared" si="56"/>
        <v>0</v>
      </c>
      <c r="K54" s="194">
        <f t="shared" si="56"/>
        <v>0</v>
      </c>
      <c r="L54" s="192">
        <f t="shared" si="56"/>
        <v>0</v>
      </c>
      <c r="M54" s="193">
        <f t="shared" si="56"/>
        <v>0</v>
      </c>
      <c r="N54" s="193">
        <f t="shared" si="56"/>
        <v>0</v>
      </c>
      <c r="O54" s="194">
        <f t="shared" si="56"/>
        <v>0</v>
      </c>
      <c r="P54" s="192">
        <f t="shared" si="56"/>
        <v>0</v>
      </c>
      <c r="Q54" s="193">
        <f t="shared" si="56"/>
        <v>0</v>
      </c>
      <c r="R54" s="193">
        <f t="shared" si="56"/>
        <v>0</v>
      </c>
      <c r="S54" s="194">
        <f t="shared" si="56"/>
        <v>0</v>
      </c>
      <c r="T54" s="192">
        <f t="shared" si="56"/>
        <v>0</v>
      </c>
      <c r="U54" s="193">
        <f t="shared" si="56"/>
        <v>0</v>
      </c>
      <c r="V54" s="193">
        <f t="shared" si="56"/>
        <v>0</v>
      </c>
      <c r="W54" s="194">
        <f t="shared" si="56"/>
        <v>0</v>
      </c>
      <c r="X54" s="192">
        <f t="shared" si="57"/>
        <v>0</v>
      </c>
      <c r="Y54" s="193">
        <f t="shared" si="57"/>
        <v>0</v>
      </c>
      <c r="Z54" s="193">
        <f t="shared" si="57"/>
        <v>0</v>
      </c>
      <c r="AA54" s="194">
        <f t="shared" si="57"/>
        <v>0</v>
      </c>
      <c r="AB54" s="192">
        <f t="shared" si="57"/>
        <v>0</v>
      </c>
      <c r="AC54" s="193">
        <f t="shared" si="57"/>
        <v>0</v>
      </c>
      <c r="AD54" s="193">
        <f t="shared" si="57"/>
        <v>0</v>
      </c>
      <c r="AE54" s="194">
        <f t="shared" si="57"/>
        <v>0</v>
      </c>
      <c r="AF54" s="192">
        <f t="shared" si="57"/>
        <v>0</v>
      </c>
      <c r="AG54" s="193">
        <f t="shared" si="57"/>
        <v>0</v>
      </c>
      <c r="AH54" s="193">
        <f t="shared" si="57"/>
        <v>0</v>
      </c>
      <c r="AI54" s="194">
        <f t="shared" si="57"/>
        <v>0</v>
      </c>
      <c r="AJ54" s="192">
        <f t="shared" si="57"/>
        <v>0</v>
      </c>
      <c r="AK54" s="193">
        <f t="shared" si="57"/>
        <v>0</v>
      </c>
      <c r="AL54" s="193">
        <f t="shared" si="57"/>
        <v>0</v>
      </c>
      <c r="AM54" s="194">
        <f t="shared" si="57"/>
        <v>0</v>
      </c>
      <c r="AN54" s="192">
        <f t="shared" si="58"/>
        <v>0</v>
      </c>
      <c r="AO54" s="193">
        <f t="shared" si="58"/>
        <v>0</v>
      </c>
      <c r="AP54" s="193">
        <f t="shared" si="58"/>
        <v>0</v>
      </c>
      <c r="AQ54" s="194">
        <f t="shared" si="58"/>
        <v>0</v>
      </c>
      <c r="AR54" s="192">
        <f t="shared" si="58"/>
        <v>0</v>
      </c>
      <c r="AS54" s="193">
        <f t="shared" si="58"/>
        <v>0</v>
      </c>
      <c r="AT54" s="193">
        <f t="shared" si="58"/>
        <v>0</v>
      </c>
      <c r="AU54" s="194">
        <f t="shared" si="58"/>
        <v>0</v>
      </c>
      <c r="AV54" s="192">
        <f t="shared" si="58"/>
        <v>0</v>
      </c>
      <c r="AW54" s="193">
        <f t="shared" si="58"/>
        <v>0</v>
      </c>
      <c r="AX54" s="193">
        <f t="shared" si="58"/>
        <v>0</v>
      </c>
      <c r="AY54" s="194">
        <f t="shared" si="58"/>
        <v>0</v>
      </c>
      <c r="AZ54" s="192">
        <f t="shared" si="58"/>
        <v>0</v>
      </c>
      <c r="BA54" s="193">
        <f t="shared" si="58"/>
        <v>0</v>
      </c>
      <c r="BB54" s="193">
        <f t="shared" si="58"/>
        <v>0</v>
      </c>
      <c r="BC54" s="194">
        <f t="shared" si="58"/>
        <v>0</v>
      </c>
      <c r="BD54" s="192">
        <f t="shared" si="59"/>
        <v>0</v>
      </c>
      <c r="BE54" s="193">
        <f t="shared" si="59"/>
        <v>0</v>
      </c>
      <c r="BF54" s="193">
        <f t="shared" si="59"/>
        <v>0</v>
      </c>
      <c r="BG54" s="194">
        <f t="shared" si="59"/>
        <v>0</v>
      </c>
      <c r="BH54" s="192">
        <f t="shared" si="59"/>
        <v>0</v>
      </c>
      <c r="BI54" s="193">
        <f t="shared" si="59"/>
        <v>0</v>
      </c>
      <c r="BJ54" s="193">
        <f t="shared" si="59"/>
        <v>0</v>
      </c>
      <c r="BK54" s="194">
        <f t="shared" si="59"/>
        <v>0</v>
      </c>
      <c r="BL54" s="192">
        <f t="shared" si="59"/>
        <v>0</v>
      </c>
      <c r="BM54" s="193">
        <f t="shared" si="59"/>
        <v>0</v>
      </c>
      <c r="BN54" s="193">
        <f t="shared" si="59"/>
        <v>0</v>
      </c>
      <c r="BO54" s="194">
        <f t="shared" si="59"/>
        <v>0</v>
      </c>
      <c r="BP54" s="192">
        <f t="shared" si="59"/>
        <v>0</v>
      </c>
      <c r="BQ54" s="193">
        <f t="shared" si="59"/>
        <v>0</v>
      </c>
      <c r="BR54" s="193">
        <f t="shared" si="59"/>
        <v>0</v>
      </c>
      <c r="BS54" s="194">
        <f t="shared" si="59"/>
        <v>0</v>
      </c>
      <c r="BT54" s="192">
        <f t="shared" si="60"/>
        <v>0</v>
      </c>
      <c r="BU54" s="193">
        <f t="shared" si="60"/>
        <v>0</v>
      </c>
      <c r="BV54" s="193">
        <f t="shared" si="60"/>
        <v>0</v>
      </c>
      <c r="BW54" s="194">
        <f t="shared" si="60"/>
        <v>0</v>
      </c>
      <c r="BX54" s="192">
        <f t="shared" si="60"/>
        <v>0</v>
      </c>
      <c r="BY54" s="193">
        <f t="shared" si="60"/>
        <v>0</v>
      </c>
      <c r="BZ54" s="193">
        <f t="shared" si="60"/>
        <v>0</v>
      </c>
      <c r="CA54" s="194">
        <f t="shared" si="60"/>
        <v>0</v>
      </c>
      <c r="CB54" s="192">
        <f t="shared" si="60"/>
        <v>0</v>
      </c>
      <c r="CC54" s="193">
        <f t="shared" si="60"/>
        <v>0</v>
      </c>
      <c r="CD54" s="193">
        <f t="shared" si="60"/>
        <v>0</v>
      </c>
      <c r="CE54" s="194">
        <f t="shared" si="60"/>
        <v>0</v>
      </c>
      <c r="CF54" s="13"/>
      <c r="CG54" s="13"/>
      <c r="CH54" s="13"/>
      <c r="CI54" s="13"/>
    </row>
    <row r="55" spans="1:87" ht="41.25" customHeight="1">
      <c r="A55" s="22"/>
      <c r="B55" s="22"/>
      <c r="C55" s="22"/>
      <c r="D55" s="22"/>
      <c r="E55" s="22"/>
      <c r="F55" s="152"/>
      <c r="G55" s="151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  <c r="BA55" s="173"/>
      <c r="BB55" s="173"/>
      <c r="BC55" s="173"/>
      <c r="BD55" s="173"/>
      <c r="BE55" s="173"/>
      <c r="BF55" s="173"/>
      <c r="BG55" s="173"/>
      <c r="BH55" s="173"/>
      <c r="BI55" s="173"/>
      <c r="BJ55" s="173"/>
      <c r="BK55" s="173"/>
      <c r="BL55" s="173"/>
      <c r="BM55" s="173"/>
      <c r="BN55" s="173"/>
      <c r="BO55" s="173"/>
      <c r="BP55" s="173"/>
      <c r="BQ55" s="173"/>
      <c r="BR55" s="173"/>
      <c r="BS55" s="173"/>
      <c r="BT55" s="173"/>
      <c r="BU55" s="173"/>
      <c r="BV55" s="173"/>
      <c r="BW55" s="173"/>
      <c r="BX55" s="173"/>
      <c r="BY55" s="173"/>
      <c r="BZ55" s="173"/>
      <c r="CA55" s="173"/>
      <c r="CB55" s="173"/>
      <c r="CC55" s="173"/>
      <c r="CD55" s="173"/>
      <c r="CE55" s="173"/>
    </row>
    <row r="56" spans="1:87" ht="20.100000000000001" customHeight="1">
      <c r="A56" s="22"/>
      <c r="B56" s="22"/>
      <c r="C56" s="22"/>
      <c r="D56" s="22"/>
      <c r="E56" s="22"/>
      <c r="F56" s="152"/>
      <c r="G56" s="151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  <c r="BA56" s="173"/>
      <c r="BB56" s="173"/>
      <c r="BC56" s="173"/>
      <c r="BD56" s="173"/>
      <c r="BE56" s="173"/>
      <c r="BF56" s="173"/>
      <c r="BG56" s="173"/>
      <c r="BH56" s="173"/>
      <c r="BI56" s="173"/>
      <c r="BJ56" s="173"/>
      <c r="BK56" s="173"/>
      <c r="BL56" s="173"/>
      <c r="BM56" s="173"/>
      <c r="BN56" s="173"/>
      <c r="BO56" s="173"/>
      <c r="BP56" s="173"/>
      <c r="BQ56" s="173"/>
      <c r="BR56" s="173"/>
      <c r="BS56" s="173"/>
      <c r="BT56" s="173"/>
      <c r="BU56" s="173"/>
      <c r="BV56" s="173"/>
      <c r="BW56" s="173"/>
      <c r="BX56" s="173"/>
      <c r="BY56" s="173"/>
      <c r="BZ56" s="173"/>
      <c r="CA56" s="173"/>
      <c r="CB56" s="173"/>
      <c r="CC56" s="173"/>
      <c r="CD56" s="173"/>
      <c r="CE56" s="173"/>
    </row>
    <row r="57" spans="1:87" ht="20.100000000000001" customHeight="1">
      <c r="A57" s="22"/>
      <c r="B57" s="22"/>
      <c r="C57" s="22"/>
      <c r="D57" s="22"/>
      <c r="E57" s="22"/>
      <c r="F57" s="152"/>
      <c r="G57" s="151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  <c r="BA57" s="173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3"/>
      <c r="BX57" s="173"/>
      <c r="BY57" s="173"/>
      <c r="BZ57" s="173"/>
      <c r="CA57" s="173"/>
      <c r="CB57" s="173"/>
      <c r="CC57" s="173"/>
      <c r="CD57" s="173"/>
      <c r="CE57" s="173"/>
    </row>
    <row r="58" spans="1:87" ht="20.100000000000001" customHeight="1">
      <c r="A58" s="22"/>
      <c r="B58" s="22"/>
      <c r="C58" s="22"/>
      <c r="D58" s="22"/>
      <c r="E58" s="22"/>
      <c r="F58" s="152"/>
      <c r="G58" s="151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 s="173"/>
      <c r="BO58" s="173"/>
      <c r="BP58" s="173"/>
      <c r="BQ58" s="173"/>
      <c r="BR58" s="173"/>
      <c r="BS58" s="173"/>
      <c r="BT58" s="173"/>
      <c r="BU58" s="173"/>
      <c r="BV58" s="173"/>
      <c r="BW58" s="173"/>
      <c r="BX58" s="173"/>
      <c r="BY58" s="173"/>
      <c r="BZ58" s="173"/>
      <c r="CA58" s="173"/>
      <c r="CB58" s="173"/>
      <c r="CC58" s="173"/>
      <c r="CD58" s="173"/>
      <c r="CE58" s="173"/>
    </row>
    <row r="59" spans="1:87" ht="20.100000000000001" customHeight="1">
      <c r="F59" s="152"/>
      <c r="G59" s="151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 s="173"/>
      <c r="BO59" s="173"/>
      <c r="BP59" s="173"/>
      <c r="BQ59" s="173"/>
      <c r="BR59" s="173"/>
      <c r="BS59" s="173"/>
      <c r="BT59" s="173"/>
      <c r="BU59" s="173"/>
      <c r="BV59" s="173"/>
      <c r="BW59" s="173"/>
      <c r="BX59" s="173"/>
      <c r="BY59" s="173"/>
      <c r="BZ59" s="173"/>
      <c r="CA59" s="173"/>
      <c r="CB59" s="173"/>
      <c r="CC59" s="173"/>
      <c r="CD59" s="173"/>
      <c r="CE59" s="173"/>
    </row>
    <row r="60" spans="1:87" ht="20.100000000000001" customHeight="1">
      <c r="F60" s="152"/>
      <c r="G60" s="151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  <c r="BA60" s="173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 s="173"/>
      <c r="BO60" s="173"/>
      <c r="BP60" s="173"/>
      <c r="BQ60" s="173"/>
      <c r="BR60" s="173"/>
      <c r="BS60" s="173"/>
      <c r="BT60" s="173"/>
      <c r="BU60" s="173"/>
      <c r="BV60" s="173"/>
      <c r="BW60" s="173"/>
      <c r="BX60" s="173"/>
      <c r="BY60" s="173"/>
      <c r="BZ60" s="173"/>
      <c r="CA60" s="173"/>
      <c r="CB60" s="173"/>
      <c r="CC60" s="173"/>
      <c r="CD60" s="173"/>
      <c r="CE60" s="173"/>
    </row>
    <row r="61" spans="1:87" ht="20.100000000000001" customHeight="1">
      <c r="F61" s="152"/>
      <c r="G61" s="151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  <c r="BA61" s="173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3"/>
      <c r="BX61" s="173"/>
      <c r="BY61" s="173"/>
      <c r="BZ61" s="173"/>
      <c r="CA61" s="173"/>
      <c r="CB61" s="173"/>
      <c r="CC61" s="173"/>
      <c r="CD61" s="173"/>
      <c r="CE61" s="173"/>
    </row>
    <row r="62" spans="1:87" ht="20.100000000000001" customHeight="1">
      <c r="F62" s="152"/>
      <c r="G62" s="151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  <c r="BA62" s="173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 s="173"/>
      <c r="BO62" s="173"/>
      <c r="BP62" s="173"/>
      <c r="BQ62" s="173"/>
      <c r="BR62" s="173"/>
      <c r="BS62" s="173"/>
      <c r="BT62" s="173"/>
      <c r="BU62" s="173"/>
      <c r="BV62" s="173"/>
      <c r="BW62" s="173"/>
      <c r="BX62" s="173"/>
      <c r="BY62" s="173"/>
      <c r="BZ62" s="173"/>
      <c r="CA62" s="173"/>
      <c r="CB62" s="173"/>
      <c r="CC62" s="173"/>
      <c r="CD62" s="173"/>
      <c r="CE62" s="173"/>
    </row>
    <row r="63" spans="1:87" ht="20.100000000000001" customHeight="1">
      <c r="F63" s="152"/>
      <c r="G63" s="151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  <c r="BA63" s="17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 s="173"/>
      <c r="BO63" s="173"/>
      <c r="BP63" s="173"/>
      <c r="BQ63" s="173"/>
      <c r="BR63" s="173"/>
      <c r="BS63" s="173"/>
      <c r="BT63" s="173"/>
      <c r="BU63" s="173"/>
      <c r="BV63" s="173"/>
      <c r="BW63" s="173"/>
      <c r="BX63" s="173"/>
      <c r="BY63" s="173"/>
      <c r="BZ63" s="173"/>
      <c r="CA63" s="173"/>
      <c r="CB63" s="173"/>
      <c r="CC63" s="173"/>
      <c r="CD63" s="173"/>
      <c r="CE63" s="173"/>
    </row>
    <row r="64" spans="1:87" ht="20.100000000000001" customHeight="1">
      <c r="F64" s="152"/>
      <c r="G64" s="151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  <c r="BU64" s="173"/>
      <c r="BV64" s="173"/>
      <c r="BW64" s="173"/>
      <c r="BX64" s="173"/>
      <c r="BY64" s="173"/>
      <c r="BZ64" s="173"/>
      <c r="CA64" s="173"/>
      <c r="CB64" s="173"/>
      <c r="CC64" s="173"/>
      <c r="CD64" s="173"/>
      <c r="CE64" s="173"/>
    </row>
    <row r="65" spans="1:84" ht="20.100000000000001" customHeight="1">
      <c r="F65" s="152"/>
      <c r="G65" s="151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 s="173"/>
      <c r="BO65" s="173"/>
      <c r="BP65" s="173"/>
      <c r="BQ65" s="173"/>
      <c r="BR65" s="173"/>
      <c r="BS65" s="173"/>
      <c r="BT65" s="173"/>
      <c r="BU65" s="173"/>
      <c r="BV65" s="173"/>
      <c r="BW65" s="173"/>
      <c r="BX65" s="173"/>
      <c r="BY65" s="173"/>
      <c r="BZ65" s="173"/>
      <c r="CA65" s="173"/>
      <c r="CB65" s="173"/>
      <c r="CC65" s="173"/>
      <c r="CD65" s="173"/>
      <c r="CE65" s="173"/>
    </row>
    <row r="66" spans="1:84" ht="20.100000000000001" customHeight="1">
      <c r="F66" s="152"/>
      <c r="G66" s="151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  <c r="BA66" s="173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 s="173"/>
      <c r="BO66" s="173"/>
      <c r="BP66" s="173"/>
      <c r="BQ66" s="173"/>
      <c r="BR66" s="173"/>
      <c r="BS66" s="173"/>
      <c r="BT66" s="173"/>
      <c r="BU66" s="173"/>
      <c r="BV66" s="173"/>
      <c r="BW66" s="173"/>
      <c r="BX66" s="173"/>
      <c r="BY66" s="173"/>
      <c r="BZ66" s="173"/>
      <c r="CA66" s="173"/>
      <c r="CB66" s="173"/>
      <c r="CC66" s="173"/>
      <c r="CD66" s="173"/>
      <c r="CE66" s="173"/>
    </row>
    <row r="67" spans="1:84" s="154" customFormat="1" ht="30" hidden="1" customHeight="1">
      <c r="A67" s="153"/>
      <c r="B67" s="153"/>
      <c r="C67" s="153"/>
      <c r="D67" s="153"/>
      <c r="E67" s="153"/>
      <c r="F67" s="355" t="s">
        <v>25</v>
      </c>
      <c r="G67" s="290" t="s">
        <v>35</v>
      </c>
      <c r="H67" s="302">
        <f t="shared" ref="H67:BS67" si="61">H5/$CF$5*100</f>
        <v>0</v>
      </c>
      <c r="I67" s="302">
        <f t="shared" si="61"/>
        <v>0</v>
      </c>
      <c r="J67" s="302">
        <f t="shared" si="61"/>
        <v>0</v>
      </c>
      <c r="K67" s="303">
        <f t="shared" si="61"/>
        <v>0</v>
      </c>
      <c r="L67" s="304">
        <f t="shared" si="61"/>
        <v>0</v>
      </c>
      <c r="M67" s="302">
        <f t="shared" si="61"/>
        <v>0</v>
      </c>
      <c r="N67" s="302">
        <f t="shared" si="61"/>
        <v>0</v>
      </c>
      <c r="O67" s="303">
        <f t="shared" si="61"/>
        <v>0</v>
      </c>
      <c r="P67" s="304">
        <f t="shared" si="61"/>
        <v>0</v>
      </c>
      <c r="Q67" s="302">
        <f t="shared" si="61"/>
        <v>0</v>
      </c>
      <c r="R67" s="302">
        <f t="shared" si="61"/>
        <v>0</v>
      </c>
      <c r="S67" s="303">
        <f t="shared" si="61"/>
        <v>0</v>
      </c>
      <c r="T67" s="304">
        <f t="shared" si="61"/>
        <v>1.3422818791946309</v>
      </c>
      <c r="U67" s="302">
        <f t="shared" si="61"/>
        <v>1.3422818791946309</v>
      </c>
      <c r="V67" s="302">
        <f t="shared" si="61"/>
        <v>1.3422818791946309</v>
      </c>
      <c r="W67" s="303">
        <f t="shared" si="61"/>
        <v>1.3422818791946309</v>
      </c>
      <c r="X67" s="304">
        <f t="shared" si="61"/>
        <v>1.3422818791946309</v>
      </c>
      <c r="Y67" s="302">
        <f t="shared" si="61"/>
        <v>1.3422818791946309</v>
      </c>
      <c r="Z67" s="302">
        <f t="shared" si="61"/>
        <v>1.3422818791946309</v>
      </c>
      <c r="AA67" s="303">
        <f t="shared" si="61"/>
        <v>2.0134228187919461</v>
      </c>
      <c r="AB67" s="304">
        <f t="shared" si="61"/>
        <v>2.0134228187919461</v>
      </c>
      <c r="AC67" s="302">
        <f t="shared" si="61"/>
        <v>2.6845637583892619</v>
      </c>
      <c r="AD67" s="302">
        <f t="shared" si="61"/>
        <v>2.6845637583892619</v>
      </c>
      <c r="AE67" s="303">
        <f t="shared" si="61"/>
        <v>2.6845637583892619</v>
      </c>
      <c r="AF67" s="304">
        <f t="shared" si="61"/>
        <v>2.6845637583892619</v>
      </c>
      <c r="AG67" s="302">
        <f t="shared" si="61"/>
        <v>2.6845637583892619</v>
      </c>
      <c r="AH67" s="302">
        <f t="shared" si="61"/>
        <v>2.6845637583892619</v>
      </c>
      <c r="AI67" s="303">
        <f t="shared" si="61"/>
        <v>2.6845637583892619</v>
      </c>
      <c r="AJ67" s="304">
        <f t="shared" si="61"/>
        <v>3.3557046979865772</v>
      </c>
      <c r="AK67" s="302">
        <f t="shared" si="61"/>
        <v>3.3557046979865772</v>
      </c>
      <c r="AL67" s="302">
        <f t="shared" si="61"/>
        <v>3.3557046979865772</v>
      </c>
      <c r="AM67" s="303">
        <f t="shared" si="61"/>
        <v>3.3557046979865772</v>
      </c>
      <c r="AN67" s="304">
        <f t="shared" si="61"/>
        <v>2.6845637583892619</v>
      </c>
      <c r="AO67" s="302">
        <f t="shared" si="61"/>
        <v>2.0134228187919461</v>
      </c>
      <c r="AP67" s="302">
        <f t="shared" si="61"/>
        <v>2.0134228187919461</v>
      </c>
      <c r="AQ67" s="303">
        <f t="shared" si="61"/>
        <v>2.0134228187919461</v>
      </c>
      <c r="AR67" s="304">
        <f t="shared" si="61"/>
        <v>1.3422818791946309</v>
      </c>
      <c r="AS67" s="302">
        <f t="shared" si="61"/>
        <v>1.3422818791946309</v>
      </c>
      <c r="AT67" s="302">
        <f t="shared" si="61"/>
        <v>2.0134228187919461</v>
      </c>
      <c r="AU67" s="303">
        <f t="shared" si="61"/>
        <v>1.3422818791946309</v>
      </c>
      <c r="AV67" s="304">
        <f t="shared" si="61"/>
        <v>1.3422818791946309</v>
      </c>
      <c r="AW67" s="302">
        <f t="shared" si="61"/>
        <v>1.3422818791946309</v>
      </c>
      <c r="AX67" s="302">
        <f t="shared" si="61"/>
        <v>1.3422818791946309</v>
      </c>
      <c r="AY67" s="303">
        <f t="shared" si="61"/>
        <v>1.3422818791946309</v>
      </c>
      <c r="AZ67" s="304">
        <f t="shared" si="61"/>
        <v>2.0134228187919461</v>
      </c>
      <c r="BA67" s="302">
        <f t="shared" si="61"/>
        <v>1.3422818791946309</v>
      </c>
      <c r="BB67" s="302">
        <f t="shared" si="61"/>
        <v>2.0134228187919461</v>
      </c>
      <c r="BC67" s="303">
        <f t="shared" si="61"/>
        <v>2.0134228187919461</v>
      </c>
      <c r="BD67" s="304">
        <f t="shared" si="61"/>
        <v>2.0134228187919461</v>
      </c>
      <c r="BE67" s="302">
        <f t="shared" si="61"/>
        <v>2.0134228187919461</v>
      </c>
      <c r="BF67" s="302">
        <f t="shared" si="61"/>
        <v>2.0134228187919461</v>
      </c>
      <c r="BG67" s="303">
        <f t="shared" si="61"/>
        <v>2.0134228187919461</v>
      </c>
      <c r="BH67" s="304">
        <f t="shared" si="61"/>
        <v>2.0134228187919461</v>
      </c>
      <c r="BI67" s="302">
        <f t="shared" si="61"/>
        <v>2.0134228187919461</v>
      </c>
      <c r="BJ67" s="302">
        <f t="shared" si="61"/>
        <v>2.0134228187919461</v>
      </c>
      <c r="BK67" s="303">
        <f t="shared" si="61"/>
        <v>2.0134228187919461</v>
      </c>
      <c r="BL67" s="304">
        <f t="shared" si="61"/>
        <v>2.0134228187919461</v>
      </c>
      <c r="BM67" s="302">
        <f t="shared" si="61"/>
        <v>2.0134228187919461</v>
      </c>
      <c r="BN67" s="302">
        <f t="shared" si="61"/>
        <v>1.3422818791946309</v>
      </c>
      <c r="BO67" s="303">
        <f t="shared" si="61"/>
        <v>1.3422818791946309</v>
      </c>
      <c r="BP67" s="304">
        <f t="shared" si="61"/>
        <v>1.3422818791946309</v>
      </c>
      <c r="BQ67" s="302">
        <f t="shared" si="61"/>
        <v>1.3422818791946309</v>
      </c>
      <c r="BR67" s="302">
        <f t="shared" si="61"/>
        <v>1.3422818791946309</v>
      </c>
      <c r="BS67" s="303">
        <f t="shared" si="61"/>
        <v>0</v>
      </c>
      <c r="BT67" s="304">
        <f t="shared" ref="BT67:CE67" si="62">BT5/$CF$5*100</f>
        <v>0</v>
      </c>
      <c r="BU67" s="302">
        <f t="shared" si="62"/>
        <v>0</v>
      </c>
      <c r="BV67" s="302">
        <f t="shared" si="62"/>
        <v>0</v>
      </c>
      <c r="BW67" s="303">
        <f t="shared" si="62"/>
        <v>0</v>
      </c>
      <c r="BX67" s="304">
        <f t="shared" si="62"/>
        <v>0</v>
      </c>
      <c r="BY67" s="302">
        <f t="shared" si="62"/>
        <v>0</v>
      </c>
      <c r="BZ67" s="302">
        <f t="shared" si="62"/>
        <v>0</v>
      </c>
      <c r="CA67" s="303">
        <f t="shared" si="62"/>
        <v>0</v>
      </c>
      <c r="CB67" s="304">
        <f t="shared" si="62"/>
        <v>0</v>
      </c>
      <c r="CC67" s="302">
        <f t="shared" si="62"/>
        <v>0</v>
      </c>
      <c r="CD67" s="302">
        <f t="shared" si="62"/>
        <v>0</v>
      </c>
      <c r="CE67" s="303">
        <f t="shared" si="62"/>
        <v>0</v>
      </c>
      <c r="CF67" s="13"/>
    </row>
    <row r="68" spans="1:84" s="154" customFormat="1" ht="30" hidden="1" customHeight="1">
      <c r="A68" s="153"/>
      <c r="B68" s="153"/>
      <c r="C68" s="153"/>
      <c r="D68" s="153"/>
      <c r="E68" s="153"/>
      <c r="F68" s="356"/>
      <c r="G68" s="291" t="s">
        <v>34</v>
      </c>
      <c r="H68" s="302"/>
      <c r="I68" s="302"/>
      <c r="J68" s="302"/>
      <c r="K68" s="303"/>
      <c r="L68" s="304"/>
      <c r="M68" s="302"/>
      <c r="N68" s="302"/>
      <c r="O68" s="303"/>
      <c r="P68" s="304" t="str">
        <f>+VL!$Q5</f>
        <v/>
      </c>
      <c r="Q68" s="302" t="str">
        <f>+VL!$Q6</f>
        <v/>
      </c>
      <c r="R68" s="302" t="str">
        <f>+VL!$Q7</f>
        <v/>
      </c>
      <c r="S68" s="303" t="str">
        <f>+VL!$Q8</f>
        <v/>
      </c>
      <c r="T68" s="304" t="str">
        <f>+VL!$Q9</f>
        <v/>
      </c>
      <c r="U68" s="302" t="str">
        <f>+VL!$Q10</f>
        <v/>
      </c>
      <c r="V68" s="302" t="str">
        <f>+VL!$Q11</f>
        <v/>
      </c>
      <c r="W68" s="303" t="str">
        <f>+VL!$Q12</f>
        <v/>
      </c>
      <c r="X68" s="304" t="str">
        <f>+VL!$Q13</f>
        <v/>
      </c>
      <c r="Y68" s="302" t="str">
        <f>+VL!$Q14</f>
        <v/>
      </c>
      <c r="Z68" s="302" t="str">
        <f>+VL!$Q15</f>
        <v/>
      </c>
      <c r="AA68" s="303" t="str">
        <f>+VL!$Q16</f>
        <v/>
      </c>
      <c r="AB68" s="304" t="str">
        <f>+VL!$Q17</f>
        <v/>
      </c>
      <c r="AC68" s="302" t="str">
        <f>+VL!$Q18</f>
        <v/>
      </c>
      <c r="AD68" s="302" t="str">
        <f>+VL!$Q19</f>
        <v/>
      </c>
      <c r="AE68" s="303" t="str">
        <f>+VL!$Q20</f>
        <v/>
      </c>
      <c r="AF68" s="304" t="str">
        <f>+VL!$Q21</f>
        <v/>
      </c>
      <c r="AG68" s="302" t="str">
        <f>+VL!$Q22</f>
        <v/>
      </c>
      <c r="AH68" s="302" t="str">
        <f>+VL!$Q23</f>
        <v/>
      </c>
      <c r="AI68" s="303" t="str">
        <f>+VL!$Q24</f>
        <v/>
      </c>
      <c r="AJ68" s="304" t="str">
        <f>+VL!$Q25</f>
        <v/>
      </c>
      <c r="AK68" s="302" t="str">
        <f>+VL!$Q26</f>
        <v/>
      </c>
      <c r="AL68" s="302" t="str">
        <f>+VL!$Q27</f>
        <v/>
      </c>
      <c r="AM68" s="303" t="str">
        <f>+VL!$Q28</f>
        <v/>
      </c>
      <c r="AN68" s="304" t="str">
        <f>+VL!$Q29</f>
        <v/>
      </c>
      <c r="AO68" s="302" t="str">
        <f>+VL!$Q30</f>
        <v/>
      </c>
      <c r="AP68" s="302" t="str">
        <f>+VL!$Q31</f>
        <v/>
      </c>
      <c r="AQ68" s="303" t="str">
        <f>+VL!$Q32</f>
        <v/>
      </c>
      <c r="AR68" s="304" t="str">
        <f>+VL!$Q33</f>
        <v/>
      </c>
      <c r="AS68" s="302" t="str">
        <f>+VL!$Q34</f>
        <v/>
      </c>
      <c r="AT68" s="302" t="str">
        <f>+VL!$Q35</f>
        <v/>
      </c>
      <c r="AU68" s="303" t="str">
        <f>+VL!$Q36</f>
        <v/>
      </c>
      <c r="AV68" s="304" t="str">
        <f>+VL!$Q37</f>
        <v/>
      </c>
      <c r="AW68" s="302" t="str">
        <f>+VL!$Q38</f>
        <v/>
      </c>
      <c r="AX68" s="302" t="str">
        <f>+VL!$Q39</f>
        <v/>
      </c>
      <c r="AY68" s="303" t="str">
        <f>+VL!$Q40</f>
        <v/>
      </c>
      <c r="AZ68" s="304" t="str">
        <f>+VL!$Q41</f>
        <v/>
      </c>
      <c r="BA68" s="302" t="str">
        <f>+VL!$Q42</f>
        <v/>
      </c>
      <c r="BB68" s="302" t="str">
        <f>+VL!$Q43</f>
        <v/>
      </c>
      <c r="BC68" s="303" t="str">
        <f>+VL!$Q44</f>
        <v/>
      </c>
      <c r="BD68" s="304" t="str">
        <f>+VL!$Q45</f>
        <v/>
      </c>
      <c r="BE68" s="302" t="str">
        <f>+VL!$Q46</f>
        <v/>
      </c>
      <c r="BF68" s="302" t="str">
        <f>+VL!$Q47</f>
        <v/>
      </c>
      <c r="BG68" s="303" t="str">
        <f>+VL!$Q48</f>
        <v/>
      </c>
      <c r="BH68" s="304" t="str">
        <f>+VL!$Q49</f>
        <v/>
      </c>
      <c r="BI68" s="302" t="str">
        <f>+VL!$Q50</f>
        <v/>
      </c>
      <c r="BJ68" s="302" t="str">
        <f>+VL!$Q51</f>
        <v/>
      </c>
      <c r="BK68" s="303" t="str">
        <f>+VL!$Q52</f>
        <v/>
      </c>
      <c r="BL68" s="304" t="str">
        <f>+VL!$Q53</f>
        <v/>
      </c>
      <c r="BM68" s="302" t="str">
        <f>+VL!$Q54</f>
        <v/>
      </c>
      <c r="BN68" s="302" t="str">
        <f>+VL!$Q55</f>
        <v/>
      </c>
      <c r="BO68" s="303" t="str">
        <f>+VL!$Q56</f>
        <v/>
      </c>
      <c r="BP68" s="304" t="str">
        <f>+VL!$Q57</f>
        <v/>
      </c>
      <c r="BQ68" s="302" t="str">
        <f>+VL!$Q58</f>
        <v/>
      </c>
      <c r="BR68" s="302" t="str">
        <f>+VL!$Q59</f>
        <v/>
      </c>
      <c r="BS68" s="302" t="str">
        <f>+VL!$Q60</f>
        <v/>
      </c>
      <c r="BT68" s="304" t="str">
        <f>+VL!$Q61</f>
        <v/>
      </c>
      <c r="BU68" s="302" t="str">
        <f>+VL!$Q62</f>
        <v/>
      </c>
      <c r="BV68" s="302" t="str">
        <f>+VL!$Q63</f>
        <v/>
      </c>
      <c r="BW68" s="302" t="str">
        <f>+VL!$Q64</f>
        <v/>
      </c>
      <c r="BX68" s="304"/>
      <c r="BY68" s="302"/>
      <c r="BZ68" s="302"/>
      <c r="CA68" s="303"/>
      <c r="CB68" s="304"/>
      <c r="CC68" s="302"/>
      <c r="CD68" s="302"/>
      <c r="CE68" s="303"/>
    </row>
    <row r="69" spans="1:84" s="158" customFormat="1" ht="45" hidden="1" customHeight="1">
      <c r="A69" s="157"/>
      <c r="B69" s="157"/>
      <c r="C69" s="157"/>
      <c r="D69" s="157"/>
      <c r="E69" s="157"/>
      <c r="F69" s="353" t="s">
        <v>53</v>
      </c>
      <c r="G69" s="305" t="s">
        <v>54</v>
      </c>
      <c r="H69" s="294"/>
      <c r="I69" s="294"/>
      <c r="J69" s="294"/>
      <c r="K69" s="295"/>
      <c r="L69" s="293"/>
      <c r="M69" s="294"/>
      <c r="N69" s="294"/>
      <c r="O69" s="295"/>
      <c r="P69" s="293" t="str">
        <f>IF(ISERROR(P68*$CF$69/100),"",P68*$CF$69/100)</f>
        <v/>
      </c>
      <c r="Q69" s="294" t="str">
        <f>IF(ISERROR(Q68*$CF$69/100),"",Q68*$CF$69/100)</f>
        <v/>
      </c>
      <c r="R69" s="294" t="str">
        <f>IF(ISERROR(R68*$CF$69/100),"",R68*$CF$69/100)</f>
        <v/>
      </c>
      <c r="S69" s="295" t="str">
        <f t="shared" ref="S69:BW69" si="63">IF(ISERROR(S68*$CF$69/100),"",S68*$CF$69/100)</f>
        <v/>
      </c>
      <c r="T69" s="293" t="str">
        <f t="shared" si="63"/>
        <v/>
      </c>
      <c r="U69" s="294" t="str">
        <f t="shared" si="63"/>
        <v/>
      </c>
      <c r="V69" s="294" t="str">
        <f t="shared" si="63"/>
        <v/>
      </c>
      <c r="W69" s="295" t="str">
        <f t="shared" si="63"/>
        <v/>
      </c>
      <c r="X69" s="293" t="str">
        <f t="shared" si="63"/>
        <v/>
      </c>
      <c r="Y69" s="294" t="str">
        <f t="shared" si="63"/>
        <v/>
      </c>
      <c r="Z69" s="294" t="str">
        <f t="shared" si="63"/>
        <v/>
      </c>
      <c r="AA69" s="295" t="str">
        <f t="shared" si="63"/>
        <v/>
      </c>
      <c r="AB69" s="293" t="str">
        <f t="shared" si="63"/>
        <v/>
      </c>
      <c r="AC69" s="294" t="str">
        <f t="shared" si="63"/>
        <v/>
      </c>
      <c r="AD69" s="294" t="str">
        <f t="shared" si="63"/>
        <v/>
      </c>
      <c r="AE69" s="295" t="str">
        <f t="shared" si="63"/>
        <v/>
      </c>
      <c r="AF69" s="293" t="str">
        <f t="shared" si="63"/>
        <v/>
      </c>
      <c r="AG69" s="294" t="str">
        <f t="shared" si="63"/>
        <v/>
      </c>
      <c r="AH69" s="294" t="str">
        <f t="shared" si="63"/>
        <v/>
      </c>
      <c r="AI69" s="295" t="str">
        <f t="shared" si="63"/>
        <v/>
      </c>
      <c r="AJ69" s="293" t="str">
        <f t="shared" si="63"/>
        <v/>
      </c>
      <c r="AK69" s="294" t="str">
        <f t="shared" si="63"/>
        <v/>
      </c>
      <c r="AL69" s="294" t="str">
        <f t="shared" si="63"/>
        <v/>
      </c>
      <c r="AM69" s="295" t="str">
        <f t="shared" si="63"/>
        <v/>
      </c>
      <c r="AN69" s="293" t="str">
        <f t="shared" si="63"/>
        <v/>
      </c>
      <c r="AO69" s="294" t="str">
        <f t="shared" si="63"/>
        <v/>
      </c>
      <c r="AP69" s="294" t="str">
        <f t="shared" si="63"/>
        <v/>
      </c>
      <c r="AQ69" s="295" t="str">
        <f t="shared" si="63"/>
        <v/>
      </c>
      <c r="AR69" s="293" t="str">
        <f t="shared" si="63"/>
        <v/>
      </c>
      <c r="AS69" s="294" t="str">
        <f t="shared" si="63"/>
        <v/>
      </c>
      <c r="AT69" s="294" t="str">
        <f t="shared" si="63"/>
        <v/>
      </c>
      <c r="AU69" s="295" t="str">
        <f t="shared" si="63"/>
        <v/>
      </c>
      <c r="AV69" s="293" t="str">
        <f t="shared" si="63"/>
        <v/>
      </c>
      <c r="AW69" s="294" t="str">
        <f t="shared" si="63"/>
        <v/>
      </c>
      <c r="AX69" s="294" t="str">
        <f t="shared" si="63"/>
        <v/>
      </c>
      <c r="AY69" s="295" t="str">
        <f t="shared" si="63"/>
        <v/>
      </c>
      <c r="AZ69" s="293" t="str">
        <f t="shared" si="63"/>
        <v/>
      </c>
      <c r="BA69" s="294" t="str">
        <f t="shared" si="63"/>
        <v/>
      </c>
      <c r="BB69" s="294" t="str">
        <f t="shared" si="63"/>
        <v/>
      </c>
      <c r="BC69" s="295" t="str">
        <f t="shared" si="63"/>
        <v/>
      </c>
      <c r="BD69" s="293" t="str">
        <f t="shared" si="63"/>
        <v/>
      </c>
      <c r="BE69" s="294" t="str">
        <f t="shared" si="63"/>
        <v/>
      </c>
      <c r="BF69" s="294" t="str">
        <f t="shared" si="63"/>
        <v/>
      </c>
      <c r="BG69" s="295" t="str">
        <f t="shared" si="63"/>
        <v/>
      </c>
      <c r="BH69" s="293" t="str">
        <f t="shared" si="63"/>
        <v/>
      </c>
      <c r="BI69" s="294" t="str">
        <f t="shared" si="63"/>
        <v/>
      </c>
      <c r="BJ69" s="294" t="str">
        <f t="shared" si="63"/>
        <v/>
      </c>
      <c r="BK69" s="295" t="str">
        <f t="shared" si="63"/>
        <v/>
      </c>
      <c r="BL69" s="293" t="str">
        <f t="shared" si="63"/>
        <v/>
      </c>
      <c r="BM69" s="294" t="str">
        <f t="shared" si="63"/>
        <v/>
      </c>
      <c r="BN69" s="294" t="str">
        <f t="shared" si="63"/>
        <v/>
      </c>
      <c r="BO69" s="295" t="str">
        <f t="shared" si="63"/>
        <v/>
      </c>
      <c r="BP69" s="293" t="str">
        <f t="shared" si="63"/>
        <v/>
      </c>
      <c r="BQ69" s="294" t="str">
        <f t="shared" si="63"/>
        <v/>
      </c>
      <c r="BR69" s="294" t="str">
        <f t="shared" si="63"/>
        <v/>
      </c>
      <c r="BS69" s="295" t="str">
        <f t="shared" si="63"/>
        <v/>
      </c>
      <c r="BT69" s="293" t="str">
        <f t="shared" si="63"/>
        <v/>
      </c>
      <c r="BU69" s="294" t="str">
        <f t="shared" si="63"/>
        <v/>
      </c>
      <c r="BV69" s="294" t="str">
        <f t="shared" si="63"/>
        <v/>
      </c>
      <c r="BW69" s="295" t="str">
        <f t="shared" si="63"/>
        <v/>
      </c>
      <c r="BX69" s="293"/>
      <c r="BY69" s="294"/>
      <c r="BZ69" s="294"/>
      <c r="CA69" s="295"/>
      <c r="CB69" s="293"/>
      <c r="CC69" s="294"/>
      <c r="CD69" s="294"/>
      <c r="CE69" s="295"/>
      <c r="CF69" s="174">
        <f>+GRA!$I$7</f>
        <v>0</v>
      </c>
    </row>
    <row r="70" spans="1:84" s="288" customFormat="1" ht="45" hidden="1" customHeight="1">
      <c r="A70" s="153"/>
      <c r="B70" s="153"/>
      <c r="C70" s="153"/>
      <c r="D70" s="153"/>
      <c r="E70" s="287"/>
      <c r="F70" s="354"/>
      <c r="G70" s="292" t="s">
        <v>36</v>
      </c>
      <c r="H70" s="294"/>
      <c r="I70" s="294"/>
      <c r="J70" s="294"/>
      <c r="K70" s="295"/>
      <c r="L70" s="293"/>
      <c r="M70" s="294"/>
      <c r="N70" s="294"/>
      <c r="O70" s="295"/>
      <c r="P70" s="293" t="str">
        <f>IF(ISERROR(P69/(P5*0.25)),"",P69/(P5*0.25))</f>
        <v/>
      </c>
      <c r="Q70" s="294" t="str">
        <f>IF(ISERROR(Q69/(Q5*0.25)),"",Q69/(Q5*0.25))</f>
        <v/>
      </c>
      <c r="R70" s="296" t="str">
        <f>IF(ISERROR(R69/(R5*0.25)),"",R69/(R5*0.25))</f>
        <v/>
      </c>
      <c r="S70" s="297" t="str">
        <f t="shared" ref="S70:BW70" si="64">IF(ISERROR(S69/(S5*0.25)),"",S69/(S5*0.25))</f>
        <v/>
      </c>
      <c r="T70" s="298" t="str">
        <f t="shared" si="64"/>
        <v/>
      </c>
      <c r="U70" s="296" t="str">
        <f t="shared" si="64"/>
        <v/>
      </c>
      <c r="V70" s="296" t="str">
        <f t="shared" si="64"/>
        <v/>
      </c>
      <c r="W70" s="297" t="str">
        <f t="shared" si="64"/>
        <v/>
      </c>
      <c r="X70" s="298" t="str">
        <f t="shared" si="64"/>
        <v/>
      </c>
      <c r="Y70" s="296" t="str">
        <f t="shared" si="64"/>
        <v/>
      </c>
      <c r="Z70" s="296" t="str">
        <f t="shared" si="64"/>
        <v/>
      </c>
      <c r="AA70" s="297" t="str">
        <f t="shared" si="64"/>
        <v/>
      </c>
      <c r="AB70" s="298" t="str">
        <f t="shared" si="64"/>
        <v/>
      </c>
      <c r="AC70" s="296" t="str">
        <f t="shared" si="64"/>
        <v/>
      </c>
      <c r="AD70" s="296" t="str">
        <f t="shared" si="64"/>
        <v/>
      </c>
      <c r="AE70" s="297" t="str">
        <f t="shared" si="64"/>
        <v/>
      </c>
      <c r="AF70" s="298" t="str">
        <f t="shared" si="64"/>
        <v/>
      </c>
      <c r="AG70" s="296" t="str">
        <f t="shared" si="64"/>
        <v/>
      </c>
      <c r="AH70" s="296" t="str">
        <f t="shared" si="64"/>
        <v/>
      </c>
      <c r="AI70" s="297" t="str">
        <f t="shared" si="64"/>
        <v/>
      </c>
      <c r="AJ70" s="298" t="str">
        <f t="shared" si="64"/>
        <v/>
      </c>
      <c r="AK70" s="296" t="str">
        <f t="shared" si="64"/>
        <v/>
      </c>
      <c r="AL70" s="296" t="str">
        <f t="shared" si="64"/>
        <v/>
      </c>
      <c r="AM70" s="297" t="str">
        <f t="shared" si="64"/>
        <v/>
      </c>
      <c r="AN70" s="298" t="str">
        <f t="shared" si="64"/>
        <v/>
      </c>
      <c r="AO70" s="296" t="str">
        <f t="shared" si="64"/>
        <v/>
      </c>
      <c r="AP70" s="296" t="str">
        <f t="shared" si="64"/>
        <v/>
      </c>
      <c r="AQ70" s="297" t="str">
        <f t="shared" si="64"/>
        <v/>
      </c>
      <c r="AR70" s="298" t="str">
        <f t="shared" si="64"/>
        <v/>
      </c>
      <c r="AS70" s="296" t="str">
        <f t="shared" si="64"/>
        <v/>
      </c>
      <c r="AT70" s="296" t="str">
        <f t="shared" si="64"/>
        <v/>
      </c>
      <c r="AU70" s="297" t="str">
        <f t="shared" si="64"/>
        <v/>
      </c>
      <c r="AV70" s="298" t="str">
        <f t="shared" si="64"/>
        <v/>
      </c>
      <c r="AW70" s="296" t="str">
        <f t="shared" si="64"/>
        <v/>
      </c>
      <c r="AX70" s="296" t="str">
        <f t="shared" si="64"/>
        <v/>
      </c>
      <c r="AY70" s="297" t="str">
        <f t="shared" si="64"/>
        <v/>
      </c>
      <c r="AZ70" s="298" t="str">
        <f t="shared" si="64"/>
        <v/>
      </c>
      <c r="BA70" s="296" t="str">
        <f t="shared" si="64"/>
        <v/>
      </c>
      <c r="BB70" s="296" t="str">
        <f t="shared" si="64"/>
        <v/>
      </c>
      <c r="BC70" s="297" t="str">
        <f t="shared" si="64"/>
        <v/>
      </c>
      <c r="BD70" s="298" t="str">
        <f t="shared" si="64"/>
        <v/>
      </c>
      <c r="BE70" s="296" t="str">
        <f t="shared" si="64"/>
        <v/>
      </c>
      <c r="BF70" s="296" t="str">
        <f t="shared" si="64"/>
        <v/>
      </c>
      <c r="BG70" s="297" t="str">
        <f t="shared" si="64"/>
        <v/>
      </c>
      <c r="BH70" s="298" t="str">
        <f t="shared" si="64"/>
        <v/>
      </c>
      <c r="BI70" s="296" t="str">
        <f t="shared" si="64"/>
        <v/>
      </c>
      <c r="BJ70" s="296" t="str">
        <f t="shared" si="64"/>
        <v/>
      </c>
      <c r="BK70" s="297" t="str">
        <f t="shared" si="64"/>
        <v/>
      </c>
      <c r="BL70" s="298" t="str">
        <f t="shared" si="64"/>
        <v/>
      </c>
      <c r="BM70" s="296" t="str">
        <f t="shared" si="64"/>
        <v/>
      </c>
      <c r="BN70" s="296" t="str">
        <f t="shared" si="64"/>
        <v/>
      </c>
      <c r="BO70" s="297" t="str">
        <f t="shared" si="64"/>
        <v/>
      </c>
      <c r="BP70" s="298" t="str">
        <f t="shared" si="64"/>
        <v/>
      </c>
      <c r="BQ70" s="296" t="str">
        <f t="shared" si="64"/>
        <v/>
      </c>
      <c r="BR70" s="296" t="str">
        <f t="shared" si="64"/>
        <v/>
      </c>
      <c r="BS70" s="297" t="str">
        <f t="shared" si="64"/>
        <v/>
      </c>
      <c r="BT70" s="299" t="str">
        <f t="shared" si="64"/>
        <v/>
      </c>
      <c r="BU70" s="300" t="str">
        <f t="shared" si="64"/>
        <v/>
      </c>
      <c r="BV70" s="300" t="str">
        <f t="shared" si="64"/>
        <v/>
      </c>
      <c r="BW70" s="301" t="str">
        <f t="shared" si="64"/>
        <v/>
      </c>
      <c r="BX70" s="299"/>
      <c r="BY70" s="300"/>
      <c r="BZ70" s="300"/>
      <c r="CA70" s="301"/>
      <c r="CB70" s="299"/>
      <c r="CC70" s="300"/>
      <c r="CD70" s="300"/>
      <c r="CE70" s="301"/>
    </row>
    <row r="71" spans="1:84" ht="20.100000000000001" customHeight="1">
      <c r="F71" s="152"/>
      <c r="G71" s="151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73"/>
      <c r="BQ71" s="173"/>
      <c r="BR71" s="173"/>
      <c r="BS71" s="173"/>
      <c r="BT71" s="173"/>
      <c r="BU71" s="173"/>
      <c r="BV71" s="173"/>
      <c r="BW71" s="173"/>
      <c r="BX71" s="173"/>
      <c r="BY71" s="173"/>
      <c r="BZ71" s="173"/>
      <c r="CA71" s="173"/>
      <c r="CB71" s="173"/>
      <c r="CC71" s="173"/>
      <c r="CD71" s="173"/>
      <c r="CE71" s="173"/>
    </row>
    <row r="72" spans="1:84" ht="20.100000000000001" customHeight="1">
      <c r="F72" s="152"/>
      <c r="G72" s="151"/>
    </row>
    <row r="73" spans="1:84" ht="20.100000000000001" customHeight="1">
      <c r="F73" s="152"/>
      <c r="G73" s="151"/>
    </row>
    <row r="74" spans="1:84" ht="20.100000000000001" customHeight="1">
      <c r="F74" s="152"/>
      <c r="G74" s="151"/>
    </row>
    <row r="75" spans="1:84" ht="20.100000000000001" customHeight="1">
      <c r="F75" s="152"/>
      <c r="G75" s="151"/>
    </row>
    <row r="76" spans="1:84" ht="20.100000000000001" customHeight="1">
      <c r="F76" s="152"/>
      <c r="G76" s="151"/>
    </row>
    <row r="77" spans="1:84" ht="20.100000000000001" customHeight="1">
      <c r="F77" s="152"/>
      <c r="G77" s="151"/>
    </row>
    <row r="78" spans="1:84" ht="20.100000000000001" customHeight="1">
      <c r="F78" s="152"/>
      <c r="G78" s="151"/>
    </row>
    <row r="79" spans="1:84" ht="20.100000000000001" customHeight="1">
      <c r="F79" s="152"/>
      <c r="G79" s="151"/>
    </row>
    <row r="80" spans="1:84" ht="20.100000000000001" customHeight="1">
      <c r="F80" s="152"/>
      <c r="G80" s="151"/>
    </row>
    <row r="81" spans="6:7" ht="20.100000000000001" customHeight="1">
      <c r="F81" s="152"/>
      <c r="G81" s="151"/>
    </row>
    <row r="82" spans="6:7" ht="20.100000000000001" customHeight="1">
      <c r="F82" s="152"/>
      <c r="G82" s="151"/>
    </row>
    <row r="83" spans="6:7" ht="20.100000000000001" customHeight="1">
      <c r="F83" s="152"/>
      <c r="G83" s="151"/>
    </row>
    <row r="84" spans="6:7" ht="20.100000000000001" customHeight="1">
      <c r="F84" s="152"/>
      <c r="G84" s="151"/>
    </row>
    <row r="85" spans="6:7" ht="20.100000000000001" customHeight="1">
      <c r="F85" s="152"/>
      <c r="G85" s="151"/>
    </row>
    <row r="86" spans="6:7" ht="20.100000000000001" customHeight="1">
      <c r="F86" s="152"/>
      <c r="G86" s="151"/>
    </row>
    <row r="87" spans="6:7" ht="20.100000000000001" customHeight="1">
      <c r="F87" s="152"/>
      <c r="G87" s="151"/>
    </row>
    <row r="88" spans="6:7" ht="20.100000000000001" customHeight="1">
      <c r="F88" s="152"/>
      <c r="G88" s="151"/>
    </row>
    <row r="89" spans="6:7" ht="20.100000000000001" customHeight="1">
      <c r="F89" s="152"/>
      <c r="G89" s="151"/>
    </row>
    <row r="90" spans="6:7" ht="20.100000000000001" customHeight="1">
      <c r="F90" s="152"/>
      <c r="G90" s="151"/>
    </row>
    <row r="91" spans="6:7" ht="20.100000000000001" customHeight="1">
      <c r="F91" s="152"/>
      <c r="G91" s="151"/>
    </row>
    <row r="92" spans="6:7" ht="20.100000000000001" customHeight="1">
      <c r="F92" s="152"/>
      <c r="G92" s="151"/>
    </row>
    <row r="93" spans="6:7" ht="20.100000000000001" customHeight="1">
      <c r="F93" s="152"/>
      <c r="G93" s="151"/>
    </row>
    <row r="94" spans="6:7" ht="20.100000000000001" customHeight="1">
      <c r="F94" s="152"/>
      <c r="G94" s="151"/>
    </row>
    <row r="95" spans="6:7" ht="20.100000000000001" customHeight="1">
      <c r="F95" s="152"/>
      <c r="G95" s="151"/>
    </row>
    <row r="96" spans="6:7" ht="20.100000000000001" customHeight="1">
      <c r="F96" s="152"/>
      <c r="G96" s="151"/>
    </row>
    <row r="97" spans="6:7" ht="20.100000000000001" customHeight="1">
      <c r="F97" s="152"/>
      <c r="G97" s="151"/>
    </row>
    <row r="98" spans="6:7" ht="20.100000000000001" customHeight="1">
      <c r="F98" s="152"/>
      <c r="G98" s="151"/>
    </row>
    <row r="99" spans="6:7" ht="20.100000000000001" customHeight="1">
      <c r="F99" s="152"/>
      <c r="G99" s="151"/>
    </row>
    <row r="100" spans="6:7" ht="20.100000000000001" customHeight="1">
      <c r="F100" s="152"/>
      <c r="G100" s="151"/>
    </row>
    <row r="101" spans="6:7" ht="20.100000000000001" customHeight="1">
      <c r="F101" s="152"/>
      <c r="G101" s="151"/>
    </row>
    <row r="102" spans="6:7" ht="20.100000000000001" customHeight="1">
      <c r="F102" s="152"/>
      <c r="G102" s="151"/>
    </row>
    <row r="103" spans="6:7" ht="20.100000000000001" customHeight="1">
      <c r="F103" s="152"/>
      <c r="G103" s="151"/>
    </row>
    <row r="104" spans="6:7" ht="20.100000000000001" customHeight="1">
      <c r="F104" s="152"/>
      <c r="G104" s="151"/>
    </row>
    <row r="105" spans="6:7" ht="20.100000000000001" customHeight="1">
      <c r="F105" s="152"/>
      <c r="G105" s="151"/>
    </row>
    <row r="106" spans="6:7" ht="20.100000000000001" customHeight="1">
      <c r="F106" s="152"/>
      <c r="G106" s="151"/>
    </row>
    <row r="107" spans="6:7" ht="20.100000000000001" customHeight="1">
      <c r="F107" s="152"/>
      <c r="G107" s="151"/>
    </row>
    <row r="108" spans="6:7" ht="20.100000000000001" customHeight="1">
      <c r="F108" s="152"/>
      <c r="G108" s="151"/>
    </row>
    <row r="109" spans="6:7" ht="20.100000000000001" customHeight="1">
      <c r="F109" s="152"/>
      <c r="G109" s="151"/>
    </row>
    <row r="110" spans="6:7" ht="20.100000000000001" customHeight="1">
      <c r="F110" s="152"/>
      <c r="G110" s="151"/>
    </row>
    <row r="111" spans="6:7" ht="20.100000000000001" customHeight="1">
      <c r="F111" s="152"/>
      <c r="G111" s="151"/>
    </row>
    <row r="112" spans="6:7" ht="20.100000000000001" customHeight="1">
      <c r="F112" s="152"/>
      <c r="G112" s="151"/>
    </row>
    <row r="113" spans="6:7" ht="20.100000000000001" customHeight="1">
      <c r="F113" s="152"/>
      <c r="G113" s="151"/>
    </row>
    <row r="114" spans="6:7" ht="20.100000000000001" customHeight="1">
      <c r="F114" s="152"/>
      <c r="G114" s="151"/>
    </row>
    <row r="115" spans="6:7" ht="20.100000000000001" customHeight="1">
      <c r="F115" s="152"/>
      <c r="G115" s="151"/>
    </row>
    <row r="116" spans="6:7" ht="20.100000000000001" customHeight="1">
      <c r="F116" s="152"/>
      <c r="G116" s="151"/>
    </row>
    <row r="117" spans="6:7" ht="20.100000000000001" customHeight="1">
      <c r="F117" s="152"/>
      <c r="G117" s="151"/>
    </row>
    <row r="118" spans="6:7" ht="20.100000000000001" customHeight="1">
      <c r="F118" s="152"/>
      <c r="G118" s="151"/>
    </row>
    <row r="119" spans="6:7" ht="20.100000000000001" customHeight="1">
      <c r="F119" s="152"/>
      <c r="G119" s="151"/>
    </row>
    <row r="120" spans="6:7" ht="20.100000000000001" customHeight="1">
      <c r="F120" s="152"/>
      <c r="G120" s="151"/>
    </row>
    <row r="121" spans="6:7" ht="20.100000000000001" customHeight="1">
      <c r="F121" s="152"/>
      <c r="G121" s="151"/>
    </row>
    <row r="122" spans="6:7" ht="20.100000000000001" customHeight="1">
      <c r="F122" s="152"/>
      <c r="G122" s="151"/>
    </row>
    <row r="123" spans="6:7" ht="20.100000000000001" customHeight="1">
      <c r="F123" s="152"/>
      <c r="G123" s="151"/>
    </row>
    <row r="124" spans="6:7" ht="20.100000000000001" customHeight="1">
      <c r="F124" s="152"/>
      <c r="G124" s="151"/>
    </row>
    <row r="125" spans="6:7" ht="20.100000000000001" customHeight="1">
      <c r="F125" s="152"/>
      <c r="G125" s="151"/>
    </row>
    <row r="126" spans="6:7" ht="20.100000000000001" customHeight="1">
      <c r="F126" s="152"/>
      <c r="G126" s="151"/>
    </row>
    <row r="127" spans="6:7" ht="20.100000000000001" customHeight="1">
      <c r="F127" s="152"/>
      <c r="G127" s="151"/>
    </row>
    <row r="128" spans="6:7" ht="20.100000000000001" customHeight="1">
      <c r="F128" s="152"/>
      <c r="G128" s="151"/>
    </row>
    <row r="129" spans="6:7" ht="20.100000000000001" customHeight="1">
      <c r="F129" s="152"/>
      <c r="G129" s="151"/>
    </row>
    <row r="130" spans="6:7" ht="20.100000000000001" customHeight="1">
      <c r="F130" s="152"/>
      <c r="G130" s="151"/>
    </row>
    <row r="131" spans="6:7" ht="20.100000000000001" customHeight="1">
      <c r="F131" s="152"/>
      <c r="G131" s="151"/>
    </row>
    <row r="132" spans="6:7" ht="20.100000000000001" customHeight="1">
      <c r="F132" s="152"/>
      <c r="G132" s="151"/>
    </row>
  </sheetData>
  <sheetProtection algorithmName="SHA-512" hashValue="xilL48LboSzpFbqHIpPDiN38CCn4OWleSDvz04tqXz2tvMhD2lsUbHYFJhVM72SmjcEmUv7A17JBHuvnw3EfNA==" saltValue="DP5inGtFMH/FHTFYPN7jKA==" spinCount="100000" sheet="1" objects="1" scenarios="1"/>
  <autoFilter ref="F5:G54" xr:uid="{00000000-0009-0000-0000-000008000000}"/>
  <mergeCells count="2">
    <mergeCell ref="F69:F70"/>
    <mergeCell ref="F67:F68"/>
  </mergeCells>
  <phoneticPr fontId="0" type="noConversion"/>
  <conditionalFormatting sqref="H5:CE5 H46:CE54">
    <cfRule type="cellIs" dxfId="0" priority="1" stopIfTrue="1" operator="equal">
      <formula>0</formula>
    </cfRule>
  </conditionalFormatting>
  <printOptions horizontalCentered="1"/>
  <pageMargins left="0.31496062992125984" right="0.31496062992125984" top="0.55118110236220474" bottom="0.55118110236220474" header="0.31496062992125984" footer="0.31496062992125984"/>
  <pageSetup paperSize="9" scale="61" orientation="landscape" horizontalDpi="200" verticalDpi="200" r:id="rId1"/>
  <headerFooter>
    <oddFooter>&amp;L&amp;D - &amp;T&amp;R&amp;F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"/>
  <dimension ref="A1:Z75"/>
  <sheetViews>
    <sheetView workbookViewId="0">
      <pane ySplit="4" topLeftCell="A5" activePane="bottomLeft" state="frozen"/>
      <selection pane="bottomLeft" activeCell="C13" sqref="C13"/>
    </sheetView>
  </sheetViews>
  <sheetFormatPr defaultColWidth="9.140625" defaultRowHeight="12.75"/>
  <cols>
    <col min="1" max="1" width="6.5703125" style="281" bestFit="1" customWidth="1"/>
    <col min="2" max="2" width="16.7109375" style="143" customWidth="1"/>
    <col min="3" max="9" width="10.7109375" style="143" customWidth="1"/>
    <col min="10" max="10" width="2" style="143" customWidth="1"/>
    <col min="11" max="17" width="6.7109375" style="143" customWidth="1"/>
    <col min="18" max="18" width="3.85546875" style="143" customWidth="1"/>
    <col min="19" max="19" width="7.28515625" style="143" customWidth="1"/>
    <col min="20" max="26" width="10.7109375" style="143" customWidth="1"/>
    <col min="27" max="16384" width="9.140625" style="143"/>
  </cols>
  <sheetData>
    <row r="1" spans="1:26">
      <c r="B1" s="146" t="s">
        <v>33</v>
      </c>
      <c r="C1" s="143">
        <v>2</v>
      </c>
      <c r="D1" s="143">
        <v>3</v>
      </c>
      <c r="E1" s="143">
        <v>4</v>
      </c>
      <c r="F1" s="143">
        <v>5</v>
      </c>
      <c r="G1" s="143">
        <v>6</v>
      </c>
      <c r="H1" s="143">
        <v>7</v>
      </c>
      <c r="I1" s="143">
        <v>8</v>
      </c>
    </row>
    <row r="2" spans="1:26">
      <c r="B2" s="146"/>
    </row>
    <row r="3" spans="1:26">
      <c r="A3" s="315">
        <v>10</v>
      </c>
      <c r="B3" s="135" t="s">
        <v>24</v>
      </c>
      <c r="C3" s="135" t="s">
        <v>26</v>
      </c>
      <c r="D3" s="135" t="s">
        <v>27</v>
      </c>
      <c r="E3" s="135" t="s">
        <v>28</v>
      </c>
      <c r="F3" s="135" t="s">
        <v>29</v>
      </c>
      <c r="G3" s="135" t="s">
        <v>30</v>
      </c>
      <c r="H3" s="135" t="s">
        <v>31</v>
      </c>
      <c r="I3" s="135" t="s">
        <v>32</v>
      </c>
      <c r="K3" s="135" t="s">
        <v>55</v>
      </c>
      <c r="L3" s="135" t="s">
        <v>56</v>
      </c>
      <c r="M3" s="135" t="s">
        <v>57</v>
      </c>
      <c r="N3" s="135" t="s">
        <v>58</v>
      </c>
      <c r="O3" s="135" t="s">
        <v>59</v>
      </c>
      <c r="P3" s="135" t="s">
        <v>60</v>
      </c>
      <c r="Q3" s="135" t="s">
        <v>61</v>
      </c>
      <c r="S3" s="135" t="s">
        <v>62</v>
      </c>
      <c r="T3" s="135" t="s">
        <v>55</v>
      </c>
      <c r="U3" s="135" t="s">
        <v>56</v>
      </c>
      <c r="V3" s="135" t="s">
        <v>57</v>
      </c>
      <c r="W3" s="135" t="s">
        <v>58</v>
      </c>
      <c r="X3" s="135" t="s">
        <v>59</v>
      </c>
      <c r="Y3" s="135" t="s">
        <v>60</v>
      </c>
      <c r="Z3" s="135" t="s">
        <v>61</v>
      </c>
    </row>
    <row r="4" spans="1:26" ht="4.5" customHeight="1">
      <c r="A4" s="315"/>
      <c r="B4" s="144"/>
    </row>
    <row r="5" spans="1:26">
      <c r="A5" s="315">
        <v>7</v>
      </c>
      <c r="B5" s="136">
        <v>0.29166666666666669</v>
      </c>
      <c r="C5" s="139">
        <f>IF(ISERROR(VLOOKUP($A5,$S$5:$Z$65,C$1,FALSE)*((100%-GRA!$K$2))),0,VLOOKUP($A5,$S$5:$Z$65,C$1,FALSE)*((100%-GRA!$K$2)))</f>
        <v>0</v>
      </c>
      <c r="D5" s="139">
        <f>IF(ISERROR(VLOOKUP($A5,$S$5:$Z$65,D$1,FALSE)*((100%-GRA!$K$2))),0,VLOOKUP($A5,$S$5:$Z$65,D$1,FALSE)*((100%-GRA!$K$2)))</f>
        <v>0</v>
      </c>
      <c r="E5" s="139">
        <f>IF(ISERROR(VLOOKUP($A5,$S$5:$Z$65,E$1,FALSE)*((100%-GRA!$K$2))),0,VLOOKUP($A5,$S$5:$Z$65,E$1,FALSE)*((100%-GRA!$K$2)))</f>
        <v>0</v>
      </c>
      <c r="F5" s="139">
        <f>IF(ISERROR(VLOOKUP($A5,$S$5:$Z$65,F$1,FALSE)*((100%-GRA!$K$2))),0,VLOOKUP($A5,$S$5:$Z$65,F$1,FALSE)*((100%-GRA!$K$2)))</f>
        <v>0</v>
      </c>
      <c r="G5" s="139">
        <f>IF(ISERROR(VLOOKUP($A5,$S$5:$Z$65,G$1,FALSE)*((100%-GRA!$K$2))),0,VLOOKUP($A5,$S$5:$Z$65,G$1,FALSE)*((100%-GRA!$K$2)))</f>
        <v>0</v>
      </c>
      <c r="H5" s="139">
        <f>IF(ISERROR(VLOOKUP($A5,$S$5:$Z$65,H$1,FALSE)*((100%-GRA!$K$2))),0,VLOOKUP($A5,$S$5:$Z$65,H$1,FALSE)*((100%-GRA!$K$2)))</f>
        <v>0</v>
      </c>
      <c r="I5" s="139">
        <f>IF(ISERROR(VLOOKUP($A5,$S$5:$Z$65,I$1,FALSE)*((100%-GRA!$K$2))),0,VLOOKUP($A5,$S$5:$Z$65,I$1,FALSE)*((100%-GRA!$K$2)))</f>
        <v>0</v>
      </c>
      <c r="K5" s="139" t="str">
        <f>IF(ISERROR(C5/C$67*100),"",C5/C$67*100)</f>
        <v/>
      </c>
      <c r="L5" s="139" t="str">
        <f t="shared" ref="L5:L65" si="0">IF(ISERROR(D5/D$67*100),"",D5/D$67*100)</f>
        <v/>
      </c>
      <c r="M5" s="139" t="str">
        <f t="shared" ref="M5:M65" si="1">IF(ISERROR(E5/E$67*100),"",E5/E$67*100)</f>
        <v/>
      </c>
      <c r="N5" s="139" t="str">
        <f t="shared" ref="N5:N65" si="2">IF(ISERROR(F5/F$67*100),"",F5/F$67*100)</f>
        <v/>
      </c>
      <c r="O5" s="139" t="str">
        <f t="shared" ref="O5:O65" si="3">IF(ISERROR(G5/G$67*100),"",G5/G$67*100)</f>
        <v/>
      </c>
      <c r="P5" s="139" t="str">
        <f t="shared" ref="P5:P65" si="4">IF(ISERROR(H5/H$67*100),"",H5/H$67*100)</f>
        <v/>
      </c>
      <c r="Q5" s="139" t="str">
        <f t="shared" ref="Q5:Q65" si="5">IF(ISERROR(I5/I$67*100),"",I5/I$67*100)</f>
        <v/>
      </c>
      <c r="R5" s="143">
        <v>9</v>
      </c>
      <c r="S5" s="139">
        <f>+Incassi!A10</f>
        <v>0</v>
      </c>
      <c r="T5" s="139" t="e">
        <f>HLOOKUP(T$3,Incassi!$B$2:$H$80,$R5,FALSE)</f>
        <v>#N/A</v>
      </c>
      <c r="U5" s="139" t="e">
        <f>HLOOKUP(U$3,Incassi!$B$2:$H$80,$R5,FALSE)</f>
        <v>#N/A</v>
      </c>
      <c r="V5" s="139" t="e">
        <f>HLOOKUP(V$3,Incassi!$B$2:$H$80,$R5,FALSE)</f>
        <v>#N/A</v>
      </c>
      <c r="W5" s="139" t="e">
        <f>HLOOKUP(W$3,Incassi!$B$2:$H$80,$R5,FALSE)</f>
        <v>#N/A</v>
      </c>
      <c r="X5" s="139" t="e">
        <f>HLOOKUP(X$3,Incassi!$B$2:$H$80,$R5,FALSE)</f>
        <v>#N/A</v>
      </c>
      <c r="Y5" s="139" t="e">
        <f>HLOOKUP(Y$3,Incassi!$B$2:$H$80,$R5,FALSE)</f>
        <v>#N/A</v>
      </c>
      <c r="Z5" s="139" t="e">
        <f>HLOOKUP(Z$3,Incassi!$B$2:$H$80,$R5,FALSE)</f>
        <v>#N/A</v>
      </c>
    </row>
    <row r="6" spans="1:26">
      <c r="A6" s="315">
        <v>7.15</v>
      </c>
      <c r="B6" s="137">
        <v>0.30208333333333331</v>
      </c>
      <c r="C6" s="140">
        <f>IF(ISERROR(VLOOKUP($A6,$S$5:$Z$65,C$1,FALSE)*((100%-GRA!$K$2))),0,VLOOKUP($A6,$S$5:$Z$65,C$1,FALSE)*((100%-GRA!$K$2)))</f>
        <v>0</v>
      </c>
      <c r="D6" s="140">
        <f>IF(ISERROR(VLOOKUP($A6,$S$5:$Z$65,D$1,FALSE)*((100%-GRA!$K$2))),0,VLOOKUP($A6,$S$5:$Z$65,D$1,FALSE)*((100%-GRA!$K$2)))</f>
        <v>0</v>
      </c>
      <c r="E6" s="140">
        <f>IF(ISERROR(VLOOKUP($A6,$S$5:$Z$65,E$1,FALSE)*((100%-GRA!$K$2))),0,VLOOKUP($A6,$S$5:$Z$65,E$1,FALSE)*((100%-GRA!$K$2)))</f>
        <v>0</v>
      </c>
      <c r="F6" s="140">
        <f>IF(ISERROR(VLOOKUP($A6,$S$5:$Z$65,F$1,FALSE)*((100%-GRA!$K$2))),0,VLOOKUP($A6,$S$5:$Z$65,F$1,FALSE)*((100%-GRA!$K$2)))</f>
        <v>0</v>
      </c>
      <c r="G6" s="140">
        <f>IF(ISERROR(VLOOKUP($A6,$S$5:$Z$65,G$1,FALSE)*((100%-GRA!$K$2))),0,VLOOKUP($A6,$S$5:$Z$65,G$1,FALSE)*((100%-GRA!$K$2)))</f>
        <v>0</v>
      </c>
      <c r="H6" s="140">
        <f>IF(ISERROR(VLOOKUP($A6,$S$5:$Z$65,H$1,FALSE)*((100%-GRA!$K$2))),0,VLOOKUP($A6,$S$5:$Z$65,H$1,FALSE)*((100%-GRA!$K$2)))</f>
        <v>0</v>
      </c>
      <c r="I6" s="140">
        <f>IF(ISERROR(VLOOKUP($A6,$S$5:$Z$65,I$1,FALSE)*((100%-GRA!$K$2))),0,VLOOKUP($A6,$S$5:$Z$65,I$1,FALSE)*((100%-GRA!$K$2)))</f>
        <v>0</v>
      </c>
      <c r="K6" s="140" t="str">
        <f t="shared" ref="K6:K65" si="6">IF(ISERROR(C6/C$67*100),"",C6/C$67*100)</f>
        <v/>
      </c>
      <c r="L6" s="140" t="str">
        <f t="shared" si="0"/>
        <v/>
      </c>
      <c r="M6" s="140" t="str">
        <f t="shared" si="1"/>
        <v/>
      </c>
      <c r="N6" s="140" t="str">
        <f t="shared" si="2"/>
        <v/>
      </c>
      <c r="O6" s="140" t="str">
        <f t="shared" si="3"/>
        <v/>
      </c>
      <c r="P6" s="140" t="str">
        <f t="shared" si="4"/>
        <v/>
      </c>
      <c r="Q6" s="140" t="str">
        <f t="shared" si="5"/>
        <v/>
      </c>
      <c r="R6" s="143">
        <v>10</v>
      </c>
      <c r="S6" s="140">
        <f>+Incassi!A11</f>
        <v>0</v>
      </c>
      <c r="T6" s="140" t="e">
        <f>HLOOKUP(T$3,Incassi!$B$2:$H$80,$R6,FALSE)</f>
        <v>#N/A</v>
      </c>
      <c r="U6" s="140" t="e">
        <f>HLOOKUP(U$3,Incassi!$B$2:$H$80,$R6,FALSE)</f>
        <v>#N/A</v>
      </c>
      <c r="V6" s="140" t="e">
        <f>HLOOKUP(V$3,Incassi!$B$2:$H$80,$R6,FALSE)</f>
        <v>#N/A</v>
      </c>
      <c r="W6" s="140" t="e">
        <f>HLOOKUP(W$3,Incassi!$B$2:$H$80,$R6,FALSE)</f>
        <v>#N/A</v>
      </c>
      <c r="X6" s="140" t="e">
        <f>HLOOKUP(X$3,Incassi!$B$2:$H$80,$R6,FALSE)</f>
        <v>#N/A</v>
      </c>
      <c r="Y6" s="140" t="e">
        <f>HLOOKUP(Y$3,Incassi!$B$2:$H$80,$R6,FALSE)</f>
        <v>#N/A</v>
      </c>
      <c r="Z6" s="140" t="e">
        <f>HLOOKUP(Z$3,Incassi!$B$2:$H$80,$R6,FALSE)</f>
        <v>#N/A</v>
      </c>
    </row>
    <row r="7" spans="1:26">
      <c r="A7" s="315">
        <v>7.3</v>
      </c>
      <c r="B7" s="136">
        <v>0.3125</v>
      </c>
      <c r="C7" s="139">
        <f>IF(ISERROR(VLOOKUP($A7,$S$5:$Z$65,C$1,FALSE)*((100%-GRA!$K$2))),0,VLOOKUP($A7,$S$5:$Z$65,C$1,FALSE)*((100%-GRA!$K$2)))</f>
        <v>0</v>
      </c>
      <c r="D7" s="139">
        <f>IF(ISERROR(VLOOKUP($A7,$S$5:$Z$65,D$1,FALSE)*((100%-GRA!$K$2))),0,VLOOKUP($A7,$S$5:$Z$65,D$1,FALSE)*((100%-GRA!$K$2)))</f>
        <v>0</v>
      </c>
      <c r="E7" s="139">
        <f>IF(ISERROR(VLOOKUP($A7,$S$5:$Z$65,E$1,FALSE)*((100%-GRA!$K$2))),0,VLOOKUP($A7,$S$5:$Z$65,E$1,FALSE)*((100%-GRA!$K$2)))</f>
        <v>0</v>
      </c>
      <c r="F7" s="139">
        <f>IF(ISERROR(VLOOKUP($A7,$S$5:$Z$65,F$1,FALSE)*((100%-GRA!$K$2))),0,VLOOKUP($A7,$S$5:$Z$65,F$1,FALSE)*((100%-GRA!$K$2)))</f>
        <v>0</v>
      </c>
      <c r="G7" s="139">
        <f>IF(ISERROR(VLOOKUP($A7,$S$5:$Z$65,G$1,FALSE)*((100%-GRA!$K$2))),0,VLOOKUP($A7,$S$5:$Z$65,G$1,FALSE)*((100%-GRA!$K$2)))</f>
        <v>0</v>
      </c>
      <c r="H7" s="139">
        <f>IF(ISERROR(VLOOKUP($A7,$S$5:$Z$65,H$1,FALSE)*((100%-GRA!$K$2))),0,VLOOKUP($A7,$S$5:$Z$65,H$1,FALSE)*((100%-GRA!$K$2)))</f>
        <v>0</v>
      </c>
      <c r="I7" s="139">
        <f>IF(ISERROR(VLOOKUP($A7,$S$5:$Z$65,I$1,FALSE)*((100%-GRA!$K$2))),0,VLOOKUP($A7,$S$5:$Z$65,I$1,FALSE)*((100%-GRA!$K$2)))</f>
        <v>0</v>
      </c>
      <c r="K7" s="139" t="str">
        <f t="shared" si="6"/>
        <v/>
      </c>
      <c r="L7" s="139" t="str">
        <f t="shared" si="0"/>
        <v/>
      </c>
      <c r="M7" s="139" t="str">
        <f t="shared" si="1"/>
        <v/>
      </c>
      <c r="N7" s="139" t="str">
        <f t="shared" si="2"/>
        <v/>
      </c>
      <c r="O7" s="139" t="str">
        <f t="shared" si="3"/>
        <v/>
      </c>
      <c r="P7" s="139" t="str">
        <f t="shared" si="4"/>
        <v/>
      </c>
      <c r="Q7" s="139" t="str">
        <f t="shared" si="5"/>
        <v/>
      </c>
      <c r="R7" s="143">
        <v>11</v>
      </c>
      <c r="S7" s="139">
        <f>+Incassi!A12</f>
        <v>0</v>
      </c>
      <c r="T7" s="139" t="e">
        <f>HLOOKUP(T$3,Incassi!$B$2:$H$80,$R7,FALSE)</f>
        <v>#N/A</v>
      </c>
      <c r="U7" s="139" t="e">
        <f>HLOOKUP(U$3,Incassi!$B$2:$H$80,$R7,FALSE)</f>
        <v>#N/A</v>
      </c>
      <c r="V7" s="139" t="e">
        <f>HLOOKUP(V$3,Incassi!$B$2:$H$80,$R7,FALSE)</f>
        <v>#N/A</v>
      </c>
      <c r="W7" s="139" t="e">
        <f>HLOOKUP(W$3,Incassi!$B$2:$H$80,$R7,FALSE)</f>
        <v>#N/A</v>
      </c>
      <c r="X7" s="139" t="e">
        <f>HLOOKUP(X$3,Incassi!$B$2:$H$80,$R7,FALSE)</f>
        <v>#N/A</v>
      </c>
      <c r="Y7" s="139" t="e">
        <f>HLOOKUP(Y$3,Incassi!$B$2:$H$80,$R7,FALSE)</f>
        <v>#N/A</v>
      </c>
      <c r="Z7" s="139" t="e">
        <f>HLOOKUP(Z$3,Incassi!$B$2:$H$80,$R7,FALSE)</f>
        <v>#N/A</v>
      </c>
    </row>
    <row r="8" spans="1:26">
      <c r="A8" s="317">
        <v>7.4500000000000011</v>
      </c>
      <c r="B8" s="137">
        <v>0.32291666666666702</v>
      </c>
      <c r="C8" s="140">
        <f>IF(ISERROR(VLOOKUP($A8,$S$5:$Z$65,C$1,FALSE)*((100%-GRA!$K$2))),0,VLOOKUP($A8,$S$5:$Z$65,C$1,FALSE)*((100%-GRA!$K$2)))</f>
        <v>0</v>
      </c>
      <c r="D8" s="140">
        <f>IF(ISERROR(VLOOKUP($A8,$S$5:$Z$65,D$1,FALSE)*((100%-GRA!$K$2))),0,VLOOKUP($A8,$S$5:$Z$65,D$1,FALSE)*((100%-GRA!$K$2)))</f>
        <v>0</v>
      </c>
      <c r="E8" s="140">
        <f>IF(ISERROR(VLOOKUP($A8,$S$5:$Z$65,E$1,FALSE)*((100%-GRA!$K$2))),0,VLOOKUP($A8,$S$5:$Z$65,E$1,FALSE)*((100%-GRA!$K$2)))</f>
        <v>0</v>
      </c>
      <c r="F8" s="140">
        <f>IF(ISERROR(VLOOKUP($A8,$S$5:$Z$65,F$1,FALSE)*((100%-GRA!$K$2))),0,VLOOKUP($A8,$S$5:$Z$65,F$1,FALSE)*((100%-GRA!$K$2)))</f>
        <v>0</v>
      </c>
      <c r="G8" s="140">
        <f>IF(ISERROR(VLOOKUP($A8,$S$5:$Z$65,G$1,FALSE)*((100%-GRA!$K$2))),0,VLOOKUP($A8,$S$5:$Z$65,G$1,FALSE)*((100%-GRA!$K$2)))</f>
        <v>0</v>
      </c>
      <c r="H8" s="140">
        <f>IF(ISERROR(VLOOKUP($A8,$S$5:$Z$65,H$1,FALSE)*((100%-GRA!$K$2))),0,VLOOKUP($A8,$S$5:$Z$65,H$1,FALSE)*((100%-GRA!$K$2)))</f>
        <v>0</v>
      </c>
      <c r="I8" s="140">
        <f>IF(ISERROR(VLOOKUP($A8,$S$5:$Z$65,I$1,FALSE)*((100%-GRA!$K$2))),0,VLOOKUP($A8,$S$5:$Z$65,I$1,FALSE)*((100%-GRA!$K$2)))</f>
        <v>0</v>
      </c>
      <c r="K8" s="140" t="str">
        <f t="shared" si="6"/>
        <v/>
      </c>
      <c r="L8" s="140" t="str">
        <f t="shared" si="0"/>
        <v/>
      </c>
      <c r="M8" s="140" t="str">
        <f t="shared" si="1"/>
        <v/>
      </c>
      <c r="N8" s="140" t="str">
        <f t="shared" si="2"/>
        <v/>
      </c>
      <c r="O8" s="140" t="str">
        <f t="shared" si="3"/>
        <v/>
      </c>
      <c r="P8" s="140" t="str">
        <f t="shared" si="4"/>
        <v/>
      </c>
      <c r="Q8" s="140" t="str">
        <f t="shared" si="5"/>
        <v/>
      </c>
      <c r="R8" s="143">
        <v>12</v>
      </c>
      <c r="S8" s="140">
        <f>+Incassi!A13</f>
        <v>0</v>
      </c>
      <c r="T8" s="140" t="e">
        <f>HLOOKUP(T$3,Incassi!$B$2:$H$80,$R8,FALSE)</f>
        <v>#N/A</v>
      </c>
      <c r="U8" s="140" t="e">
        <f>HLOOKUP(U$3,Incassi!$B$2:$H$80,$R8,FALSE)</f>
        <v>#N/A</v>
      </c>
      <c r="V8" s="140" t="e">
        <f>HLOOKUP(V$3,Incassi!$B$2:$H$80,$R8,FALSE)</f>
        <v>#N/A</v>
      </c>
      <c r="W8" s="140" t="e">
        <f>HLOOKUP(W$3,Incassi!$B$2:$H$80,$R8,FALSE)</f>
        <v>#N/A</v>
      </c>
      <c r="X8" s="140" t="e">
        <f>HLOOKUP(X$3,Incassi!$B$2:$H$80,$R8,FALSE)</f>
        <v>#N/A</v>
      </c>
      <c r="Y8" s="140" t="e">
        <f>HLOOKUP(Y$3,Incassi!$B$2:$H$80,$R8,FALSE)</f>
        <v>#N/A</v>
      </c>
      <c r="Z8" s="140" t="e">
        <f>HLOOKUP(Z$3,Incassi!$B$2:$H$80,$R8,FALSE)</f>
        <v>#N/A</v>
      </c>
    </row>
    <row r="9" spans="1:26">
      <c r="A9" s="317">
        <v>8</v>
      </c>
      <c r="B9" s="136">
        <v>0.33333333333333298</v>
      </c>
      <c r="C9" s="139">
        <f>IF(ISERROR(VLOOKUP($A9,$S$5:$Z$65,C$1,FALSE)*((100%-GRA!$K$2))),0,VLOOKUP($A9,$S$5:$Z$65,C$1,FALSE)*((100%-GRA!$K$2)))</f>
        <v>0</v>
      </c>
      <c r="D9" s="139">
        <f>IF(ISERROR(VLOOKUP($A9,$S$5:$Z$65,D$1,FALSE)*((100%-GRA!$K$2))),0,VLOOKUP($A9,$S$5:$Z$65,D$1,FALSE)*((100%-GRA!$K$2)))</f>
        <v>0</v>
      </c>
      <c r="E9" s="139">
        <f>IF(ISERROR(VLOOKUP($A9,$S$5:$Z$65,E$1,FALSE)*((100%-GRA!$K$2))),0,VLOOKUP($A9,$S$5:$Z$65,E$1,FALSE)*((100%-GRA!$K$2)))</f>
        <v>0</v>
      </c>
      <c r="F9" s="139">
        <f>IF(ISERROR(VLOOKUP($A9,$S$5:$Z$65,F$1,FALSE)*((100%-GRA!$K$2))),0,VLOOKUP($A9,$S$5:$Z$65,F$1,FALSE)*((100%-GRA!$K$2)))</f>
        <v>0</v>
      </c>
      <c r="G9" s="139">
        <f>IF(ISERROR(VLOOKUP($A9,$S$5:$Z$65,G$1,FALSE)*((100%-GRA!$K$2))),0,VLOOKUP($A9,$S$5:$Z$65,G$1,FALSE)*((100%-GRA!$K$2)))</f>
        <v>0</v>
      </c>
      <c r="H9" s="139">
        <f>IF(ISERROR(VLOOKUP($A9,$S$5:$Z$65,H$1,FALSE)*((100%-GRA!$K$2))),0,VLOOKUP($A9,$S$5:$Z$65,H$1,FALSE)*((100%-GRA!$K$2)))</f>
        <v>0</v>
      </c>
      <c r="I9" s="139">
        <f>IF(ISERROR(VLOOKUP($A9,$S$5:$Z$65,I$1,FALSE)*((100%-GRA!$K$2))),0,VLOOKUP($A9,$S$5:$Z$65,I$1,FALSE)*((100%-GRA!$K$2)))</f>
        <v>0</v>
      </c>
      <c r="K9" s="139" t="str">
        <f t="shared" si="6"/>
        <v/>
      </c>
      <c r="L9" s="139" t="str">
        <f t="shared" si="0"/>
        <v/>
      </c>
      <c r="M9" s="139" t="str">
        <f t="shared" si="1"/>
        <v/>
      </c>
      <c r="N9" s="139" t="str">
        <f t="shared" si="2"/>
        <v/>
      </c>
      <c r="O9" s="139" t="str">
        <f t="shared" si="3"/>
        <v/>
      </c>
      <c r="P9" s="139" t="str">
        <f t="shared" si="4"/>
        <v/>
      </c>
      <c r="Q9" s="139" t="str">
        <f t="shared" si="5"/>
        <v/>
      </c>
      <c r="R9" s="143">
        <v>13</v>
      </c>
      <c r="S9" s="139">
        <f>+Incassi!A14</f>
        <v>0</v>
      </c>
      <c r="T9" s="139" t="e">
        <f>HLOOKUP(T$3,Incassi!$B$2:$H$80,$R9,FALSE)</f>
        <v>#N/A</v>
      </c>
      <c r="U9" s="139" t="e">
        <f>HLOOKUP(U$3,Incassi!$B$2:$H$80,$R9,FALSE)</f>
        <v>#N/A</v>
      </c>
      <c r="V9" s="139" t="e">
        <f>HLOOKUP(V$3,Incassi!$B$2:$H$80,$R9,FALSE)</f>
        <v>#N/A</v>
      </c>
      <c r="W9" s="139" t="e">
        <f>HLOOKUP(W$3,Incassi!$B$2:$H$80,$R9,FALSE)</f>
        <v>#N/A</v>
      </c>
      <c r="X9" s="139" t="e">
        <f>HLOOKUP(X$3,Incassi!$B$2:$H$80,$R9,FALSE)</f>
        <v>#N/A</v>
      </c>
      <c r="Y9" s="139" t="e">
        <f>HLOOKUP(Y$3,Incassi!$B$2:$H$80,$R9,FALSE)</f>
        <v>#N/A</v>
      </c>
      <c r="Z9" s="139" t="e">
        <f>HLOOKUP(Z$3,Incassi!$B$2:$H$80,$R9,FALSE)</f>
        <v>#N/A</v>
      </c>
    </row>
    <row r="10" spans="1:26">
      <c r="A10" s="317">
        <v>8.15</v>
      </c>
      <c r="B10" s="137">
        <v>0.34375</v>
      </c>
      <c r="C10" s="140">
        <f>IF(ISERROR(VLOOKUP($A10,$S$5:$Z$65,C$1,FALSE)*((100%-GRA!$K$2))),0,VLOOKUP($A10,$S$5:$Z$65,C$1,FALSE)*((100%-GRA!$K$2)))</f>
        <v>0</v>
      </c>
      <c r="D10" s="140">
        <f>IF(ISERROR(VLOOKUP($A10,$S$5:$Z$65,D$1,FALSE)*((100%-GRA!$K$2))),0,VLOOKUP($A10,$S$5:$Z$65,D$1,FALSE)*((100%-GRA!$K$2)))</f>
        <v>0</v>
      </c>
      <c r="E10" s="140">
        <f>IF(ISERROR(VLOOKUP($A10,$S$5:$Z$65,E$1,FALSE)*((100%-GRA!$K$2))),0,VLOOKUP($A10,$S$5:$Z$65,E$1,FALSE)*((100%-GRA!$K$2)))</f>
        <v>0</v>
      </c>
      <c r="F10" s="140">
        <f>IF(ISERROR(VLOOKUP($A10,$S$5:$Z$65,F$1,FALSE)*((100%-GRA!$K$2))),0,VLOOKUP($A10,$S$5:$Z$65,F$1,FALSE)*((100%-GRA!$K$2)))</f>
        <v>0</v>
      </c>
      <c r="G10" s="140">
        <f>IF(ISERROR(VLOOKUP($A10,$S$5:$Z$65,G$1,FALSE)*((100%-GRA!$K$2))),0,VLOOKUP($A10,$S$5:$Z$65,G$1,FALSE)*((100%-GRA!$K$2)))</f>
        <v>0</v>
      </c>
      <c r="H10" s="140">
        <f>IF(ISERROR(VLOOKUP($A10,$S$5:$Z$65,H$1,FALSE)*((100%-GRA!$K$2))),0,VLOOKUP($A10,$S$5:$Z$65,H$1,FALSE)*((100%-GRA!$K$2)))</f>
        <v>0</v>
      </c>
      <c r="I10" s="140">
        <f>IF(ISERROR(VLOOKUP($A10,$S$5:$Z$65,I$1,FALSE)*((100%-GRA!$K$2))),0,VLOOKUP($A10,$S$5:$Z$65,I$1,FALSE)*((100%-GRA!$K$2)))</f>
        <v>0</v>
      </c>
      <c r="K10" s="140" t="str">
        <f t="shared" si="6"/>
        <v/>
      </c>
      <c r="L10" s="140" t="str">
        <f t="shared" si="0"/>
        <v/>
      </c>
      <c r="M10" s="140" t="str">
        <f t="shared" si="1"/>
        <v/>
      </c>
      <c r="N10" s="140" t="str">
        <f t="shared" si="2"/>
        <v/>
      </c>
      <c r="O10" s="140" t="str">
        <f t="shared" si="3"/>
        <v/>
      </c>
      <c r="P10" s="140" t="str">
        <f t="shared" si="4"/>
        <v/>
      </c>
      <c r="Q10" s="140" t="str">
        <f t="shared" si="5"/>
        <v/>
      </c>
      <c r="R10" s="143">
        <v>14</v>
      </c>
      <c r="S10" s="140">
        <f>+Incassi!A15</f>
        <v>0</v>
      </c>
      <c r="T10" s="140" t="e">
        <f>HLOOKUP(T$3,Incassi!$B$2:$H$80,$R10,FALSE)</f>
        <v>#N/A</v>
      </c>
      <c r="U10" s="140" t="e">
        <f>HLOOKUP(U$3,Incassi!$B$2:$H$80,$R10,FALSE)</f>
        <v>#N/A</v>
      </c>
      <c r="V10" s="140" t="e">
        <f>HLOOKUP(V$3,Incassi!$B$2:$H$80,$R10,FALSE)</f>
        <v>#N/A</v>
      </c>
      <c r="W10" s="140" t="e">
        <f>HLOOKUP(W$3,Incassi!$B$2:$H$80,$R10,FALSE)</f>
        <v>#N/A</v>
      </c>
      <c r="X10" s="140" t="e">
        <f>HLOOKUP(X$3,Incassi!$B$2:$H$80,$R10,FALSE)</f>
        <v>#N/A</v>
      </c>
      <c r="Y10" s="140" t="e">
        <f>HLOOKUP(Y$3,Incassi!$B$2:$H$80,$R10,FALSE)</f>
        <v>#N/A</v>
      </c>
      <c r="Z10" s="140" t="e">
        <f>HLOOKUP(Z$3,Incassi!$B$2:$H$80,$R10,FALSE)</f>
        <v>#N/A</v>
      </c>
    </row>
    <row r="11" spans="1:26">
      <c r="A11" s="317">
        <v>8.3000000000000007</v>
      </c>
      <c r="B11" s="136">
        <v>0.35416666666666602</v>
      </c>
      <c r="C11" s="139">
        <f>IF(ISERROR(VLOOKUP($A11,$S$5:$Z$65,C$1,FALSE)*((100%-GRA!$K$2))),0,VLOOKUP($A11,$S$5:$Z$65,C$1,FALSE)*((100%-GRA!$K$2)))</f>
        <v>0</v>
      </c>
      <c r="D11" s="139">
        <f>IF(ISERROR(VLOOKUP($A11,$S$5:$Z$65,D$1,FALSE)*((100%-GRA!$K$2))),0,VLOOKUP($A11,$S$5:$Z$65,D$1,FALSE)*((100%-GRA!$K$2)))</f>
        <v>0</v>
      </c>
      <c r="E11" s="139">
        <f>IF(ISERROR(VLOOKUP($A11,$S$5:$Z$65,E$1,FALSE)*((100%-GRA!$K$2))),0,VLOOKUP($A11,$S$5:$Z$65,E$1,FALSE)*((100%-GRA!$K$2)))</f>
        <v>0</v>
      </c>
      <c r="F11" s="139">
        <f>IF(ISERROR(VLOOKUP($A11,$S$5:$Z$65,F$1,FALSE)*((100%-GRA!$K$2))),0,VLOOKUP($A11,$S$5:$Z$65,F$1,FALSE)*((100%-GRA!$K$2)))</f>
        <v>0</v>
      </c>
      <c r="G11" s="139">
        <f>IF(ISERROR(VLOOKUP($A11,$S$5:$Z$65,G$1,FALSE)*((100%-GRA!$K$2))),0,VLOOKUP($A11,$S$5:$Z$65,G$1,FALSE)*((100%-GRA!$K$2)))</f>
        <v>0</v>
      </c>
      <c r="H11" s="139">
        <f>IF(ISERROR(VLOOKUP($A11,$S$5:$Z$65,H$1,FALSE)*((100%-GRA!$K$2))),0,VLOOKUP($A11,$S$5:$Z$65,H$1,FALSE)*((100%-GRA!$K$2)))</f>
        <v>0</v>
      </c>
      <c r="I11" s="139">
        <f>IF(ISERROR(VLOOKUP($A11,$S$5:$Z$65,I$1,FALSE)*((100%-GRA!$K$2))),0,VLOOKUP($A11,$S$5:$Z$65,I$1,FALSE)*((100%-GRA!$K$2)))</f>
        <v>0</v>
      </c>
      <c r="K11" s="139" t="str">
        <f t="shared" si="6"/>
        <v/>
      </c>
      <c r="L11" s="139" t="str">
        <f t="shared" si="0"/>
        <v/>
      </c>
      <c r="M11" s="139" t="str">
        <f t="shared" si="1"/>
        <v/>
      </c>
      <c r="N11" s="139" t="str">
        <f t="shared" si="2"/>
        <v/>
      </c>
      <c r="O11" s="139" t="str">
        <f t="shared" si="3"/>
        <v/>
      </c>
      <c r="P11" s="139" t="str">
        <f t="shared" si="4"/>
        <v/>
      </c>
      <c r="Q11" s="139" t="str">
        <f t="shared" si="5"/>
        <v/>
      </c>
      <c r="R11" s="143">
        <v>15</v>
      </c>
      <c r="S11" s="139">
        <f>+Incassi!A16</f>
        <v>0</v>
      </c>
      <c r="T11" s="139" t="e">
        <f>HLOOKUP(T$3,Incassi!$B$2:$H$80,$R11,FALSE)</f>
        <v>#N/A</v>
      </c>
      <c r="U11" s="139" t="e">
        <f>HLOOKUP(U$3,Incassi!$B$2:$H$80,$R11,FALSE)</f>
        <v>#N/A</v>
      </c>
      <c r="V11" s="139" t="e">
        <f>HLOOKUP(V$3,Incassi!$B$2:$H$80,$R11,FALSE)</f>
        <v>#N/A</v>
      </c>
      <c r="W11" s="139" t="e">
        <f>HLOOKUP(W$3,Incassi!$B$2:$H$80,$R11,FALSE)</f>
        <v>#N/A</v>
      </c>
      <c r="X11" s="139" t="e">
        <f>HLOOKUP(X$3,Incassi!$B$2:$H$80,$R11,FALSE)</f>
        <v>#N/A</v>
      </c>
      <c r="Y11" s="139" t="e">
        <f>HLOOKUP(Y$3,Incassi!$B$2:$H$80,$R11,FALSE)</f>
        <v>#N/A</v>
      </c>
      <c r="Z11" s="139" t="e">
        <f>HLOOKUP(Z$3,Incassi!$B$2:$H$80,$R11,FALSE)</f>
        <v>#N/A</v>
      </c>
    </row>
    <row r="12" spans="1:26">
      <c r="A12" s="317">
        <v>8.4500000000000011</v>
      </c>
      <c r="B12" s="137">
        <v>0.36458333333333298</v>
      </c>
      <c r="C12" s="140">
        <f>IF(ISERROR(VLOOKUP($A12,$S$5:$Z$65,C$1,FALSE)*((100%-GRA!$K$2))),0,VLOOKUP($A12,$S$5:$Z$65,C$1,FALSE)*((100%-GRA!$K$2)))</f>
        <v>0</v>
      </c>
      <c r="D12" s="140">
        <f>IF(ISERROR(VLOOKUP($A12,$S$5:$Z$65,D$1,FALSE)*((100%-GRA!$K$2))),0,VLOOKUP($A12,$S$5:$Z$65,D$1,FALSE)*((100%-GRA!$K$2)))</f>
        <v>0</v>
      </c>
      <c r="E12" s="140">
        <f>IF(ISERROR(VLOOKUP($A12,$S$5:$Z$65,E$1,FALSE)*((100%-GRA!$K$2))),0,VLOOKUP($A12,$S$5:$Z$65,E$1,FALSE)*((100%-GRA!$K$2)))</f>
        <v>0</v>
      </c>
      <c r="F12" s="140">
        <f>IF(ISERROR(VLOOKUP($A12,$S$5:$Z$65,F$1,FALSE)*((100%-GRA!$K$2))),0,VLOOKUP($A12,$S$5:$Z$65,F$1,FALSE)*((100%-GRA!$K$2)))</f>
        <v>0</v>
      </c>
      <c r="G12" s="140">
        <f>IF(ISERROR(VLOOKUP($A12,$S$5:$Z$65,G$1,FALSE)*((100%-GRA!$K$2))),0,VLOOKUP($A12,$S$5:$Z$65,G$1,FALSE)*((100%-GRA!$K$2)))</f>
        <v>0</v>
      </c>
      <c r="H12" s="140">
        <f>IF(ISERROR(VLOOKUP($A12,$S$5:$Z$65,H$1,FALSE)*((100%-GRA!$K$2))),0,VLOOKUP($A12,$S$5:$Z$65,H$1,FALSE)*((100%-GRA!$K$2)))</f>
        <v>0</v>
      </c>
      <c r="I12" s="140">
        <f>IF(ISERROR(VLOOKUP($A12,$S$5:$Z$65,I$1,FALSE)*((100%-GRA!$K$2))),0,VLOOKUP($A12,$S$5:$Z$65,I$1,FALSE)*((100%-GRA!$K$2)))</f>
        <v>0</v>
      </c>
      <c r="K12" s="140" t="str">
        <f t="shared" si="6"/>
        <v/>
      </c>
      <c r="L12" s="140" t="str">
        <f t="shared" si="0"/>
        <v/>
      </c>
      <c r="M12" s="140" t="str">
        <f t="shared" si="1"/>
        <v/>
      </c>
      <c r="N12" s="140" t="str">
        <f t="shared" si="2"/>
        <v/>
      </c>
      <c r="O12" s="140" t="str">
        <f t="shared" si="3"/>
        <v/>
      </c>
      <c r="P12" s="140" t="str">
        <f t="shared" si="4"/>
        <v/>
      </c>
      <c r="Q12" s="140" t="str">
        <f t="shared" si="5"/>
        <v/>
      </c>
      <c r="R12" s="143">
        <v>16</v>
      </c>
      <c r="S12" s="140">
        <f>+Incassi!A17</f>
        <v>0</v>
      </c>
      <c r="T12" s="140" t="e">
        <f>HLOOKUP(T$3,Incassi!$B$2:$H$80,$R12,FALSE)</f>
        <v>#N/A</v>
      </c>
      <c r="U12" s="140" t="e">
        <f>HLOOKUP(U$3,Incassi!$B$2:$H$80,$R12,FALSE)</f>
        <v>#N/A</v>
      </c>
      <c r="V12" s="140" t="e">
        <f>HLOOKUP(V$3,Incassi!$B$2:$H$80,$R12,FALSE)</f>
        <v>#N/A</v>
      </c>
      <c r="W12" s="140" t="e">
        <f>HLOOKUP(W$3,Incassi!$B$2:$H$80,$R12,FALSE)</f>
        <v>#N/A</v>
      </c>
      <c r="X12" s="140" t="e">
        <f>HLOOKUP(X$3,Incassi!$B$2:$H$80,$R12,FALSE)</f>
        <v>#N/A</v>
      </c>
      <c r="Y12" s="140" t="e">
        <f>HLOOKUP(Y$3,Incassi!$B$2:$H$80,$R12,FALSE)</f>
        <v>#N/A</v>
      </c>
      <c r="Z12" s="140" t="e">
        <f>HLOOKUP(Z$3,Incassi!$B$2:$H$80,$R12,FALSE)</f>
        <v>#N/A</v>
      </c>
    </row>
    <row r="13" spans="1:26">
      <c r="A13" s="317">
        <v>9</v>
      </c>
      <c r="B13" s="136">
        <v>0.375</v>
      </c>
      <c r="C13" s="139">
        <f>IF(ISERROR(VLOOKUP($A13,$S$5:$Z$65,C$1,FALSE)*((100%-GRA!$K$2))),0,VLOOKUP($A13,$S$5:$Z$65,C$1,FALSE)*((100%-GRA!$K$2)))</f>
        <v>0</v>
      </c>
      <c r="D13" s="139">
        <f>IF(ISERROR(VLOOKUP($A13,$S$5:$Z$65,D$1,FALSE)*((100%-GRA!$K$2))),0,VLOOKUP($A13,$S$5:$Z$65,D$1,FALSE)*((100%-GRA!$K$2)))</f>
        <v>0</v>
      </c>
      <c r="E13" s="139">
        <f>IF(ISERROR(VLOOKUP($A13,$S$5:$Z$65,E$1,FALSE)*((100%-GRA!$K$2))),0,VLOOKUP($A13,$S$5:$Z$65,E$1,FALSE)*((100%-GRA!$K$2)))</f>
        <v>0</v>
      </c>
      <c r="F13" s="139">
        <f>IF(ISERROR(VLOOKUP($A13,$S$5:$Z$65,F$1,FALSE)*((100%-GRA!$K$2))),0,VLOOKUP($A13,$S$5:$Z$65,F$1,FALSE)*((100%-GRA!$K$2)))</f>
        <v>0</v>
      </c>
      <c r="G13" s="139">
        <f>IF(ISERROR(VLOOKUP($A13,$S$5:$Z$65,G$1,FALSE)*((100%-GRA!$K$2))),0,VLOOKUP($A13,$S$5:$Z$65,G$1,FALSE)*((100%-GRA!$K$2)))</f>
        <v>0</v>
      </c>
      <c r="H13" s="139">
        <f>IF(ISERROR(VLOOKUP($A13,$S$5:$Z$65,H$1,FALSE)*((100%-GRA!$K$2))),0,VLOOKUP($A13,$S$5:$Z$65,H$1,FALSE)*((100%-GRA!$K$2)))</f>
        <v>0</v>
      </c>
      <c r="I13" s="139">
        <f>IF(ISERROR(VLOOKUP($A13,$S$5:$Z$65,I$1,FALSE)*((100%-GRA!$K$2))),0,VLOOKUP($A13,$S$5:$Z$65,I$1,FALSE)*((100%-GRA!$K$2)))</f>
        <v>0</v>
      </c>
      <c r="K13" s="139" t="str">
        <f t="shared" si="6"/>
        <v/>
      </c>
      <c r="L13" s="139" t="str">
        <f t="shared" si="0"/>
        <v/>
      </c>
      <c r="M13" s="139" t="str">
        <f t="shared" si="1"/>
        <v/>
      </c>
      <c r="N13" s="139" t="str">
        <f t="shared" si="2"/>
        <v/>
      </c>
      <c r="O13" s="139" t="str">
        <f t="shared" si="3"/>
        <v/>
      </c>
      <c r="P13" s="139" t="str">
        <f t="shared" si="4"/>
        <v/>
      </c>
      <c r="Q13" s="139" t="str">
        <f t="shared" si="5"/>
        <v/>
      </c>
      <c r="R13" s="143">
        <v>17</v>
      </c>
      <c r="S13" s="139">
        <f>+Incassi!A18</f>
        <v>0</v>
      </c>
      <c r="T13" s="139" t="e">
        <f>HLOOKUP(T$3,Incassi!$B$2:$H$80,$R13,FALSE)</f>
        <v>#N/A</v>
      </c>
      <c r="U13" s="139" t="e">
        <f>HLOOKUP(U$3,Incassi!$B$2:$H$80,$R13,FALSE)</f>
        <v>#N/A</v>
      </c>
      <c r="V13" s="139" t="e">
        <f>HLOOKUP(V$3,Incassi!$B$2:$H$80,$R13,FALSE)</f>
        <v>#N/A</v>
      </c>
      <c r="W13" s="139" t="e">
        <f>HLOOKUP(W$3,Incassi!$B$2:$H$80,$R13,FALSE)</f>
        <v>#N/A</v>
      </c>
      <c r="X13" s="139" t="e">
        <f>HLOOKUP(X$3,Incassi!$B$2:$H$80,$R13,FALSE)</f>
        <v>#N/A</v>
      </c>
      <c r="Y13" s="139" t="e">
        <f>HLOOKUP(Y$3,Incassi!$B$2:$H$80,$R13,FALSE)</f>
        <v>#N/A</v>
      </c>
      <c r="Z13" s="139" t="e">
        <f>HLOOKUP(Z$3,Incassi!$B$2:$H$80,$R13,FALSE)</f>
        <v>#N/A</v>
      </c>
    </row>
    <row r="14" spans="1:26">
      <c r="A14" s="317">
        <v>9.15</v>
      </c>
      <c r="B14" s="137">
        <v>0.38541666666666602</v>
      </c>
      <c r="C14" s="140">
        <f>IF(ISERROR(VLOOKUP($A14,$S$5:$Z$65,C$1,FALSE)*((100%-GRA!$K$2))),0,VLOOKUP($A14,$S$5:$Z$65,C$1,FALSE)*((100%-GRA!$K$2)))</f>
        <v>0</v>
      </c>
      <c r="D14" s="140">
        <f>IF(ISERROR(VLOOKUP($A14,$S$5:$Z$65,D$1,FALSE)*((100%-GRA!$K$2))),0,VLOOKUP($A14,$S$5:$Z$65,D$1,FALSE)*((100%-GRA!$K$2)))</f>
        <v>0</v>
      </c>
      <c r="E14" s="140">
        <f>IF(ISERROR(VLOOKUP($A14,$S$5:$Z$65,E$1,FALSE)*((100%-GRA!$K$2))),0,VLOOKUP($A14,$S$5:$Z$65,E$1,FALSE)*((100%-GRA!$K$2)))</f>
        <v>0</v>
      </c>
      <c r="F14" s="140">
        <f>IF(ISERROR(VLOOKUP($A14,$S$5:$Z$65,F$1,FALSE)*((100%-GRA!$K$2))),0,VLOOKUP($A14,$S$5:$Z$65,F$1,FALSE)*((100%-GRA!$K$2)))</f>
        <v>0</v>
      </c>
      <c r="G14" s="140">
        <f>IF(ISERROR(VLOOKUP($A14,$S$5:$Z$65,G$1,FALSE)*((100%-GRA!$K$2))),0,VLOOKUP($A14,$S$5:$Z$65,G$1,FALSE)*((100%-GRA!$K$2)))</f>
        <v>0</v>
      </c>
      <c r="H14" s="140">
        <f>IF(ISERROR(VLOOKUP($A14,$S$5:$Z$65,H$1,FALSE)*((100%-GRA!$K$2))),0,VLOOKUP($A14,$S$5:$Z$65,H$1,FALSE)*((100%-GRA!$K$2)))</f>
        <v>0</v>
      </c>
      <c r="I14" s="140">
        <f>IF(ISERROR(VLOOKUP($A14,$S$5:$Z$65,I$1,FALSE)*((100%-GRA!$K$2))),0,VLOOKUP($A14,$S$5:$Z$65,I$1,FALSE)*((100%-GRA!$K$2)))</f>
        <v>0</v>
      </c>
      <c r="K14" s="140" t="str">
        <f t="shared" si="6"/>
        <v/>
      </c>
      <c r="L14" s="140" t="str">
        <f t="shared" si="0"/>
        <v/>
      </c>
      <c r="M14" s="140" t="str">
        <f t="shared" si="1"/>
        <v/>
      </c>
      <c r="N14" s="140" t="str">
        <f t="shared" si="2"/>
        <v/>
      </c>
      <c r="O14" s="140" t="str">
        <f t="shared" si="3"/>
        <v/>
      </c>
      <c r="P14" s="140" t="str">
        <f t="shared" si="4"/>
        <v/>
      </c>
      <c r="Q14" s="140" t="str">
        <f t="shared" si="5"/>
        <v/>
      </c>
      <c r="R14" s="143">
        <v>18</v>
      </c>
      <c r="S14" s="140">
        <f>+Incassi!A19</f>
        <v>0</v>
      </c>
      <c r="T14" s="140" t="e">
        <f>HLOOKUP(T$3,Incassi!$B$2:$H$80,$R14,FALSE)</f>
        <v>#N/A</v>
      </c>
      <c r="U14" s="140" t="e">
        <f>HLOOKUP(U$3,Incassi!$B$2:$H$80,$R14,FALSE)</f>
        <v>#N/A</v>
      </c>
      <c r="V14" s="140" t="e">
        <f>HLOOKUP(V$3,Incassi!$B$2:$H$80,$R14,FALSE)</f>
        <v>#N/A</v>
      </c>
      <c r="W14" s="140" t="e">
        <f>HLOOKUP(W$3,Incassi!$B$2:$H$80,$R14,FALSE)</f>
        <v>#N/A</v>
      </c>
      <c r="X14" s="140" t="e">
        <f>HLOOKUP(X$3,Incassi!$B$2:$H$80,$R14,FALSE)</f>
        <v>#N/A</v>
      </c>
      <c r="Y14" s="140" t="e">
        <f>HLOOKUP(Y$3,Incassi!$B$2:$H$80,$R14,FALSE)</f>
        <v>#N/A</v>
      </c>
      <c r="Z14" s="140" t="e">
        <f>HLOOKUP(Z$3,Incassi!$B$2:$H$80,$R14,FALSE)</f>
        <v>#N/A</v>
      </c>
    </row>
    <row r="15" spans="1:26">
      <c r="A15" s="317">
        <v>9.3000000000000007</v>
      </c>
      <c r="B15" s="136">
        <v>0.39583333333333298</v>
      </c>
      <c r="C15" s="139">
        <f>IF(ISERROR(VLOOKUP($A15,$S$5:$Z$65,C$1,FALSE)*((100%-GRA!$K$2))),0,VLOOKUP($A15,$S$5:$Z$65,C$1,FALSE)*((100%-GRA!$K$2)))</f>
        <v>0</v>
      </c>
      <c r="D15" s="139">
        <f>IF(ISERROR(VLOOKUP($A15,$S$5:$Z$65,D$1,FALSE)*((100%-GRA!$K$2))),0,VLOOKUP($A15,$S$5:$Z$65,D$1,FALSE)*((100%-GRA!$K$2)))</f>
        <v>0</v>
      </c>
      <c r="E15" s="139">
        <f>IF(ISERROR(VLOOKUP($A15,$S$5:$Z$65,E$1,FALSE)*((100%-GRA!$K$2))),0,VLOOKUP($A15,$S$5:$Z$65,E$1,FALSE)*((100%-GRA!$K$2)))</f>
        <v>0</v>
      </c>
      <c r="F15" s="139">
        <f>IF(ISERROR(VLOOKUP($A15,$S$5:$Z$65,F$1,FALSE)*((100%-GRA!$K$2))),0,VLOOKUP($A15,$S$5:$Z$65,F$1,FALSE)*((100%-GRA!$K$2)))</f>
        <v>0</v>
      </c>
      <c r="G15" s="139">
        <f>IF(ISERROR(VLOOKUP($A15,$S$5:$Z$65,G$1,FALSE)*((100%-GRA!$K$2))),0,VLOOKUP($A15,$S$5:$Z$65,G$1,FALSE)*((100%-GRA!$K$2)))</f>
        <v>0</v>
      </c>
      <c r="H15" s="139">
        <f>IF(ISERROR(VLOOKUP($A15,$S$5:$Z$65,H$1,FALSE)*((100%-GRA!$K$2))),0,VLOOKUP($A15,$S$5:$Z$65,H$1,FALSE)*((100%-GRA!$K$2)))</f>
        <v>0</v>
      </c>
      <c r="I15" s="139">
        <f>IF(ISERROR(VLOOKUP($A15,$S$5:$Z$65,I$1,FALSE)*((100%-GRA!$K$2))),0,VLOOKUP($A15,$S$5:$Z$65,I$1,FALSE)*((100%-GRA!$K$2)))</f>
        <v>0</v>
      </c>
      <c r="K15" s="139" t="str">
        <f t="shared" si="6"/>
        <v/>
      </c>
      <c r="L15" s="139" t="str">
        <f t="shared" si="0"/>
        <v/>
      </c>
      <c r="M15" s="139" t="str">
        <f t="shared" si="1"/>
        <v/>
      </c>
      <c r="N15" s="139" t="str">
        <f t="shared" si="2"/>
        <v/>
      </c>
      <c r="O15" s="139" t="str">
        <f t="shared" si="3"/>
        <v/>
      </c>
      <c r="P15" s="139" t="str">
        <f t="shared" si="4"/>
        <v/>
      </c>
      <c r="Q15" s="139" t="str">
        <f t="shared" si="5"/>
        <v/>
      </c>
      <c r="R15" s="143">
        <v>19</v>
      </c>
      <c r="S15" s="139">
        <f>+Incassi!A20</f>
        <v>0</v>
      </c>
      <c r="T15" s="139" t="e">
        <f>HLOOKUP(T$3,Incassi!$B$2:$H$80,$R15,FALSE)</f>
        <v>#N/A</v>
      </c>
      <c r="U15" s="139" t="e">
        <f>HLOOKUP(U$3,Incassi!$B$2:$H$80,$R15,FALSE)</f>
        <v>#N/A</v>
      </c>
      <c r="V15" s="139" t="e">
        <f>HLOOKUP(V$3,Incassi!$B$2:$H$80,$R15,FALSE)</f>
        <v>#N/A</v>
      </c>
      <c r="W15" s="139" t="e">
        <f>HLOOKUP(W$3,Incassi!$B$2:$H$80,$R15,FALSE)</f>
        <v>#N/A</v>
      </c>
      <c r="X15" s="139" t="e">
        <f>HLOOKUP(X$3,Incassi!$B$2:$H$80,$R15,FALSE)</f>
        <v>#N/A</v>
      </c>
      <c r="Y15" s="139" t="e">
        <f>HLOOKUP(Y$3,Incassi!$B$2:$H$80,$R15,FALSE)</f>
        <v>#N/A</v>
      </c>
      <c r="Z15" s="139" t="e">
        <f>HLOOKUP(Z$3,Incassi!$B$2:$H$80,$R15,FALSE)</f>
        <v>#N/A</v>
      </c>
    </row>
    <row r="16" spans="1:26">
      <c r="A16" s="317">
        <v>9.4500000000000011</v>
      </c>
      <c r="B16" s="137">
        <v>0.40625</v>
      </c>
      <c r="C16" s="140">
        <f>IF(ISERROR(VLOOKUP($A16,$S$5:$Z$65,C$1,FALSE)*((100%-GRA!$K$2))),0,VLOOKUP($A16,$S$5:$Z$65,C$1,FALSE)*((100%-GRA!$K$2)))</f>
        <v>0</v>
      </c>
      <c r="D16" s="140">
        <f>IF(ISERROR(VLOOKUP($A16,$S$5:$Z$65,D$1,FALSE)*((100%-GRA!$K$2))),0,VLOOKUP($A16,$S$5:$Z$65,D$1,FALSE)*((100%-GRA!$K$2)))</f>
        <v>0</v>
      </c>
      <c r="E16" s="140">
        <f>IF(ISERROR(VLOOKUP($A16,$S$5:$Z$65,E$1,FALSE)*((100%-GRA!$K$2))),0,VLOOKUP($A16,$S$5:$Z$65,E$1,FALSE)*((100%-GRA!$K$2)))</f>
        <v>0</v>
      </c>
      <c r="F16" s="140">
        <f>IF(ISERROR(VLOOKUP($A16,$S$5:$Z$65,F$1,FALSE)*((100%-GRA!$K$2))),0,VLOOKUP($A16,$S$5:$Z$65,F$1,FALSE)*((100%-GRA!$K$2)))</f>
        <v>0</v>
      </c>
      <c r="G16" s="140">
        <f>IF(ISERROR(VLOOKUP($A16,$S$5:$Z$65,G$1,FALSE)*((100%-GRA!$K$2))),0,VLOOKUP($A16,$S$5:$Z$65,G$1,FALSE)*((100%-GRA!$K$2)))</f>
        <v>0</v>
      </c>
      <c r="H16" s="140">
        <f>IF(ISERROR(VLOOKUP($A16,$S$5:$Z$65,H$1,FALSE)*((100%-GRA!$K$2))),0,VLOOKUP($A16,$S$5:$Z$65,H$1,FALSE)*((100%-GRA!$K$2)))</f>
        <v>0</v>
      </c>
      <c r="I16" s="140">
        <f>IF(ISERROR(VLOOKUP($A16,$S$5:$Z$65,I$1,FALSE)*((100%-GRA!$K$2))),0,VLOOKUP($A16,$S$5:$Z$65,I$1,FALSE)*((100%-GRA!$K$2)))</f>
        <v>0</v>
      </c>
      <c r="K16" s="140" t="str">
        <f t="shared" si="6"/>
        <v/>
      </c>
      <c r="L16" s="140" t="str">
        <f t="shared" si="0"/>
        <v/>
      </c>
      <c r="M16" s="140" t="str">
        <f t="shared" si="1"/>
        <v/>
      </c>
      <c r="N16" s="140" t="str">
        <f t="shared" si="2"/>
        <v/>
      </c>
      <c r="O16" s="140" t="str">
        <f t="shared" si="3"/>
        <v/>
      </c>
      <c r="P16" s="140" t="str">
        <f t="shared" si="4"/>
        <v/>
      </c>
      <c r="Q16" s="140" t="str">
        <f t="shared" si="5"/>
        <v/>
      </c>
      <c r="R16" s="143">
        <v>20</v>
      </c>
      <c r="S16" s="140">
        <f>+Incassi!A21</f>
        <v>0</v>
      </c>
      <c r="T16" s="140" t="e">
        <f>HLOOKUP(T$3,Incassi!$B$2:$H$80,$R16,FALSE)</f>
        <v>#N/A</v>
      </c>
      <c r="U16" s="140" t="e">
        <f>HLOOKUP(U$3,Incassi!$B$2:$H$80,$R16,FALSE)</f>
        <v>#N/A</v>
      </c>
      <c r="V16" s="140" t="e">
        <f>HLOOKUP(V$3,Incassi!$B$2:$H$80,$R16,FALSE)</f>
        <v>#N/A</v>
      </c>
      <c r="W16" s="140" t="e">
        <f>HLOOKUP(W$3,Incassi!$B$2:$H$80,$R16,FALSE)</f>
        <v>#N/A</v>
      </c>
      <c r="X16" s="140" t="e">
        <f>HLOOKUP(X$3,Incassi!$B$2:$H$80,$R16,FALSE)</f>
        <v>#N/A</v>
      </c>
      <c r="Y16" s="140" t="e">
        <f>HLOOKUP(Y$3,Incassi!$B$2:$H$80,$R16,FALSE)</f>
        <v>#N/A</v>
      </c>
      <c r="Z16" s="140" t="e">
        <f>HLOOKUP(Z$3,Incassi!$B$2:$H$80,$R16,FALSE)</f>
        <v>#N/A</v>
      </c>
    </row>
    <row r="17" spans="1:26">
      <c r="A17" s="317">
        <v>10</v>
      </c>
      <c r="B17" s="136">
        <v>0.41666666666666702</v>
      </c>
      <c r="C17" s="139">
        <f>IF(ISERROR(VLOOKUP($A17,$S$5:$Z$65,C$1,FALSE)*((100%-GRA!$K$2))),0,VLOOKUP($A17,$S$5:$Z$65,C$1,FALSE)*((100%-GRA!$K$2)))</f>
        <v>0</v>
      </c>
      <c r="D17" s="139">
        <f>IF(ISERROR(VLOOKUP($A17,$S$5:$Z$65,D$1,FALSE)*((100%-GRA!$K$2))),0,VLOOKUP($A17,$S$5:$Z$65,D$1,FALSE)*((100%-GRA!$K$2)))</f>
        <v>0</v>
      </c>
      <c r="E17" s="139">
        <f>IF(ISERROR(VLOOKUP($A17,$S$5:$Z$65,E$1,FALSE)*((100%-GRA!$K$2))),0,VLOOKUP($A17,$S$5:$Z$65,E$1,FALSE)*((100%-GRA!$K$2)))</f>
        <v>0</v>
      </c>
      <c r="F17" s="139">
        <f>IF(ISERROR(VLOOKUP($A17,$S$5:$Z$65,F$1,FALSE)*((100%-GRA!$K$2))),0,VLOOKUP($A17,$S$5:$Z$65,F$1,FALSE)*((100%-GRA!$K$2)))</f>
        <v>0</v>
      </c>
      <c r="G17" s="139">
        <f>IF(ISERROR(VLOOKUP($A17,$S$5:$Z$65,G$1,FALSE)*((100%-GRA!$K$2))),0,VLOOKUP($A17,$S$5:$Z$65,G$1,FALSE)*((100%-GRA!$K$2)))</f>
        <v>0</v>
      </c>
      <c r="H17" s="139">
        <f>IF(ISERROR(VLOOKUP($A17,$S$5:$Z$65,H$1,FALSE)*((100%-GRA!$K$2))),0,VLOOKUP($A17,$S$5:$Z$65,H$1,FALSE)*((100%-GRA!$K$2)))</f>
        <v>0</v>
      </c>
      <c r="I17" s="139">
        <f>IF(ISERROR(VLOOKUP($A17,$S$5:$Z$65,I$1,FALSE)*((100%-GRA!$K$2))),0,VLOOKUP($A17,$S$5:$Z$65,I$1,FALSE)*((100%-GRA!$K$2)))</f>
        <v>0</v>
      </c>
      <c r="K17" s="139" t="str">
        <f t="shared" si="6"/>
        <v/>
      </c>
      <c r="L17" s="139" t="str">
        <f t="shared" si="0"/>
        <v/>
      </c>
      <c r="M17" s="139" t="str">
        <f t="shared" si="1"/>
        <v/>
      </c>
      <c r="N17" s="139" t="str">
        <f t="shared" si="2"/>
        <v/>
      </c>
      <c r="O17" s="139" t="str">
        <f t="shared" si="3"/>
        <v/>
      </c>
      <c r="P17" s="139" t="str">
        <f t="shared" si="4"/>
        <v/>
      </c>
      <c r="Q17" s="139" t="str">
        <f t="shared" si="5"/>
        <v/>
      </c>
      <c r="R17" s="143">
        <v>21</v>
      </c>
      <c r="S17" s="139">
        <f>+Incassi!A22</f>
        <v>0</v>
      </c>
      <c r="T17" s="139" t="e">
        <f>HLOOKUP(T$3,Incassi!$B$2:$H$80,$R17,FALSE)</f>
        <v>#N/A</v>
      </c>
      <c r="U17" s="139" t="e">
        <f>HLOOKUP(U$3,Incassi!$B$2:$H$80,$R17,FALSE)</f>
        <v>#N/A</v>
      </c>
      <c r="V17" s="139" t="e">
        <f>HLOOKUP(V$3,Incassi!$B$2:$H$80,$R17,FALSE)</f>
        <v>#N/A</v>
      </c>
      <c r="W17" s="139" t="e">
        <f>HLOOKUP(W$3,Incassi!$B$2:$H$80,$R17,FALSE)</f>
        <v>#N/A</v>
      </c>
      <c r="X17" s="139" t="e">
        <f>HLOOKUP(X$3,Incassi!$B$2:$H$80,$R17,FALSE)</f>
        <v>#N/A</v>
      </c>
      <c r="Y17" s="139" t="e">
        <f>HLOOKUP(Y$3,Incassi!$B$2:$H$80,$R17,FALSE)</f>
        <v>#N/A</v>
      </c>
      <c r="Z17" s="139" t="e">
        <f>HLOOKUP(Z$3,Incassi!$B$2:$H$80,$R17,FALSE)</f>
        <v>#N/A</v>
      </c>
    </row>
    <row r="18" spans="1:26">
      <c r="A18" s="317">
        <v>10.15</v>
      </c>
      <c r="B18" s="137">
        <v>0.42708333333333298</v>
      </c>
      <c r="C18" s="140">
        <f>IF(ISERROR(VLOOKUP($A18,$S$5:$Z$65,C$1,FALSE)*((100%-GRA!$K$2))),0,VLOOKUP($A18,$S$5:$Z$65,C$1,FALSE)*((100%-GRA!$K$2)))</f>
        <v>0</v>
      </c>
      <c r="D18" s="140">
        <f>IF(ISERROR(VLOOKUP($A18,$S$5:$Z$65,D$1,FALSE)*((100%-GRA!$K$2))),0,VLOOKUP($A18,$S$5:$Z$65,D$1,FALSE)*((100%-GRA!$K$2)))</f>
        <v>0</v>
      </c>
      <c r="E18" s="140">
        <f>IF(ISERROR(VLOOKUP($A18,$S$5:$Z$65,E$1,FALSE)*((100%-GRA!$K$2))),0,VLOOKUP($A18,$S$5:$Z$65,E$1,FALSE)*((100%-GRA!$K$2)))</f>
        <v>0</v>
      </c>
      <c r="F18" s="140">
        <f>IF(ISERROR(VLOOKUP($A18,$S$5:$Z$65,F$1,FALSE)*((100%-GRA!$K$2))),0,VLOOKUP($A18,$S$5:$Z$65,F$1,FALSE)*((100%-GRA!$K$2)))</f>
        <v>0</v>
      </c>
      <c r="G18" s="140">
        <f>IF(ISERROR(VLOOKUP($A18,$S$5:$Z$65,G$1,FALSE)*((100%-GRA!$K$2))),0,VLOOKUP($A18,$S$5:$Z$65,G$1,FALSE)*((100%-GRA!$K$2)))</f>
        <v>0</v>
      </c>
      <c r="H18" s="140">
        <f>IF(ISERROR(VLOOKUP($A18,$S$5:$Z$65,H$1,FALSE)*((100%-GRA!$K$2))),0,VLOOKUP($A18,$S$5:$Z$65,H$1,FALSE)*((100%-GRA!$K$2)))</f>
        <v>0</v>
      </c>
      <c r="I18" s="140">
        <f>IF(ISERROR(VLOOKUP($A18,$S$5:$Z$65,I$1,FALSE)*((100%-GRA!$K$2))),0,VLOOKUP($A18,$S$5:$Z$65,I$1,FALSE)*((100%-GRA!$K$2)))</f>
        <v>0</v>
      </c>
      <c r="K18" s="140" t="str">
        <f t="shared" si="6"/>
        <v/>
      </c>
      <c r="L18" s="140" t="str">
        <f t="shared" si="0"/>
        <v/>
      </c>
      <c r="M18" s="140" t="str">
        <f t="shared" si="1"/>
        <v/>
      </c>
      <c r="N18" s="140" t="str">
        <f t="shared" si="2"/>
        <v/>
      </c>
      <c r="O18" s="140" t="str">
        <f t="shared" si="3"/>
        <v/>
      </c>
      <c r="P18" s="140" t="str">
        <f t="shared" si="4"/>
        <v/>
      </c>
      <c r="Q18" s="140" t="str">
        <f t="shared" si="5"/>
        <v/>
      </c>
      <c r="R18" s="143">
        <v>22</v>
      </c>
      <c r="S18" s="140">
        <f>+Incassi!A23</f>
        <v>0</v>
      </c>
      <c r="T18" s="140" t="e">
        <f>HLOOKUP(T$3,Incassi!$B$2:$H$80,$R18,FALSE)</f>
        <v>#N/A</v>
      </c>
      <c r="U18" s="140" t="e">
        <f>HLOOKUP(U$3,Incassi!$B$2:$H$80,$R18,FALSE)</f>
        <v>#N/A</v>
      </c>
      <c r="V18" s="140" t="e">
        <f>HLOOKUP(V$3,Incassi!$B$2:$H$80,$R18,FALSE)</f>
        <v>#N/A</v>
      </c>
      <c r="W18" s="140" t="e">
        <f>HLOOKUP(W$3,Incassi!$B$2:$H$80,$R18,FALSE)</f>
        <v>#N/A</v>
      </c>
      <c r="X18" s="140" t="e">
        <f>HLOOKUP(X$3,Incassi!$B$2:$H$80,$R18,FALSE)</f>
        <v>#N/A</v>
      </c>
      <c r="Y18" s="140" t="e">
        <f>HLOOKUP(Y$3,Incassi!$B$2:$H$80,$R18,FALSE)</f>
        <v>#N/A</v>
      </c>
      <c r="Z18" s="140" t="e">
        <f>HLOOKUP(Z$3,Incassi!$B$2:$H$80,$R18,FALSE)</f>
        <v>#N/A</v>
      </c>
    </row>
    <row r="19" spans="1:26">
      <c r="A19" s="317">
        <v>10.3</v>
      </c>
      <c r="B19" s="136">
        <v>0.4375</v>
      </c>
      <c r="C19" s="139">
        <f>IF(ISERROR(VLOOKUP($A19,$S$5:$Z$65,C$1,FALSE)*((100%-GRA!$K$2))),0,VLOOKUP($A19,$S$5:$Z$65,C$1,FALSE)*((100%-GRA!$K$2)))</f>
        <v>0</v>
      </c>
      <c r="D19" s="139">
        <f>IF(ISERROR(VLOOKUP($A19,$S$5:$Z$65,D$1,FALSE)*((100%-GRA!$K$2))),0,VLOOKUP($A19,$S$5:$Z$65,D$1,FALSE)*((100%-GRA!$K$2)))</f>
        <v>0</v>
      </c>
      <c r="E19" s="139">
        <f>IF(ISERROR(VLOOKUP($A19,$S$5:$Z$65,E$1,FALSE)*((100%-GRA!$K$2))),0,VLOOKUP($A19,$S$5:$Z$65,E$1,FALSE)*((100%-GRA!$K$2)))</f>
        <v>0</v>
      </c>
      <c r="F19" s="139">
        <f>IF(ISERROR(VLOOKUP($A19,$S$5:$Z$65,F$1,FALSE)*((100%-GRA!$K$2))),0,VLOOKUP($A19,$S$5:$Z$65,F$1,FALSE)*((100%-GRA!$K$2)))</f>
        <v>0</v>
      </c>
      <c r="G19" s="139">
        <f>IF(ISERROR(VLOOKUP($A19,$S$5:$Z$65,G$1,FALSE)*((100%-GRA!$K$2))),0,VLOOKUP($A19,$S$5:$Z$65,G$1,FALSE)*((100%-GRA!$K$2)))</f>
        <v>0</v>
      </c>
      <c r="H19" s="139">
        <f>IF(ISERROR(VLOOKUP($A19,$S$5:$Z$65,H$1,FALSE)*((100%-GRA!$K$2))),0,VLOOKUP($A19,$S$5:$Z$65,H$1,FALSE)*((100%-GRA!$K$2)))</f>
        <v>0</v>
      </c>
      <c r="I19" s="139">
        <f>IF(ISERROR(VLOOKUP($A19,$S$5:$Z$65,I$1,FALSE)*((100%-GRA!$K$2))),0,VLOOKUP($A19,$S$5:$Z$65,I$1,FALSE)*((100%-GRA!$K$2)))</f>
        <v>0</v>
      </c>
      <c r="K19" s="139" t="str">
        <f t="shared" si="6"/>
        <v/>
      </c>
      <c r="L19" s="139" t="str">
        <f t="shared" si="0"/>
        <v/>
      </c>
      <c r="M19" s="139" t="str">
        <f t="shared" si="1"/>
        <v/>
      </c>
      <c r="N19" s="139" t="str">
        <f t="shared" si="2"/>
        <v/>
      </c>
      <c r="O19" s="139" t="str">
        <f t="shared" si="3"/>
        <v/>
      </c>
      <c r="P19" s="139" t="str">
        <f t="shared" si="4"/>
        <v/>
      </c>
      <c r="Q19" s="139" t="str">
        <f t="shared" si="5"/>
        <v/>
      </c>
      <c r="R19" s="143">
        <v>23</v>
      </c>
      <c r="S19" s="139">
        <f>+Incassi!A24</f>
        <v>0</v>
      </c>
      <c r="T19" s="139" t="e">
        <f>HLOOKUP(T$3,Incassi!$B$2:$H$80,$R19,FALSE)</f>
        <v>#N/A</v>
      </c>
      <c r="U19" s="139" t="e">
        <f>HLOOKUP(U$3,Incassi!$B$2:$H$80,$R19,FALSE)</f>
        <v>#N/A</v>
      </c>
      <c r="V19" s="139" t="e">
        <f>HLOOKUP(V$3,Incassi!$B$2:$H$80,$R19,FALSE)</f>
        <v>#N/A</v>
      </c>
      <c r="W19" s="139" t="e">
        <f>HLOOKUP(W$3,Incassi!$B$2:$H$80,$R19,FALSE)</f>
        <v>#N/A</v>
      </c>
      <c r="X19" s="139" t="e">
        <f>HLOOKUP(X$3,Incassi!$B$2:$H$80,$R19,FALSE)</f>
        <v>#N/A</v>
      </c>
      <c r="Y19" s="139" t="e">
        <f>HLOOKUP(Y$3,Incassi!$B$2:$H$80,$R19,FALSE)</f>
        <v>#N/A</v>
      </c>
      <c r="Z19" s="139" t="e">
        <f>HLOOKUP(Z$3,Incassi!$B$2:$H$80,$R19,FALSE)</f>
        <v>#N/A</v>
      </c>
    </row>
    <row r="20" spans="1:26">
      <c r="A20" s="317">
        <v>10.450000000000001</v>
      </c>
      <c r="B20" s="137">
        <v>0.44791666666666602</v>
      </c>
      <c r="C20" s="140">
        <f>IF(ISERROR(VLOOKUP($A20,$S$5:$Z$65,C$1,FALSE)*((100%-GRA!$K$2))),0,VLOOKUP($A20,$S$5:$Z$65,C$1,FALSE)*((100%-GRA!$K$2)))</f>
        <v>0</v>
      </c>
      <c r="D20" s="140">
        <f>IF(ISERROR(VLOOKUP($A20,$S$5:$Z$65,D$1,FALSE)*((100%-GRA!$K$2))),0,VLOOKUP($A20,$S$5:$Z$65,D$1,FALSE)*((100%-GRA!$K$2)))</f>
        <v>0</v>
      </c>
      <c r="E20" s="140">
        <f>IF(ISERROR(VLOOKUP($A20,$S$5:$Z$65,E$1,FALSE)*((100%-GRA!$K$2))),0,VLOOKUP($A20,$S$5:$Z$65,E$1,FALSE)*((100%-GRA!$K$2)))</f>
        <v>0</v>
      </c>
      <c r="F20" s="140">
        <f>IF(ISERROR(VLOOKUP($A20,$S$5:$Z$65,F$1,FALSE)*((100%-GRA!$K$2))),0,VLOOKUP($A20,$S$5:$Z$65,F$1,FALSE)*((100%-GRA!$K$2)))</f>
        <v>0</v>
      </c>
      <c r="G20" s="140">
        <f>IF(ISERROR(VLOOKUP($A20,$S$5:$Z$65,G$1,FALSE)*((100%-GRA!$K$2))),0,VLOOKUP($A20,$S$5:$Z$65,G$1,FALSE)*((100%-GRA!$K$2)))</f>
        <v>0</v>
      </c>
      <c r="H20" s="140">
        <f>IF(ISERROR(VLOOKUP($A20,$S$5:$Z$65,H$1,FALSE)*((100%-GRA!$K$2))),0,VLOOKUP($A20,$S$5:$Z$65,H$1,FALSE)*((100%-GRA!$K$2)))</f>
        <v>0</v>
      </c>
      <c r="I20" s="140">
        <f>IF(ISERROR(VLOOKUP($A20,$S$5:$Z$65,I$1,FALSE)*((100%-GRA!$K$2))),0,VLOOKUP($A20,$S$5:$Z$65,I$1,FALSE)*((100%-GRA!$K$2)))</f>
        <v>0</v>
      </c>
      <c r="K20" s="140" t="str">
        <f t="shared" si="6"/>
        <v/>
      </c>
      <c r="L20" s="140" t="str">
        <f t="shared" si="0"/>
        <v/>
      </c>
      <c r="M20" s="140" t="str">
        <f t="shared" si="1"/>
        <v/>
      </c>
      <c r="N20" s="140" t="str">
        <f t="shared" si="2"/>
        <v/>
      </c>
      <c r="O20" s="140" t="str">
        <f t="shared" si="3"/>
        <v/>
      </c>
      <c r="P20" s="140" t="str">
        <f t="shared" si="4"/>
        <v/>
      </c>
      <c r="Q20" s="140" t="str">
        <f t="shared" si="5"/>
        <v/>
      </c>
      <c r="R20" s="143">
        <v>24</v>
      </c>
      <c r="S20" s="140">
        <f>+Incassi!A25</f>
        <v>0</v>
      </c>
      <c r="T20" s="140" t="e">
        <f>HLOOKUP(T$3,Incassi!$B$2:$H$80,$R20,FALSE)</f>
        <v>#N/A</v>
      </c>
      <c r="U20" s="140" t="e">
        <f>HLOOKUP(U$3,Incassi!$B$2:$H$80,$R20,FALSE)</f>
        <v>#N/A</v>
      </c>
      <c r="V20" s="140" t="e">
        <f>HLOOKUP(V$3,Incassi!$B$2:$H$80,$R20,FALSE)</f>
        <v>#N/A</v>
      </c>
      <c r="W20" s="140" t="e">
        <f>HLOOKUP(W$3,Incassi!$B$2:$H$80,$R20,FALSE)</f>
        <v>#N/A</v>
      </c>
      <c r="X20" s="140" t="e">
        <f>HLOOKUP(X$3,Incassi!$B$2:$H$80,$R20,FALSE)</f>
        <v>#N/A</v>
      </c>
      <c r="Y20" s="140" t="e">
        <f>HLOOKUP(Y$3,Incassi!$B$2:$H$80,$R20,FALSE)</f>
        <v>#N/A</v>
      </c>
      <c r="Z20" s="140" t="e">
        <f>HLOOKUP(Z$3,Incassi!$B$2:$H$80,$R20,FALSE)</f>
        <v>#N/A</v>
      </c>
    </row>
    <row r="21" spans="1:26">
      <c r="A21" s="317">
        <v>11</v>
      </c>
      <c r="B21" s="136">
        <v>0.45833333333333298</v>
      </c>
      <c r="C21" s="139">
        <f>IF(ISERROR(VLOOKUP($A21,$S$5:$Z$65,C$1,FALSE)*((100%-GRA!$K$2))),0,VLOOKUP($A21,$S$5:$Z$65,C$1,FALSE)*((100%-GRA!$K$2)))</f>
        <v>0</v>
      </c>
      <c r="D21" s="139">
        <f>IF(ISERROR(VLOOKUP($A21,$S$5:$Z$65,D$1,FALSE)*((100%-GRA!$K$2))),0,VLOOKUP($A21,$S$5:$Z$65,D$1,FALSE)*((100%-GRA!$K$2)))</f>
        <v>0</v>
      </c>
      <c r="E21" s="139">
        <f>IF(ISERROR(VLOOKUP($A21,$S$5:$Z$65,E$1,FALSE)*((100%-GRA!$K$2))),0,VLOOKUP($A21,$S$5:$Z$65,E$1,FALSE)*((100%-GRA!$K$2)))</f>
        <v>0</v>
      </c>
      <c r="F21" s="139">
        <f>IF(ISERROR(VLOOKUP($A21,$S$5:$Z$65,F$1,FALSE)*((100%-GRA!$K$2))),0,VLOOKUP($A21,$S$5:$Z$65,F$1,FALSE)*((100%-GRA!$K$2)))</f>
        <v>0</v>
      </c>
      <c r="G21" s="139">
        <f>IF(ISERROR(VLOOKUP($A21,$S$5:$Z$65,G$1,FALSE)*((100%-GRA!$K$2))),0,VLOOKUP($A21,$S$5:$Z$65,G$1,FALSE)*((100%-GRA!$K$2)))</f>
        <v>0</v>
      </c>
      <c r="H21" s="139">
        <f>IF(ISERROR(VLOOKUP($A21,$S$5:$Z$65,H$1,FALSE)*((100%-GRA!$K$2))),0,VLOOKUP($A21,$S$5:$Z$65,H$1,FALSE)*((100%-GRA!$K$2)))</f>
        <v>0</v>
      </c>
      <c r="I21" s="139">
        <f>IF(ISERROR(VLOOKUP($A21,$S$5:$Z$65,I$1,FALSE)*((100%-GRA!$K$2))),0,VLOOKUP($A21,$S$5:$Z$65,I$1,FALSE)*((100%-GRA!$K$2)))</f>
        <v>0</v>
      </c>
      <c r="K21" s="139" t="str">
        <f t="shared" si="6"/>
        <v/>
      </c>
      <c r="L21" s="139" t="str">
        <f t="shared" si="0"/>
        <v/>
      </c>
      <c r="M21" s="139" t="str">
        <f t="shared" si="1"/>
        <v/>
      </c>
      <c r="N21" s="139" t="str">
        <f t="shared" si="2"/>
        <v/>
      </c>
      <c r="O21" s="139" t="str">
        <f t="shared" si="3"/>
        <v/>
      </c>
      <c r="P21" s="139" t="str">
        <f t="shared" si="4"/>
        <v/>
      </c>
      <c r="Q21" s="139" t="str">
        <f t="shared" si="5"/>
        <v/>
      </c>
      <c r="R21" s="143">
        <v>25</v>
      </c>
      <c r="S21" s="139">
        <f>+Incassi!A26</f>
        <v>0</v>
      </c>
      <c r="T21" s="139" t="e">
        <f>HLOOKUP(T$3,Incassi!$B$2:$H$80,$R21,FALSE)</f>
        <v>#N/A</v>
      </c>
      <c r="U21" s="139" t="e">
        <f>HLOOKUP(U$3,Incassi!$B$2:$H$80,$R21,FALSE)</f>
        <v>#N/A</v>
      </c>
      <c r="V21" s="139" t="e">
        <f>HLOOKUP(V$3,Incassi!$B$2:$H$80,$R21,FALSE)</f>
        <v>#N/A</v>
      </c>
      <c r="W21" s="139" t="e">
        <f>HLOOKUP(W$3,Incassi!$B$2:$H$80,$R21,FALSE)</f>
        <v>#N/A</v>
      </c>
      <c r="X21" s="139" t="e">
        <f>HLOOKUP(X$3,Incassi!$B$2:$H$80,$R21,FALSE)</f>
        <v>#N/A</v>
      </c>
      <c r="Y21" s="139" t="e">
        <f>HLOOKUP(Y$3,Incassi!$B$2:$H$80,$R21,FALSE)</f>
        <v>#N/A</v>
      </c>
      <c r="Z21" s="139" t="e">
        <f>HLOOKUP(Z$3,Incassi!$B$2:$H$80,$R21,FALSE)</f>
        <v>#N/A</v>
      </c>
    </row>
    <row r="22" spans="1:26">
      <c r="A22" s="317">
        <v>11.15</v>
      </c>
      <c r="B22" s="137">
        <v>0.46875</v>
      </c>
      <c r="C22" s="140">
        <f>IF(ISERROR(VLOOKUP($A22,$S$5:$Z$65,C$1,FALSE)*((100%-GRA!$K$2))),0,VLOOKUP($A22,$S$5:$Z$65,C$1,FALSE)*((100%-GRA!$K$2)))</f>
        <v>0</v>
      </c>
      <c r="D22" s="140">
        <f>IF(ISERROR(VLOOKUP($A22,$S$5:$Z$65,D$1,FALSE)*((100%-GRA!$K$2))),0,VLOOKUP($A22,$S$5:$Z$65,D$1,FALSE)*((100%-GRA!$K$2)))</f>
        <v>0</v>
      </c>
      <c r="E22" s="140">
        <f>IF(ISERROR(VLOOKUP($A22,$S$5:$Z$65,E$1,FALSE)*((100%-GRA!$K$2))),0,VLOOKUP($A22,$S$5:$Z$65,E$1,FALSE)*((100%-GRA!$K$2)))</f>
        <v>0</v>
      </c>
      <c r="F22" s="140">
        <f>IF(ISERROR(VLOOKUP($A22,$S$5:$Z$65,F$1,FALSE)*((100%-GRA!$K$2))),0,VLOOKUP($A22,$S$5:$Z$65,F$1,FALSE)*((100%-GRA!$K$2)))</f>
        <v>0</v>
      </c>
      <c r="G22" s="140">
        <f>IF(ISERROR(VLOOKUP($A22,$S$5:$Z$65,G$1,FALSE)*((100%-GRA!$K$2))),0,VLOOKUP($A22,$S$5:$Z$65,G$1,FALSE)*((100%-GRA!$K$2)))</f>
        <v>0</v>
      </c>
      <c r="H22" s="140">
        <f>IF(ISERROR(VLOOKUP($A22,$S$5:$Z$65,H$1,FALSE)*((100%-GRA!$K$2))),0,VLOOKUP($A22,$S$5:$Z$65,H$1,FALSE)*((100%-GRA!$K$2)))</f>
        <v>0</v>
      </c>
      <c r="I22" s="140">
        <f>IF(ISERROR(VLOOKUP($A22,$S$5:$Z$65,I$1,FALSE)*((100%-GRA!$K$2))),0,VLOOKUP($A22,$S$5:$Z$65,I$1,FALSE)*((100%-GRA!$K$2)))</f>
        <v>0</v>
      </c>
      <c r="K22" s="140" t="str">
        <f t="shared" si="6"/>
        <v/>
      </c>
      <c r="L22" s="140" t="str">
        <f t="shared" si="0"/>
        <v/>
      </c>
      <c r="M22" s="140" t="str">
        <f t="shared" si="1"/>
        <v/>
      </c>
      <c r="N22" s="140" t="str">
        <f t="shared" si="2"/>
        <v/>
      </c>
      <c r="O22" s="140" t="str">
        <f t="shared" si="3"/>
        <v/>
      </c>
      <c r="P22" s="140" t="str">
        <f t="shared" si="4"/>
        <v/>
      </c>
      <c r="Q22" s="140" t="str">
        <f t="shared" si="5"/>
        <v/>
      </c>
      <c r="R22" s="143">
        <v>26</v>
      </c>
      <c r="S22" s="140">
        <f>+Incassi!A27</f>
        <v>0</v>
      </c>
      <c r="T22" s="140" t="e">
        <f>HLOOKUP(T$3,Incassi!$B$2:$H$80,$R22,FALSE)</f>
        <v>#N/A</v>
      </c>
      <c r="U22" s="140" t="e">
        <f>HLOOKUP(U$3,Incassi!$B$2:$H$80,$R22,FALSE)</f>
        <v>#N/A</v>
      </c>
      <c r="V22" s="140" t="e">
        <f>HLOOKUP(V$3,Incassi!$B$2:$H$80,$R22,FALSE)</f>
        <v>#N/A</v>
      </c>
      <c r="W22" s="140" t="e">
        <f>HLOOKUP(W$3,Incassi!$B$2:$H$80,$R22,FALSE)</f>
        <v>#N/A</v>
      </c>
      <c r="X22" s="140" t="e">
        <f>HLOOKUP(X$3,Incassi!$B$2:$H$80,$R22,FALSE)</f>
        <v>#N/A</v>
      </c>
      <c r="Y22" s="140" t="e">
        <f>HLOOKUP(Y$3,Incassi!$B$2:$H$80,$R22,FALSE)</f>
        <v>#N/A</v>
      </c>
      <c r="Z22" s="140" t="e">
        <f>HLOOKUP(Z$3,Incassi!$B$2:$H$80,$R22,FALSE)</f>
        <v>#N/A</v>
      </c>
    </row>
    <row r="23" spans="1:26">
      <c r="A23" s="317">
        <v>11.3</v>
      </c>
      <c r="B23" s="136">
        <v>0.47916666666666602</v>
      </c>
      <c r="C23" s="139">
        <f>IF(ISERROR(VLOOKUP($A23,$S$5:$Z$65,C$1,FALSE)*((100%-GRA!$K$2))),0,VLOOKUP($A23,$S$5:$Z$65,C$1,FALSE)*((100%-GRA!$K$2)))</f>
        <v>0</v>
      </c>
      <c r="D23" s="139">
        <f>IF(ISERROR(VLOOKUP($A23,$S$5:$Z$65,D$1,FALSE)*((100%-GRA!$K$2))),0,VLOOKUP($A23,$S$5:$Z$65,D$1,FALSE)*((100%-GRA!$K$2)))</f>
        <v>0</v>
      </c>
      <c r="E23" s="139">
        <f>IF(ISERROR(VLOOKUP($A23,$S$5:$Z$65,E$1,FALSE)*((100%-GRA!$K$2))),0,VLOOKUP($A23,$S$5:$Z$65,E$1,FALSE)*((100%-GRA!$K$2)))</f>
        <v>0</v>
      </c>
      <c r="F23" s="139">
        <f>IF(ISERROR(VLOOKUP($A23,$S$5:$Z$65,F$1,FALSE)*((100%-GRA!$K$2))),0,VLOOKUP($A23,$S$5:$Z$65,F$1,FALSE)*((100%-GRA!$K$2)))</f>
        <v>0</v>
      </c>
      <c r="G23" s="139">
        <f>IF(ISERROR(VLOOKUP($A23,$S$5:$Z$65,G$1,FALSE)*((100%-GRA!$K$2))),0,VLOOKUP($A23,$S$5:$Z$65,G$1,FALSE)*((100%-GRA!$K$2)))</f>
        <v>0</v>
      </c>
      <c r="H23" s="139">
        <f>IF(ISERROR(VLOOKUP($A23,$S$5:$Z$65,H$1,FALSE)*((100%-GRA!$K$2))),0,VLOOKUP($A23,$S$5:$Z$65,H$1,FALSE)*((100%-GRA!$K$2)))</f>
        <v>0</v>
      </c>
      <c r="I23" s="139">
        <f>IF(ISERROR(VLOOKUP($A23,$S$5:$Z$65,I$1,FALSE)*((100%-GRA!$K$2))),0,VLOOKUP($A23,$S$5:$Z$65,I$1,FALSE)*((100%-GRA!$K$2)))</f>
        <v>0</v>
      </c>
      <c r="K23" s="139" t="str">
        <f t="shared" si="6"/>
        <v/>
      </c>
      <c r="L23" s="139" t="str">
        <f t="shared" si="0"/>
        <v/>
      </c>
      <c r="M23" s="139" t="str">
        <f t="shared" si="1"/>
        <v/>
      </c>
      <c r="N23" s="139" t="str">
        <f t="shared" si="2"/>
        <v/>
      </c>
      <c r="O23" s="139" t="str">
        <f t="shared" si="3"/>
        <v/>
      </c>
      <c r="P23" s="139" t="str">
        <f t="shared" si="4"/>
        <v/>
      </c>
      <c r="Q23" s="139" t="str">
        <f t="shared" si="5"/>
        <v/>
      </c>
      <c r="R23" s="143">
        <v>27</v>
      </c>
      <c r="S23" s="139">
        <f>+Incassi!A28</f>
        <v>0</v>
      </c>
      <c r="T23" s="139" t="e">
        <f>HLOOKUP(T$3,Incassi!$B$2:$H$80,$R23,FALSE)</f>
        <v>#N/A</v>
      </c>
      <c r="U23" s="139" t="e">
        <f>HLOOKUP(U$3,Incassi!$B$2:$H$80,$R23,FALSE)</f>
        <v>#N/A</v>
      </c>
      <c r="V23" s="139" t="e">
        <f>HLOOKUP(V$3,Incassi!$B$2:$H$80,$R23,FALSE)</f>
        <v>#N/A</v>
      </c>
      <c r="W23" s="139" t="e">
        <f>HLOOKUP(W$3,Incassi!$B$2:$H$80,$R23,FALSE)</f>
        <v>#N/A</v>
      </c>
      <c r="X23" s="139" t="e">
        <f>HLOOKUP(X$3,Incassi!$B$2:$H$80,$R23,FALSE)</f>
        <v>#N/A</v>
      </c>
      <c r="Y23" s="139" t="e">
        <f>HLOOKUP(Y$3,Incassi!$B$2:$H$80,$R23,FALSE)</f>
        <v>#N/A</v>
      </c>
      <c r="Z23" s="139" t="e">
        <f>HLOOKUP(Z$3,Incassi!$B$2:$H$80,$R23,FALSE)</f>
        <v>#N/A</v>
      </c>
    </row>
    <row r="24" spans="1:26">
      <c r="A24" s="317">
        <v>11.450000000000001</v>
      </c>
      <c r="B24" s="137">
        <v>0.48958333333333298</v>
      </c>
      <c r="C24" s="140">
        <f>IF(ISERROR(VLOOKUP($A24,$S$5:$Z$65,C$1,FALSE)*((100%-GRA!$K$2))),0,VLOOKUP($A24,$S$5:$Z$65,C$1,FALSE)*((100%-GRA!$K$2)))</f>
        <v>0</v>
      </c>
      <c r="D24" s="140">
        <f>IF(ISERROR(VLOOKUP($A24,$S$5:$Z$65,D$1,FALSE)*((100%-GRA!$K$2))),0,VLOOKUP($A24,$S$5:$Z$65,D$1,FALSE)*((100%-GRA!$K$2)))</f>
        <v>0</v>
      </c>
      <c r="E24" s="140">
        <f>IF(ISERROR(VLOOKUP($A24,$S$5:$Z$65,E$1,FALSE)*((100%-GRA!$K$2))),0,VLOOKUP($A24,$S$5:$Z$65,E$1,FALSE)*((100%-GRA!$K$2)))</f>
        <v>0</v>
      </c>
      <c r="F24" s="140">
        <f>IF(ISERROR(VLOOKUP($A24,$S$5:$Z$65,F$1,FALSE)*((100%-GRA!$K$2))),0,VLOOKUP($A24,$S$5:$Z$65,F$1,FALSE)*((100%-GRA!$K$2)))</f>
        <v>0</v>
      </c>
      <c r="G24" s="140">
        <f>IF(ISERROR(VLOOKUP($A24,$S$5:$Z$65,G$1,FALSE)*((100%-GRA!$K$2))),0,VLOOKUP($A24,$S$5:$Z$65,G$1,FALSE)*((100%-GRA!$K$2)))</f>
        <v>0</v>
      </c>
      <c r="H24" s="140">
        <f>IF(ISERROR(VLOOKUP($A24,$S$5:$Z$65,H$1,FALSE)*((100%-GRA!$K$2))),0,VLOOKUP($A24,$S$5:$Z$65,H$1,FALSE)*((100%-GRA!$K$2)))</f>
        <v>0</v>
      </c>
      <c r="I24" s="140">
        <f>IF(ISERROR(VLOOKUP($A24,$S$5:$Z$65,I$1,FALSE)*((100%-GRA!$K$2))),0,VLOOKUP($A24,$S$5:$Z$65,I$1,FALSE)*((100%-GRA!$K$2)))</f>
        <v>0</v>
      </c>
      <c r="K24" s="140" t="str">
        <f t="shared" si="6"/>
        <v/>
      </c>
      <c r="L24" s="140" t="str">
        <f t="shared" si="0"/>
        <v/>
      </c>
      <c r="M24" s="140" t="str">
        <f t="shared" si="1"/>
        <v/>
      </c>
      <c r="N24" s="140" t="str">
        <f t="shared" si="2"/>
        <v/>
      </c>
      <c r="O24" s="140" t="str">
        <f t="shared" si="3"/>
        <v/>
      </c>
      <c r="P24" s="140" t="str">
        <f t="shared" si="4"/>
        <v/>
      </c>
      <c r="Q24" s="140" t="str">
        <f t="shared" si="5"/>
        <v/>
      </c>
      <c r="R24" s="143">
        <v>28</v>
      </c>
      <c r="S24" s="140">
        <f>+Incassi!A29</f>
        <v>0</v>
      </c>
      <c r="T24" s="140" t="e">
        <f>HLOOKUP(T$3,Incassi!$B$2:$H$80,$R24,FALSE)</f>
        <v>#N/A</v>
      </c>
      <c r="U24" s="140" t="e">
        <f>HLOOKUP(U$3,Incassi!$B$2:$H$80,$R24,FALSE)</f>
        <v>#N/A</v>
      </c>
      <c r="V24" s="140" t="e">
        <f>HLOOKUP(V$3,Incassi!$B$2:$H$80,$R24,FALSE)</f>
        <v>#N/A</v>
      </c>
      <c r="W24" s="140" t="e">
        <f>HLOOKUP(W$3,Incassi!$B$2:$H$80,$R24,FALSE)</f>
        <v>#N/A</v>
      </c>
      <c r="X24" s="140" t="e">
        <f>HLOOKUP(X$3,Incassi!$B$2:$H$80,$R24,FALSE)</f>
        <v>#N/A</v>
      </c>
      <c r="Y24" s="140" t="e">
        <f>HLOOKUP(Y$3,Incassi!$B$2:$H$80,$R24,FALSE)</f>
        <v>#N/A</v>
      </c>
      <c r="Z24" s="140" t="e">
        <f>HLOOKUP(Z$3,Incassi!$B$2:$H$80,$R24,FALSE)</f>
        <v>#N/A</v>
      </c>
    </row>
    <row r="25" spans="1:26">
      <c r="A25" s="317">
        <v>12</v>
      </c>
      <c r="B25" s="136">
        <v>0.5</v>
      </c>
      <c r="C25" s="139">
        <f>IF(ISERROR(VLOOKUP($A25,$S$5:$Z$65,C$1,FALSE)*((100%-GRA!$K$2))),0,VLOOKUP($A25,$S$5:$Z$65,C$1,FALSE)*((100%-GRA!$K$2)))</f>
        <v>0</v>
      </c>
      <c r="D25" s="139">
        <f>IF(ISERROR(VLOOKUP($A25,$S$5:$Z$65,D$1,FALSE)*((100%-GRA!$K$2))),0,VLOOKUP($A25,$S$5:$Z$65,D$1,FALSE)*((100%-GRA!$K$2)))</f>
        <v>0</v>
      </c>
      <c r="E25" s="139">
        <f>IF(ISERROR(VLOOKUP($A25,$S$5:$Z$65,E$1,FALSE)*((100%-GRA!$K$2))),0,VLOOKUP($A25,$S$5:$Z$65,E$1,FALSE)*((100%-GRA!$K$2)))</f>
        <v>0</v>
      </c>
      <c r="F25" s="139">
        <f>IF(ISERROR(VLOOKUP($A25,$S$5:$Z$65,F$1,FALSE)*((100%-GRA!$K$2))),0,VLOOKUP($A25,$S$5:$Z$65,F$1,FALSE)*((100%-GRA!$K$2)))</f>
        <v>0</v>
      </c>
      <c r="G25" s="139">
        <f>IF(ISERROR(VLOOKUP($A25,$S$5:$Z$65,G$1,FALSE)*((100%-GRA!$K$2))),0,VLOOKUP($A25,$S$5:$Z$65,G$1,FALSE)*((100%-GRA!$K$2)))</f>
        <v>0</v>
      </c>
      <c r="H25" s="139">
        <f>IF(ISERROR(VLOOKUP($A25,$S$5:$Z$65,H$1,FALSE)*((100%-GRA!$K$2))),0,VLOOKUP($A25,$S$5:$Z$65,H$1,FALSE)*((100%-GRA!$K$2)))</f>
        <v>0</v>
      </c>
      <c r="I25" s="139">
        <f>IF(ISERROR(VLOOKUP($A25,$S$5:$Z$65,I$1,FALSE)*((100%-GRA!$K$2))),0,VLOOKUP($A25,$S$5:$Z$65,I$1,FALSE)*((100%-GRA!$K$2)))</f>
        <v>0</v>
      </c>
      <c r="K25" s="139" t="str">
        <f t="shared" si="6"/>
        <v/>
      </c>
      <c r="L25" s="139" t="str">
        <f t="shared" si="0"/>
        <v/>
      </c>
      <c r="M25" s="139" t="str">
        <f t="shared" si="1"/>
        <v/>
      </c>
      <c r="N25" s="139" t="str">
        <f t="shared" si="2"/>
        <v/>
      </c>
      <c r="O25" s="139" t="str">
        <f t="shared" si="3"/>
        <v/>
      </c>
      <c r="P25" s="139" t="str">
        <f t="shared" si="4"/>
        <v/>
      </c>
      <c r="Q25" s="139" t="str">
        <f t="shared" si="5"/>
        <v/>
      </c>
      <c r="R25" s="143">
        <v>29</v>
      </c>
      <c r="S25" s="139">
        <f>+Incassi!A30</f>
        <v>0</v>
      </c>
      <c r="T25" s="139" t="e">
        <f>HLOOKUP(T$3,Incassi!$B$2:$H$80,$R25,FALSE)</f>
        <v>#N/A</v>
      </c>
      <c r="U25" s="139" t="e">
        <f>HLOOKUP(U$3,Incassi!$B$2:$H$80,$R25,FALSE)</f>
        <v>#N/A</v>
      </c>
      <c r="V25" s="139" t="e">
        <f>HLOOKUP(V$3,Incassi!$B$2:$H$80,$R25,FALSE)</f>
        <v>#N/A</v>
      </c>
      <c r="W25" s="139" t="e">
        <f>HLOOKUP(W$3,Incassi!$B$2:$H$80,$R25,FALSE)</f>
        <v>#N/A</v>
      </c>
      <c r="X25" s="139" t="e">
        <f>HLOOKUP(X$3,Incassi!$B$2:$H$80,$R25,FALSE)</f>
        <v>#N/A</v>
      </c>
      <c r="Y25" s="139" t="e">
        <f>HLOOKUP(Y$3,Incassi!$B$2:$H$80,$R25,FALSE)</f>
        <v>#N/A</v>
      </c>
      <c r="Z25" s="139" t="e">
        <f>HLOOKUP(Z$3,Incassi!$B$2:$H$80,$R25,FALSE)</f>
        <v>#N/A</v>
      </c>
    </row>
    <row r="26" spans="1:26">
      <c r="A26" s="317">
        <v>12.15</v>
      </c>
      <c r="B26" s="137">
        <v>0.51041666666666596</v>
      </c>
      <c r="C26" s="140">
        <f>IF(ISERROR(VLOOKUP($A26,$S$5:$Z$65,C$1,FALSE)*((100%-GRA!$K$2))),0,VLOOKUP($A26,$S$5:$Z$65,C$1,FALSE)*((100%-GRA!$K$2)))</f>
        <v>0</v>
      </c>
      <c r="D26" s="140">
        <f>IF(ISERROR(VLOOKUP($A26,$S$5:$Z$65,D$1,FALSE)*((100%-GRA!$K$2))),0,VLOOKUP($A26,$S$5:$Z$65,D$1,FALSE)*((100%-GRA!$K$2)))</f>
        <v>0</v>
      </c>
      <c r="E26" s="140">
        <f>IF(ISERROR(VLOOKUP($A26,$S$5:$Z$65,E$1,FALSE)*((100%-GRA!$K$2))),0,VLOOKUP($A26,$S$5:$Z$65,E$1,FALSE)*((100%-GRA!$K$2)))</f>
        <v>0</v>
      </c>
      <c r="F26" s="140">
        <f>IF(ISERROR(VLOOKUP($A26,$S$5:$Z$65,F$1,FALSE)*((100%-GRA!$K$2))),0,VLOOKUP($A26,$S$5:$Z$65,F$1,FALSE)*((100%-GRA!$K$2)))</f>
        <v>0</v>
      </c>
      <c r="G26" s="140">
        <f>IF(ISERROR(VLOOKUP($A26,$S$5:$Z$65,G$1,FALSE)*((100%-GRA!$K$2))),0,VLOOKUP($A26,$S$5:$Z$65,G$1,FALSE)*((100%-GRA!$K$2)))</f>
        <v>0</v>
      </c>
      <c r="H26" s="140">
        <f>IF(ISERROR(VLOOKUP($A26,$S$5:$Z$65,H$1,FALSE)*((100%-GRA!$K$2))),0,VLOOKUP($A26,$S$5:$Z$65,H$1,FALSE)*((100%-GRA!$K$2)))</f>
        <v>0</v>
      </c>
      <c r="I26" s="140">
        <f>IF(ISERROR(VLOOKUP($A26,$S$5:$Z$65,I$1,FALSE)*((100%-GRA!$K$2))),0,VLOOKUP($A26,$S$5:$Z$65,I$1,FALSE)*((100%-GRA!$K$2)))</f>
        <v>0</v>
      </c>
      <c r="K26" s="140" t="str">
        <f t="shared" si="6"/>
        <v/>
      </c>
      <c r="L26" s="140" t="str">
        <f t="shared" si="0"/>
        <v/>
      </c>
      <c r="M26" s="140" t="str">
        <f t="shared" si="1"/>
        <v/>
      </c>
      <c r="N26" s="140" t="str">
        <f t="shared" si="2"/>
        <v/>
      </c>
      <c r="O26" s="140" t="str">
        <f t="shared" si="3"/>
        <v/>
      </c>
      <c r="P26" s="140" t="str">
        <f t="shared" si="4"/>
        <v/>
      </c>
      <c r="Q26" s="140" t="str">
        <f t="shared" si="5"/>
        <v/>
      </c>
      <c r="R26" s="143">
        <v>30</v>
      </c>
      <c r="S26" s="140">
        <f>+Incassi!A31</f>
        <v>0</v>
      </c>
      <c r="T26" s="140" t="e">
        <f>HLOOKUP(T$3,Incassi!$B$2:$H$80,$R26,FALSE)</f>
        <v>#N/A</v>
      </c>
      <c r="U26" s="140" t="e">
        <f>HLOOKUP(U$3,Incassi!$B$2:$H$80,$R26,FALSE)</f>
        <v>#N/A</v>
      </c>
      <c r="V26" s="140" t="e">
        <f>HLOOKUP(V$3,Incassi!$B$2:$H$80,$R26,FALSE)</f>
        <v>#N/A</v>
      </c>
      <c r="W26" s="140" t="e">
        <f>HLOOKUP(W$3,Incassi!$B$2:$H$80,$R26,FALSE)</f>
        <v>#N/A</v>
      </c>
      <c r="X26" s="140" t="e">
        <f>HLOOKUP(X$3,Incassi!$B$2:$H$80,$R26,FALSE)</f>
        <v>#N/A</v>
      </c>
      <c r="Y26" s="140" t="e">
        <f>HLOOKUP(Y$3,Incassi!$B$2:$H$80,$R26,FALSE)</f>
        <v>#N/A</v>
      </c>
      <c r="Z26" s="140" t="e">
        <f>HLOOKUP(Z$3,Incassi!$B$2:$H$80,$R26,FALSE)</f>
        <v>#N/A</v>
      </c>
    </row>
    <row r="27" spans="1:26">
      <c r="A27" s="317">
        <v>12.3</v>
      </c>
      <c r="B27" s="136">
        <v>0.52083333333333304</v>
      </c>
      <c r="C27" s="139">
        <f>IF(ISERROR(VLOOKUP($A27,$S$5:$Z$65,C$1,FALSE)*((100%-GRA!$K$2))),0,VLOOKUP($A27,$S$5:$Z$65,C$1,FALSE)*((100%-GRA!$K$2)))</f>
        <v>0</v>
      </c>
      <c r="D27" s="139">
        <f>IF(ISERROR(VLOOKUP($A27,$S$5:$Z$65,D$1,FALSE)*((100%-GRA!$K$2))),0,VLOOKUP($A27,$S$5:$Z$65,D$1,FALSE)*((100%-GRA!$K$2)))</f>
        <v>0</v>
      </c>
      <c r="E27" s="139">
        <f>IF(ISERROR(VLOOKUP($A27,$S$5:$Z$65,E$1,FALSE)*((100%-GRA!$K$2))),0,VLOOKUP($A27,$S$5:$Z$65,E$1,FALSE)*((100%-GRA!$K$2)))</f>
        <v>0</v>
      </c>
      <c r="F27" s="139">
        <f>IF(ISERROR(VLOOKUP($A27,$S$5:$Z$65,F$1,FALSE)*((100%-GRA!$K$2))),0,VLOOKUP($A27,$S$5:$Z$65,F$1,FALSE)*((100%-GRA!$K$2)))</f>
        <v>0</v>
      </c>
      <c r="G27" s="139">
        <f>IF(ISERROR(VLOOKUP($A27,$S$5:$Z$65,G$1,FALSE)*((100%-GRA!$K$2))),0,VLOOKUP($A27,$S$5:$Z$65,G$1,FALSE)*((100%-GRA!$K$2)))</f>
        <v>0</v>
      </c>
      <c r="H27" s="139">
        <f>IF(ISERROR(VLOOKUP($A27,$S$5:$Z$65,H$1,FALSE)*((100%-GRA!$K$2))),0,VLOOKUP($A27,$S$5:$Z$65,H$1,FALSE)*((100%-GRA!$K$2)))</f>
        <v>0</v>
      </c>
      <c r="I27" s="139">
        <f>IF(ISERROR(VLOOKUP($A27,$S$5:$Z$65,I$1,FALSE)*((100%-GRA!$K$2))),0,VLOOKUP($A27,$S$5:$Z$65,I$1,FALSE)*((100%-GRA!$K$2)))</f>
        <v>0</v>
      </c>
      <c r="K27" s="139" t="str">
        <f t="shared" si="6"/>
        <v/>
      </c>
      <c r="L27" s="139" t="str">
        <f t="shared" si="0"/>
        <v/>
      </c>
      <c r="M27" s="139" t="str">
        <f t="shared" si="1"/>
        <v/>
      </c>
      <c r="N27" s="139" t="str">
        <f t="shared" si="2"/>
        <v/>
      </c>
      <c r="O27" s="139" t="str">
        <f t="shared" si="3"/>
        <v/>
      </c>
      <c r="P27" s="139" t="str">
        <f t="shared" si="4"/>
        <v/>
      </c>
      <c r="Q27" s="139" t="str">
        <f t="shared" si="5"/>
        <v/>
      </c>
      <c r="R27" s="143">
        <v>31</v>
      </c>
      <c r="S27" s="139">
        <f>+Incassi!A32</f>
        <v>0</v>
      </c>
      <c r="T27" s="139" t="e">
        <f>HLOOKUP(T$3,Incassi!$B$2:$H$80,$R27,FALSE)</f>
        <v>#N/A</v>
      </c>
      <c r="U27" s="139" t="e">
        <f>HLOOKUP(U$3,Incassi!$B$2:$H$80,$R27,FALSE)</f>
        <v>#N/A</v>
      </c>
      <c r="V27" s="139" t="e">
        <f>HLOOKUP(V$3,Incassi!$B$2:$H$80,$R27,FALSE)</f>
        <v>#N/A</v>
      </c>
      <c r="W27" s="139" t="e">
        <f>HLOOKUP(W$3,Incassi!$B$2:$H$80,$R27,FALSE)</f>
        <v>#N/A</v>
      </c>
      <c r="X27" s="139" t="e">
        <f>HLOOKUP(X$3,Incassi!$B$2:$H$80,$R27,FALSE)</f>
        <v>#N/A</v>
      </c>
      <c r="Y27" s="139" t="e">
        <f>HLOOKUP(Y$3,Incassi!$B$2:$H$80,$R27,FALSE)</f>
        <v>#N/A</v>
      </c>
      <c r="Z27" s="139" t="e">
        <f>HLOOKUP(Z$3,Incassi!$B$2:$H$80,$R27,FALSE)</f>
        <v>#N/A</v>
      </c>
    </row>
    <row r="28" spans="1:26">
      <c r="A28" s="317">
        <v>12.450000000000001</v>
      </c>
      <c r="B28" s="137">
        <v>0.531249999999999</v>
      </c>
      <c r="C28" s="140">
        <f>IF(ISERROR(VLOOKUP($A28,$S$5:$Z$65,C$1,FALSE)*((100%-GRA!$K$2))),0,VLOOKUP($A28,$S$5:$Z$65,C$1,FALSE)*((100%-GRA!$K$2)))</f>
        <v>0</v>
      </c>
      <c r="D28" s="140">
        <f>IF(ISERROR(VLOOKUP($A28,$S$5:$Z$65,D$1,FALSE)*((100%-GRA!$K$2))),0,VLOOKUP($A28,$S$5:$Z$65,D$1,FALSE)*((100%-GRA!$K$2)))</f>
        <v>0</v>
      </c>
      <c r="E28" s="140">
        <f>IF(ISERROR(VLOOKUP($A28,$S$5:$Z$65,E$1,FALSE)*((100%-GRA!$K$2))),0,VLOOKUP($A28,$S$5:$Z$65,E$1,FALSE)*((100%-GRA!$K$2)))</f>
        <v>0</v>
      </c>
      <c r="F28" s="140">
        <f>IF(ISERROR(VLOOKUP($A28,$S$5:$Z$65,F$1,FALSE)*((100%-GRA!$K$2))),0,VLOOKUP($A28,$S$5:$Z$65,F$1,FALSE)*((100%-GRA!$K$2)))</f>
        <v>0</v>
      </c>
      <c r="G28" s="140">
        <f>IF(ISERROR(VLOOKUP($A28,$S$5:$Z$65,G$1,FALSE)*((100%-GRA!$K$2))),0,VLOOKUP($A28,$S$5:$Z$65,G$1,FALSE)*((100%-GRA!$K$2)))</f>
        <v>0</v>
      </c>
      <c r="H28" s="140">
        <f>IF(ISERROR(VLOOKUP($A28,$S$5:$Z$65,H$1,FALSE)*((100%-GRA!$K$2))),0,VLOOKUP($A28,$S$5:$Z$65,H$1,FALSE)*((100%-GRA!$K$2)))</f>
        <v>0</v>
      </c>
      <c r="I28" s="140">
        <f>IF(ISERROR(VLOOKUP($A28,$S$5:$Z$65,I$1,FALSE)*((100%-GRA!$K$2))),0,VLOOKUP($A28,$S$5:$Z$65,I$1,FALSE)*((100%-GRA!$K$2)))</f>
        <v>0</v>
      </c>
      <c r="K28" s="140" t="str">
        <f t="shared" si="6"/>
        <v/>
      </c>
      <c r="L28" s="140" t="str">
        <f t="shared" si="0"/>
        <v/>
      </c>
      <c r="M28" s="140" t="str">
        <f t="shared" si="1"/>
        <v/>
      </c>
      <c r="N28" s="140" t="str">
        <f t="shared" si="2"/>
        <v/>
      </c>
      <c r="O28" s="140" t="str">
        <f t="shared" si="3"/>
        <v/>
      </c>
      <c r="P28" s="140" t="str">
        <f t="shared" si="4"/>
        <v/>
      </c>
      <c r="Q28" s="140" t="str">
        <f t="shared" si="5"/>
        <v/>
      </c>
      <c r="R28" s="143">
        <v>32</v>
      </c>
      <c r="S28" s="140">
        <f>+Incassi!A33</f>
        <v>0</v>
      </c>
      <c r="T28" s="140" t="e">
        <f>HLOOKUP(T$3,Incassi!$B$2:$H$80,$R28,FALSE)</f>
        <v>#N/A</v>
      </c>
      <c r="U28" s="140" t="e">
        <f>HLOOKUP(U$3,Incassi!$B$2:$H$80,$R28,FALSE)</f>
        <v>#N/A</v>
      </c>
      <c r="V28" s="140" t="e">
        <f>HLOOKUP(V$3,Incassi!$B$2:$H$80,$R28,FALSE)</f>
        <v>#N/A</v>
      </c>
      <c r="W28" s="140" t="e">
        <f>HLOOKUP(W$3,Incassi!$B$2:$H$80,$R28,FALSE)</f>
        <v>#N/A</v>
      </c>
      <c r="X28" s="140" t="e">
        <f>HLOOKUP(X$3,Incassi!$B$2:$H$80,$R28,FALSE)</f>
        <v>#N/A</v>
      </c>
      <c r="Y28" s="140" t="e">
        <f>HLOOKUP(Y$3,Incassi!$B$2:$H$80,$R28,FALSE)</f>
        <v>#N/A</v>
      </c>
      <c r="Z28" s="140" t="e">
        <f>HLOOKUP(Z$3,Incassi!$B$2:$H$80,$R28,FALSE)</f>
        <v>#N/A</v>
      </c>
    </row>
    <row r="29" spans="1:26">
      <c r="A29" s="317">
        <v>13</v>
      </c>
      <c r="B29" s="136">
        <v>0.54166666666666596</v>
      </c>
      <c r="C29" s="139">
        <f>IF(ISERROR(VLOOKUP($A29,$S$5:$Z$65,C$1,FALSE)*((100%-GRA!$K$2))),0,VLOOKUP($A29,$S$5:$Z$65,C$1,FALSE)*((100%-GRA!$K$2)))</f>
        <v>0</v>
      </c>
      <c r="D29" s="139">
        <f>IF(ISERROR(VLOOKUP($A29,$S$5:$Z$65,D$1,FALSE)*((100%-GRA!$K$2))),0,VLOOKUP($A29,$S$5:$Z$65,D$1,FALSE)*((100%-GRA!$K$2)))</f>
        <v>0</v>
      </c>
      <c r="E29" s="139">
        <f>IF(ISERROR(VLOOKUP($A29,$S$5:$Z$65,E$1,FALSE)*((100%-GRA!$K$2))),0,VLOOKUP($A29,$S$5:$Z$65,E$1,FALSE)*((100%-GRA!$K$2)))</f>
        <v>0</v>
      </c>
      <c r="F29" s="139">
        <f>IF(ISERROR(VLOOKUP($A29,$S$5:$Z$65,F$1,FALSE)*((100%-GRA!$K$2))),0,VLOOKUP($A29,$S$5:$Z$65,F$1,FALSE)*((100%-GRA!$K$2)))</f>
        <v>0</v>
      </c>
      <c r="G29" s="139">
        <f>IF(ISERROR(VLOOKUP($A29,$S$5:$Z$65,G$1,FALSE)*((100%-GRA!$K$2))),0,VLOOKUP($A29,$S$5:$Z$65,G$1,FALSE)*((100%-GRA!$K$2)))</f>
        <v>0</v>
      </c>
      <c r="H29" s="139">
        <f>IF(ISERROR(VLOOKUP($A29,$S$5:$Z$65,H$1,FALSE)*((100%-GRA!$K$2))),0,VLOOKUP($A29,$S$5:$Z$65,H$1,FALSE)*((100%-GRA!$K$2)))</f>
        <v>0</v>
      </c>
      <c r="I29" s="139">
        <f>IF(ISERROR(VLOOKUP($A29,$S$5:$Z$65,I$1,FALSE)*((100%-GRA!$K$2))),0,VLOOKUP($A29,$S$5:$Z$65,I$1,FALSE)*((100%-GRA!$K$2)))</f>
        <v>0</v>
      </c>
      <c r="K29" s="139" t="str">
        <f t="shared" si="6"/>
        <v/>
      </c>
      <c r="L29" s="139" t="str">
        <f t="shared" si="0"/>
        <v/>
      </c>
      <c r="M29" s="139" t="str">
        <f t="shared" si="1"/>
        <v/>
      </c>
      <c r="N29" s="139" t="str">
        <f t="shared" si="2"/>
        <v/>
      </c>
      <c r="O29" s="139" t="str">
        <f t="shared" si="3"/>
        <v/>
      </c>
      <c r="P29" s="139" t="str">
        <f t="shared" si="4"/>
        <v/>
      </c>
      <c r="Q29" s="139" t="str">
        <f t="shared" si="5"/>
        <v/>
      </c>
      <c r="R29" s="143">
        <v>33</v>
      </c>
      <c r="S29" s="139">
        <f>+Incassi!A34</f>
        <v>0</v>
      </c>
      <c r="T29" s="139" t="e">
        <f>HLOOKUP(T$3,Incassi!$B$2:$H$80,$R29,FALSE)</f>
        <v>#N/A</v>
      </c>
      <c r="U29" s="139" t="e">
        <f>HLOOKUP(U$3,Incassi!$B$2:$H$80,$R29,FALSE)</f>
        <v>#N/A</v>
      </c>
      <c r="V29" s="139" t="e">
        <f>HLOOKUP(V$3,Incassi!$B$2:$H$80,$R29,FALSE)</f>
        <v>#N/A</v>
      </c>
      <c r="W29" s="139" t="e">
        <f>HLOOKUP(W$3,Incassi!$B$2:$H$80,$R29,FALSE)</f>
        <v>#N/A</v>
      </c>
      <c r="X29" s="139" t="e">
        <f>HLOOKUP(X$3,Incassi!$B$2:$H$80,$R29,FALSE)</f>
        <v>#N/A</v>
      </c>
      <c r="Y29" s="139" t="e">
        <f>HLOOKUP(Y$3,Incassi!$B$2:$H$80,$R29,FALSE)</f>
        <v>#N/A</v>
      </c>
      <c r="Z29" s="139" t="e">
        <f>HLOOKUP(Z$3,Incassi!$B$2:$H$80,$R29,FALSE)</f>
        <v>#N/A</v>
      </c>
    </row>
    <row r="30" spans="1:26">
      <c r="A30" s="317">
        <v>13.15</v>
      </c>
      <c r="B30" s="137">
        <v>0.55208333333333304</v>
      </c>
      <c r="C30" s="140">
        <f>IF(ISERROR(VLOOKUP($A30,$S$5:$Z$65,C$1,FALSE)*((100%-GRA!$K$2))),0,VLOOKUP($A30,$S$5:$Z$65,C$1,FALSE)*((100%-GRA!$K$2)))</f>
        <v>0</v>
      </c>
      <c r="D30" s="140">
        <f>IF(ISERROR(VLOOKUP($A30,$S$5:$Z$65,D$1,FALSE)*((100%-GRA!$K$2))),0,VLOOKUP($A30,$S$5:$Z$65,D$1,FALSE)*((100%-GRA!$K$2)))</f>
        <v>0</v>
      </c>
      <c r="E30" s="140">
        <f>IF(ISERROR(VLOOKUP($A30,$S$5:$Z$65,E$1,FALSE)*((100%-GRA!$K$2))),0,VLOOKUP($A30,$S$5:$Z$65,E$1,FALSE)*((100%-GRA!$K$2)))</f>
        <v>0</v>
      </c>
      <c r="F30" s="140">
        <f>IF(ISERROR(VLOOKUP($A30,$S$5:$Z$65,F$1,FALSE)*((100%-GRA!$K$2))),0,VLOOKUP($A30,$S$5:$Z$65,F$1,FALSE)*((100%-GRA!$K$2)))</f>
        <v>0</v>
      </c>
      <c r="G30" s="140">
        <f>IF(ISERROR(VLOOKUP($A30,$S$5:$Z$65,G$1,FALSE)*((100%-GRA!$K$2))),0,VLOOKUP($A30,$S$5:$Z$65,G$1,FALSE)*((100%-GRA!$K$2)))</f>
        <v>0</v>
      </c>
      <c r="H30" s="140">
        <f>IF(ISERROR(VLOOKUP($A30,$S$5:$Z$65,H$1,FALSE)*((100%-GRA!$K$2))),0,VLOOKUP($A30,$S$5:$Z$65,H$1,FALSE)*((100%-GRA!$K$2)))</f>
        <v>0</v>
      </c>
      <c r="I30" s="140">
        <f>IF(ISERROR(VLOOKUP($A30,$S$5:$Z$65,I$1,FALSE)*((100%-GRA!$K$2))),0,VLOOKUP($A30,$S$5:$Z$65,I$1,FALSE)*((100%-GRA!$K$2)))</f>
        <v>0</v>
      </c>
      <c r="K30" s="140" t="str">
        <f t="shared" si="6"/>
        <v/>
      </c>
      <c r="L30" s="140" t="str">
        <f t="shared" si="0"/>
        <v/>
      </c>
      <c r="M30" s="140" t="str">
        <f t="shared" si="1"/>
        <v/>
      </c>
      <c r="N30" s="140" t="str">
        <f t="shared" si="2"/>
        <v/>
      </c>
      <c r="O30" s="140" t="str">
        <f t="shared" si="3"/>
        <v/>
      </c>
      <c r="P30" s="140" t="str">
        <f t="shared" si="4"/>
        <v/>
      </c>
      <c r="Q30" s="140" t="str">
        <f t="shared" si="5"/>
        <v/>
      </c>
      <c r="R30" s="143">
        <v>34</v>
      </c>
      <c r="S30" s="140">
        <f>+Incassi!A35</f>
        <v>0</v>
      </c>
      <c r="T30" s="140" t="e">
        <f>HLOOKUP(T$3,Incassi!$B$2:$H$80,$R30,FALSE)</f>
        <v>#N/A</v>
      </c>
      <c r="U30" s="140" t="e">
        <f>HLOOKUP(U$3,Incassi!$B$2:$H$80,$R30,FALSE)</f>
        <v>#N/A</v>
      </c>
      <c r="V30" s="140" t="e">
        <f>HLOOKUP(V$3,Incassi!$B$2:$H$80,$R30,FALSE)</f>
        <v>#N/A</v>
      </c>
      <c r="W30" s="140" t="e">
        <f>HLOOKUP(W$3,Incassi!$B$2:$H$80,$R30,FALSE)</f>
        <v>#N/A</v>
      </c>
      <c r="X30" s="140" t="e">
        <f>HLOOKUP(X$3,Incassi!$B$2:$H$80,$R30,FALSE)</f>
        <v>#N/A</v>
      </c>
      <c r="Y30" s="140" t="e">
        <f>HLOOKUP(Y$3,Incassi!$B$2:$H$80,$R30,FALSE)</f>
        <v>#N/A</v>
      </c>
      <c r="Z30" s="140" t="e">
        <f>HLOOKUP(Z$3,Incassi!$B$2:$H$80,$R30,FALSE)</f>
        <v>#N/A</v>
      </c>
    </row>
    <row r="31" spans="1:26">
      <c r="A31" s="317">
        <v>13.3</v>
      </c>
      <c r="B31" s="136">
        <v>0.562499999999999</v>
      </c>
      <c r="C31" s="139">
        <f>IF(ISERROR(VLOOKUP($A31,$S$5:$Z$65,C$1,FALSE)*((100%-GRA!$K$2))),0,VLOOKUP($A31,$S$5:$Z$65,C$1,FALSE)*((100%-GRA!$K$2)))</f>
        <v>0</v>
      </c>
      <c r="D31" s="139">
        <f>IF(ISERROR(VLOOKUP($A31,$S$5:$Z$65,D$1,FALSE)*((100%-GRA!$K$2))),0,VLOOKUP($A31,$S$5:$Z$65,D$1,FALSE)*((100%-GRA!$K$2)))</f>
        <v>0</v>
      </c>
      <c r="E31" s="139">
        <f>IF(ISERROR(VLOOKUP($A31,$S$5:$Z$65,E$1,FALSE)*((100%-GRA!$K$2))),0,VLOOKUP($A31,$S$5:$Z$65,E$1,FALSE)*((100%-GRA!$K$2)))</f>
        <v>0</v>
      </c>
      <c r="F31" s="139">
        <f>IF(ISERROR(VLOOKUP($A31,$S$5:$Z$65,F$1,FALSE)*((100%-GRA!$K$2))),0,VLOOKUP($A31,$S$5:$Z$65,F$1,FALSE)*((100%-GRA!$K$2)))</f>
        <v>0</v>
      </c>
      <c r="G31" s="139">
        <f>IF(ISERROR(VLOOKUP($A31,$S$5:$Z$65,G$1,FALSE)*((100%-GRA!$K$2))),0,VLOOKUP($A31,$S$5:$Z$65,G$1,FALSE)*((100%-GRA!$K$2)))</f>
        <v>0</v>
      </c>
      <c r="H31" s="139">
        <f>IF(ISERROR(VLOOKUP($A31,$S$5:$Z$65,H$1,FALSE)*((100%-GRA!$K$2))),0,VLOOKUP($A31,$S$5:$Z$65,H$1,FALSE)*((100%-GRA!$K$2)))</f>
        <v>0</v>
      </c>
      <c r="I31" s="139">
        <f>IF(ISERROR(VLOOKUP($A31,$S$5:$Z$65,I$1,FALSE)*((100%-GRA!$K$2))),0,VLOOKUP($A31,$S$5:$Z$65,I$1,FALSE)*((100%-GRA!$K$2)))</f>
        <v>0</v>
      </c>
      <c r="K31" s="139" t="str">
        <f t="shared" si="6"/>
        <v/>
      </c>
      <c r="L31" s="139" t="str">
        <f t="shared" si="0"/>
        <v/>
      </c>
      <c r="M31" s="139" t="str">
        <f t="shared" si="1"/>
        <v/>
      </c>
      <c r="N31" s="139" t="str">
        <f t="shared" si="2"/>
        <v/>
      </c>
      <c r="O31" s="139" t="str">
        <f t="shared" si="3"/>
        <v/>
      </c>
      <c r="P31" s="139" t="str">
        <f t="shared" si="4"/>
        <v/>
      </c>
      <c r="Q31" s="139" t="str">
        <f t="shared" si="5"/>
        <v/>
      </c>
      <c r="R31" s="143">
        <v>35</v>
      </c>
      <c r="S31" s="139">
        <f>+Incassi!A36</f>
        <v>0</v>
      </c>
      <c r="T31" s="139" t="e">
        <f>HLOOKUP(T$3,Incassi!$B$2:$H$80,$R31,FALSE)</f>
        <v>#N/A</v>
      </c>
      <c r="U31" s="139" t="e">
        <f>HLOOKUP(U$3,Incassi!$B$2:$H$80,$R31,FALSE)</f>
        <v>#N/A</v>
      </c>
      <c r="V31" s="139" t="e">
        <f>HLOOKUP(V$3,Incassi!$B$2:$H$80,$R31,FALSE)</f>
        <v>#N/A</v>
      </c>
      <c r="W31" s="139" t="e">
        <f>HLOOKUP(W$3,Incassi!$B$2:$H$80,$R31,FALSE)</f>
        <v>#N/A</v>
      </c>
      <c r="X31" s="139" t="e">
        <f>HLOOKUP(X$3,Incassi!$B$2:$H$80,$R31,FALSE)</f>
        <v>#N/A</v>
      </c>
      <c r="Y31" s="139" t="e">
        <f>HLOOKUP(Y$3,Incassi!$B$2:$H$80,$R31,FALSE)</f>
        <v>#N/A</v>
      </c>
      <c r="Z31" s="139" t="e">
        <f>HLOOKUP(Z$3,Incassi!$B$2:$H$80,$R31,FALSE)</f>
        <v>#N/A</v>
      </c>
    </row>
    <row r="32" spans="1:26">
      <c r="A32" s="317">
        <v>13.450000000000001</v>
      </c>
      <c r="B32" s="137">
        <v>0.57291666666666596</v>
      </c>
      <c r="C32" s="140">
        <f>IF(ISERROR(VLOOKUP($A32,$S$5:$Z$65,C$1,FALSE)*((100%-GRA!$K$2))),0,VLOOKUP($A32,$S$5:$Z$65,C$1,FALSE)*((100%-GRA!$K$2)))</f>
        <v>0</v>
      </c>
      <c r="D32" s="140">
        <f>IF(ISERROR(VLOOKUP($A32,$S$5:$Z$65,D$1,FALSE)*((100%-GRA!$K$2))),0,VLOOKUP($A32,$S$5:$Z$65,D$1,FALSE)*((100%-GRA!$K$2)))</f>
        <v>0</v>
      </c>
      <c r="E32" s="140">
        <f>IF(ISERROR(VLOOKUP($A32,$S$5:$Z$65,E$1,FALSE)*((100%-GRA!$K$2))),0,VLOOKUP($A32,$S$5:$Z$65,E$1,FALSE)*((100%-GRA!$K$2)))</f>
        <v>0</v>
      </c>
      <c r="F32" s="140">
        <f>IF(ISERROR(VLOOKUP($A32,$S$5:$Z$65,F$1,FALSE)*((100%-GRA!$K$2))),0,VLOOKUP($A32,$S$5:$Z$65,F$1,FALSE)*((100%-GRA!$K$2)))</f>
        <v>0</v>
      </c>
      <c r="G32" s="140">
        <f>IF(ISERROR(VLOOKUP($A32,$S$5:$Z$65,G$1,FALSE)*((100%-GRA!$K$2))),0,VLOOKUP($A32,$S$5:$Z$65,G$1,FALSE)*((100%-GRA!$K$2)))</f>
        <v>0</v>
      </c>
      <c r="H32" s="140">
        <f>IF(ISERROR(VLOOKUP($A32,$S$5:$Z$65,H$1,FALSE)*((100%-GRA!$K$2))),0,VLOOKUP($A32,$S$5:$Z$65,H$1,FALSE)*((100%-GRA!$K$2)))</f>
        <v>0</v>
      </c>
      <c r="I32" s="140">
        <f>IF(ISERROR(VLOOKUP($A32,$S$5:$Z$65,I$1,FALSE)*((100%-GRA!$K$2))),0,VLOOKUP($A32,$S$5:$Z$65,I$1,FALSE)*((100%-GRA!$K$2)))</f>
        <v>0</v>
      </c>
      <c r="K32" s="140" t="str">
        <f t="shared" si="6"/>
        <v/>
      </c>
      <c r="L32" s="140" t="str">
        <f t="shared" si="0"/>
        <v/>
      </c>
      <c r="M32" s="140" t="str">
        <f t="shared" si="1"/>
        <v/>
      </c>
      <c r="N32" s="140" t="str">
        <f t="shared" si="2"/>
        <v/>
      </c>
      <c r="O32" s="140" t="str">
        <f t="shared" si="3"/>
        <v/>
      </c>
      <c r="P32" s="140" t="str">
        <f t="shared" si="4"/>
        <v/>
      </c>
      <c r="Q32" s="140" t="str">
        <f t="shared" si="5"/>
        <v/>
      </c>
      <c r="R32" s="143">
        <v>36</v>
      </c>
      <c r="S32" s="140">
        <f>+Incassi!A37</f>
        <v>0</v>
      </c>
      <c r="T32" s="140" t="e">
        <f>HLOOKUP(T$3,Incassi!$B$2:$H$80,$R32,FALSE)</f>
        <v>#N/A</v>
      </c>
      <c r="U32" s="140" t="e">
        <f>HLOOKUP(U$3,Incassi!$B$2:$H$80,$R32,FALSE)</f>
        <v>#N/A</v>
      </c>
      <c r="V32" s="140" t="e">
        <f>HLOOKUP(V$3,Incassi!$B$2:$H$80,$R32,FALSE)</f>
        <v>#N/A</v>
      </c>
      <c r="W32" s="140" t="e">
        <f>HLOOKUP(W$3,Incassi!$B$2:$H$80,$R32,FALSE)</f>
        <v>#N/A</v>
      </c>
      <c r="X32" s="140" t="e">
        <f>HLOOKUP(X$3,Incassi!$B$2:$H$80,$R32,FALSE)</f>
        <v>#N/A</v>
      </c>
      <c r="Y32" s="140" t="e">
        <f>HLOOKUP(Y$3,Incassi!$B$2:$H$80,$R32,FALSE)</f>
        <v>#N/A</v>
      </c>
      <c r="Z32" s="140" t="e">
        <f>HLOOKUP(Z$3,Incassi!$B$2:$H$80,$R32,FALSE)</f>
        <v>#N/A</v>
      </c>
    </row>
    <row r="33" spans="1:26">
      <c r="A33" s="317">
        <v>14</v>
      </c>
      <c r="B33" s="136">
        <v>0.58333333333333304</v>
      </c>
      <c r="C33" s="139">
        <f>IF(ISERROR(VLOOKUP($A33,$S$5:$Z$65,C$1,FALSE)*((100%-GRA!$K$2))),0,VLOOKUP($A33,$S$5:$Z$65,C$1,FALSE)*((100%-GRA!$K$2)))</f>
        <v>0</v>
      </c>
      <c r="D33" s="139">
        <f>IF(ISERROR(VLOOKUP($A33,$S$5:$Z$65,D$1,FALSE)*((100%-GRA!$K$2))),0,VLOOKUP($A33,$S$5:$Z$65,D$1,FALSE)*((100%-GRA!$K$2)))</f>
        <v>0</v>
      </c>
      <c r="E33" s="139">
        <f>IF(ISERROR(VLOOKUP($A33,$S$5:$Z$65,E$1,FALSE)*((100%-GRA!$K$2))),0,VLOOKUP($A33,$S$5:$Z$65,E$1,FALSE)*((100%-GRA!$K$2)))</f>
        <v>0</v>
      </c>
      <c r="F33" s="139">
        <f>IF(ISERROR(VLOOKUP($A33,$S$5:$Z$65,F$1,FALSE)*((100%-GRA!$K$2))),0,VLOOKUP($A33,$S$5:$Z$65,F$1,FALSE)*((100%-GRA!$K$2)))</f>
        <v>0</v>
      </c>
      <c r="G33" s="139">
        <f>IF(ISERROR(VLOOKUP($A33,$S$5:$Z$65,G$1,FALSE)*((100%-GRA!$K$2))),0,VLOOKUP($A33,$S$5:$Z$65,G$1,FALSE)*((100%-GRA!$K$2)))</f>
        <v>0</v>
      </c>
      <c r="H33" s="139">
        <f>IF(ISERROR(VLOOKUP($A33,$S$5:$Z$65,H$1,FALSE)*((100%-GRA!$K$2))),0,VLOOKUP($A33,$S$5:$Z$65,H$1,FALSE)*((100%-GRA!$K$2)))</f>
        <v>0</v>
      </c>
      <c r="I33" s="139">
        <f>IF(ISERROR(VLOOKUP($A33,$S$5:$Z$65,I$1,FALSE)*((100%-GRA!$K$2))),0,VLOOKUP($A33,$S$5:$Z$65,I$1,FALSE)*((100%-GRA!$K$2)))</f>
        <v>0</v>
      </c>
      <c r="K33" s="139" t="str">
        <f t="shared" si="6"/>
        <v/>
      </c>
      <c r="L33" s="139" t="str">
        <f t="shared" si="0"/>
        <v/>
      </c>
      <c r="M33" s="139" t="str">
        <f t="shared" si="1"/>
        <v/>
      </c>
      <c r="N33" s="139" t="str">
        <f t="shared" si="2"/>
        <v/>
      </c>
      <c r="O33" s="139" t="str">
        <f t="shared" si="3"/>
        <v/>
      </c>
      <c r="P33" s="139" t="str">
        <f t="shared" si="4"/>
        <v/>
      </c>
      <c r="Q33" s="139" t="str">
        <f t="shared" si="5"/>
        <v/>
      </c>
      <c r="R33" s="143">
        <v>37</v>
      </c>
      <c r="S33" s="139">
        <f>+Incassi!A38</f>
        <v>0</v>
      </c>
      <c r="T33" s="139" t="e">
        <f>HLOOKUP(T$3,Incassi!$B$2:$H$80,$R33,FALSE)</f>
        <v>#N/A</v>
      </c>
      <c r="U33" s="139" t="e">
        <f>HLOOKUP(U$3,Incassi!$B$2:$H$80,$R33,FALSE)</f>
        <v>#N/A</v>
      </c>
      <c r="V33" s="139" t="e">
        <f>HLOOKUP(V$3,Incassi!$B$2:$H$80,$R33,FALSE)</f>
        <v>#N/A</v>
      </c>
      <c r="W33" s="139" t="e">
        <f>HLOOKUP(W$3,Incassi!$B$2:$H$80,$R33,FALSE)</f>
        <v>#N/A</v>
      </c>
      <c r="X33" s="139" t="e">
        <f>HLOOKUP(X$3,Incassi!$B$2:$H$80,$R33,FALSE)</f>
        <v>#N/A</v>
      </c>
      <c r="Y33" s="139" t="e">
        <f>HLOOKUP(Y$3,Incassi!$B$2:$H$80,$R33,FALSE)</f>
        <v>#N/A</v>
      </c>
      <c r="Z33" s="139" t="e">
        <f>HLOOKUP(Z$3,Incassi!$B$2:$H$80,$R33,FALSE)</f>
        <v>#N/A</v>
      </c>
    </row>
    <row r="34" spans="1:26">
      <c r="A34" s="317">
        <v>14.15</v>
      </c>
      <c r="B34" s="137">
        <v>0.593749999999999</v>
      </c>
      <c r="C34" s="140">
        <f>IF(ISERROR(VLOOKUP($A34,$S$5:$Z$65,C$1,FALSE)*((100%-GRA!$K$2))),0,VLOOKUP($A34,$S$5:$Z$65,C$1,FALSE)*((100%-GRA!$K$2)))</f>
        <v>0</v>
      </c>
      <c r="D34" s="140">
        <f>IF(ISERROR(VLOOKUP($A34,$S$5:$Z$65,D$1,FALSE)*((100%-GRA!$K$2))),0,VLOOKUP($A34,$S$5:$Z$65,D$1,FALSE)*((100%-GRA!$K$2)))</f>
        <v>0</v>
      </c>
      <c r="E34" s="140">
        <f>IF(ISERROR(VLOOKUP($A34,$S$5:$Z$65,E$1,FALSE)*((100%-GRA!$K$2))),0,VLOOKUP($A34,$S$5:$Z$65,E$1,FALSE)*((100%-GRA!$K$2)))</f>
        <v>0</v>
      </c>
      <c r="F34" s="140">
        <f>IF(ISERROR(VLOOKUP($A34,$S$5:$Z$65,F$1,FALSE)*((100%-GRA!$K$2))),0,VLOOKUP($A34,$S$5:$Z$65,F$1,FALSE)*((100%-GRA!$K$2)))</f>
        <v>0</v>
      </c>
      <c r="G34" s="140">
        <f>IF(ISERROR(VLOOKUP($A34,$S$5:$Z$65,G$1,FALSE)*((100%-GRA!$K$2))),0,VLOOKUP($A34,$S$5:$Z$65,G$1,FALSE)*((100%-GRA!$K$2)))</f>
        <v>0</v>
      </c>
      <c r="H34" s="140">
        <f>IF(ISERROR(VLOOKUP($A34,$S$5:$Z$65,H$1,FALSE)*((100%-GRA!$K$2))),0,VLOOKUP($A34,$S$5:$Z$65,H$1,FALSE)*((100%-GRA!$K$2)))</f>
        <v>0</v>
      </c>
      <c r="I34" s="140">
        <f>IF(ISERROR(VLOOKUP($A34,$S$5:$Z$65,I$1,FALSE)*((100%-GRA!$K$2))),0,VLOOKUP($A34,$S$5:$Z$65,I$1,FALSE)*((100%-GRA!$K$2)))</f>
        <v>0</v>
      </c>
      <c r="K34" s="140" t="str">
        <f t="shared" si="6"/>
        <v/>
      </c>
      <c r="L34" s="140" t="str">
        <f t="shared" si="0"/>
        <v/>
      </c>
      <c r="M34" s="140" t="str">
        <f t="shared" si="1"/>
        <v/>
      </c>
      <c r="N34" s="140" t="str">
        <f t="shared" si="2"/>
        <v/>
      </c>
      <c r="O34" s="140" t="str">
        <f t="shared" si="3"/>
        <v/>
      </c>
      <c r="P34" s="140" t="str">
        <f t="shared" si="4"/>
        <v/>
      </c>
      <c r="Q34" s="140" t="str">
        <f t="shared" si="5"/>
        <v/>
      </c>
      <c r="R34" s="143">
        <v>38</v>
      </c>
      <c r="S34" s="140">
        <f>+Incassi!A39</f>
        <v>0</v>
      </c>
      <c r="T34" s="140" t="e">
        <f>HLOOKUP(T$3,Incassi!$B$2:$H$80,$R34,FALSE)</f>
        <v>#N/A</v>
      </c>
      <c r="U34" s="140" t="e">
        <f>HLOOKUP(U$3,Incassi!$B$2:$H$80,$R34,FALSE)</f>
        <v>#N/A</v>
      </c>
      <c r="V34" s="140" t="e">
        <f>HLOOKUP(V$3,Incassi!$B$2:$H$80,$R34,FALSE)</f>
        <v>#N/A</v>
      </c>
      <c r="W34" s="140" t="e">
        <f>HLOOKUP(W$3,Incassi!$B$2:$H$80,$R34,FALSE)</f>
        <v>#N/A</v>
      </c>
      <c r="X34" s="140" t="e">
        <f>HLOOKUP(X$3,Incassi!$B$2:$H$80,$R34,FALSE)</f>
        <v>#N/A</v>
      </c>
      <c r="Y34" s="140" t="e">
        <f>HLOOKUP(Y$3,Incassi!$B$2:$H$80,$R34,FALSE)</f>
        <v>#N/A</v>
      </c>
      <c r="Z34" s="140" t="e">
        <f>HLOOKUP(Z$3,Incassi!$B$2:$H$80,$R34,FALSE)</f>
        <v>#N/A</v>
      </c>
    </row>
    <row r="35" spans="1:26">
      <c r="A35" s="317">
        <v>14.3</v>
      </c>
      <c r="B35" s="136">
        <v>0.60416666666666596</v>
      </c>
      <c r="C35" s="139">
        <f>IF(ISERROR(VLOOKUP($A35,$S$5:$Z$65,C$1,FALSE)*((100%-GRA!$K$2))),0,VLOOKUP($A35,$S$5:$Z$65,C$1,FALSE)*((100%-GRA!$K$2)))</f>
        <v>0</v>
      </c>
      <c r="D35" s="139">
        <f>IF(ISERROR(VLOOKUP($A35,$S$5:$Z$65,D$1,FALSE)*((100%-GRA!$K$2))),0,VLOOKUP($A35,$S$5:$Z$65,D$1,FALSE)*((100%-GRA!$K$2)))</f>
        <v>0</v>
      </c>
      <c r="E35" s="139">
        <f>IF(ISERROR(VLOOKUP($A35,$S$5:$Z$65,E$1,FALSE)*((100%-GRA!$K$2))),0,VLOOKUP($A35,$S$5:$Z$65,E$1,FALSE)*((100%-GRA!$K$2)))</f>
        <v>0</v>
      </c>
      <c r="F35" s="139">
        <f>IF(ISERROR(VLOOKUP($A35,$S$5:$Z$65,F$1,FALSE)*((100%-GRA!$K$2))),0,VLOOKUP($A35,$S$5:$Z$65,F$1,FALSE)*((100%-GRA!$K$2)))</f>
        <v>0</v>
      </c>
      <c r="G35" s="139">
        <f>IF(ISERROR(VLOOKUP($A35,$S$5:$Z$65,G$1,FALSE)*((100%-GRA!$K$2))),0,VLOOKUP($A35,$S$5:$Z$65,G$1,FALSE)*((100%-GRA!$K$2)))</f>
        <v>0</v>
      </c>
      <c r="H35" s="139">
        <f>IF(ISERROR(VLOOKUP($A35,$S$5:$Z$65,H$1,FALSE)*((100%-GRA!$K$2))),0,VLOOKUP($A35,$S$5:$Z$65,H$1,FALSE)*((100%-GRA!$K$2)))</f>
        <v>0</v>
      </c>
      <c r="I35" s="139">
        <f>IF(ISERROR(VLOOKUP($A35,$S$5:$Z$65,I$1,FALSE)*((100%-GRA!$K$2))),0,VLOOKUP($A35,$S$5:$Z$65,I$1,FALSE)*((100%-GRA!$K$2)))</f>
        <v>0</v>
      </c>
      <c r="K35" s="139" t="str">
        <f t="shared" si="6"/>
        <v/>
      </c>
      <c r="L35" s="139" t="str">
        <f t="shared" si="0"/>
        <v/>
      </c>
      <c r="M35" s="139" t="str">
        <f t="shared" si="1"/>
        <v/>
      </c>
      <c r="N35" s="139" t="str">
        <f t="shared" si="2"/>
        <v/>
      </c>
      <c r="O35" s="139" t="str">
        <f t="shared" si="3"/>
        <v/>
      </c>
      <c r="P35" s="139" t="str">
        <f t="shared" si="4"/>
        <v/>
      </c>
      <c r="Q35" s="139" t="str">
        <f t="shared" si="5"/>
        <v/>
      </c>
      <c r="R35" s="143">
        <v>39</v>
      </c>
      <c r="S35" s="139">
        <f>+Incassi!A40</f>
        <v>0</v>
      </c>
      <c r="T35" s="139" t="e">
        <f>HLOOKUP(T$3,Incassi!$B$2:$H$80,$R35,FALSE)</f>
        <v>#N/A</v>
      </c>
      <c r="U35" s="139" t="e">
        <f>HLOOKUP(U$3,Incassi!$B$2:$H$80,$R35,FALSE)</f>
        <v>#N/A</v>
      </c>
      <c r="V35" s="139" t="e">
        <f>HLOOKUP(V$3,Incassi!$B$2:$H$80,$R35,FALSE)</f>
        <v>#N/A</v>
      </c>
      <c r="W35" s="139" t="e">
        <f>HLOOKUP(W$3,Incassi!$B$2:$H$80,$R35,FALSE)</f>
        <v>#N/A</v>
      </c>
      <c r="X35" s="139" t="e">
        <f>HLOOKUP(X$3,Incassi!$B$2:$H$80,$R35,FALSE)</f>
        <v>#N/A</v>
      </c>
      <c r="Y35" s="139" t="e">
        <f>HLOOKUP(Y$3,Incassi!$B$2:$H$80,$R35,FALSE)</f>
        <v>#N/A</v>
      </c>
      <c r="Z35" s="139" t="e">
        <f>HLOOKUP(Z$3,Incassi!$B$2:$H$80,$R35,FALSE)</f>
        <v>#N/A</v>
      </c>
    </row>
    <row r="36" spans="1:26">
      <c r="A36" s="317">
        <v>14.450000000000001</v>
      </c>
      <c r="B36" s="137">
        <v>0.61458333333333304</v>
      </c>
      <c r="C36" s="140">
        <f>IF(ISERROR(VLOOKUP($A36,$S$5:$Z$65,C$1,FALSE)*((100%-GRA!$K$2))),0,VLOOKUP($A36,$S$5:$Z$65,C$1,FALSE)*((100%-GRA!$K$2)))</f>
        <v>0</v>
      </c>
      <c r="D36" s="140">
        <f>IF(ISERROR(VLOOKUP($A36,$S$5:$Z$65,D$1,FALSE)*((100%-GRA!$K$2))),0,VLOOKUP($A36,$S$5:$Z$65,D$1,FALSE)*((100%-GRA!$K$2)))</f>
        <v>0</v>
      </c>
      <c r="E36" s="140">
        <f>IF(ISERROR(VLOOKUP($A36,$S$5:$Z$65,E$1,FALSE)*((100%-GRA!$K$2))),0,VLOOKUP($A36,$S$5:$Z$65,E$1,FALSE)*((100%-GRA!$K$2)))</f>
        <v>0</v>
      </c>
      <c r="F36" s="140">
        <f>IF(ISERROR(VLOOKUP($A36,$S$5:$Z$65,F$1,FALSE)*((100%-GRA!$K$2))),0,VLOOKUP($A36,$S$5:$Z$65,F$1,FALSE)*((100%-GRA!$K$2)))</f>
        <v>0</v>
      </c>
      <c r="G36" s="140">
        <f>IF(ISERROR(VLOOKUP($A36,$S$5:$Z$65,G$1,FALSE)*((100%-GRA!$K$2))),0,VLOOKUP($A36,$S$5:$Z$65,G$1,FALSE)*((100%-GRA!$K$2)))</f>
        <v>0</v>
      </c>
      <c r="H36" s="140">
        <f>IF(ISERROR(VLOOKUP($A36,$S$5:$Z$65,H$1,FALSE)*((100%-GRA!$K$2))),0,VLOOKUP($A36,$S$5:$Z$65,H$1,FALSE)*((100%-GRA!$K$2)))</f>
        <v>0</v>
      </c>
      <c r="I36" s="140">
        <f>IF(ISERROR(VLOOKUP($A36,$S$5:$Z$65,I$1,FALSE)*((100%-GRA!$K$2))),0,VLOOKUP($A36,$S$5:$Z$65,I$1,FALSE)*((100%-GRA!$K$2)))</f>
        <v>0</v>
      </c>
      <c r="K36" s="140" t="str">
        <f t="shared" si="6"/>
        <v/>
      </c>
      <c r="L36" s="140" t="str">
        <f t="shared" si="0"/>
        <v/>
      </c>
      <c r="M36" s="140" t="str">
        <f t="shared" si="1"/>
        <v/>
      </c>
      <c r="N36" s="140" t="str">
        <f t="shared" si="2"/>
        <v/>
      </c>
      <c r="O36" s="140" t="str">
        <f t="shared" si="3"/>
        <v/>
      </c>
      <c r="P36" s="140" t="str">
        <f t="shared" si="4"/>
        <v/>
      </c>
      <c r="Q36" s="140" t="str">
        <f t="shared" si="5"/>
        <v/>
      </c>
      <c r="R36" s="143">
        <v>40</v>
      </c>
      <c r="S36" s="140">
        <f>+Incassi!A41</f>
        <v>0</v>
      </c>
      <c r="T36" s="140" t="e">
        <f>HLOOKUP(T$3,Incassi!$B$2:$H$80,$R36,FALSE)</f>
        <v>#N/A</v>
      </c>
      <c r="U36" s="140" t="e">
        <f>HLOOKUP(U$3,Incassi!$B$2:$H$80,$R36,FALSE)</f>
        <v>#N/A</v>
      </c>
      <c r="V36" s="140" t="e">
        <f>HLOOKUP(V$3,Incassi!$B$2:$H$80,$R36,FALSE)</f>
        <v>#N/A</v>
      </c>
      <c r="W36" s="140" t="e">
        <f>HLOOKUP(W$3,Incassi!$B$2:$H$80,$R36,FALSE)</f>
        <v>#N/A</v>
      </c>
      <c r="X36" s="140" t="e">
        <f>HLOOKUP(X$3,Incassi!$B$2:$H$80,$R36,FALSE)</f>
        <v>#N/A</v>
      </c>
      <c r="Y36" s="140" t="e">
        <f>HLOOKUP(Y$3,Incassi!$B$2:$H$80,$R36,FALSE)</f>
        <v>#N/A</v>
      </c>
      <c r="Z36" s="140" t="e">
        <f>HLOOKUP(Z$3,Incassi!$B$2:$H$80,$R36,FALSE)</f>
        <v>#N/A</v>
      </c>
    </row>
    <row r="37" spans="1:26">
      <c r="A37" s="317">
        <v>15</v>
      </c>
      <c r="B37" s="136">
        <v>0.624999999999999</v>
      </c>
      <c r="C37" s="139">
        <f>IF(ISERROR(VLOOKUP($A37,$S$5:$Z$65,C$1,FALSE)*((100%-GRA!$K$2))),0,VLOOKUP($A37,$S$5:$Z$65,C$1,FALSE)*((100%-GRA!$K$2)))</f>
        <v>0</v>
      </c>
      <c r="D37" s="139">
        <f>IF(ISERROR(VLOOKUP($A37,$S$5:$Z$65,D$1,FALSE)*((100%-GRA!$K$2))),0,VLOOKUP($A37,$S$5:$Z$65,D$1,FALSE)*((100%-GRA!$K$2)))</f>
        <v>0</v>
      </c>
      <c r="E37" s="139">
        <f>IF(ISERROR(VLOOKUP($A37,$S$5:$Z$65,E$1,FALSE)*((100%-GRA!$K$2))),0,VLOOKUP($A37,$S$5:$Z$65,E$1,FALSE)*((100%-GRA!$K$2)))</f>
        <v>0</v>
      </c>
      <c r="F37" s="139">
        <f>IF(ISERROR(VLOOKUP($A37,$S$5:$Z$65,F$1,FALSE)*((100%-GRA!$K$2))),0,VLOOKUP($A37,$S$5:$Z$65,F$1,FALSE)*((100%-GRA!$K$2)))</f>
        <v>0</v>
      </c>
      <c r="G37" s="139">
        <f>IF(ISERROR(VLOOKUP($A37,$S$5:$Z$65,G$1,FALSE)*((100%-GRA!$K$2))),0,VLOOKUP($A37,$S$5:$Z$65,G$1,FALSE)*((100%-GRA!$K$2)))</f>
        <v>0</v>
      </c>
      <c r="H37" s="139">
        <f>IF(ISERROR(VLOOKUP($A37,$S$5:$Z$65,H$1,FALSE)*((100%-GRA!$K$2))),0,VLOOKUP($A37,$S$5:$Z$65,H$1,FALSE)*((100%-GRA!$K$2)))</f>
        <v>0</v>
      </c>
      <c r="I37" s="139">
        <f>IF(ISERROR(VLOOKUP($A37,$S$5:$Z$65,I$1,FALSE)*((100%-GRA!$K$2))),0,VLOOKUP($A37,$S$5:$Z$65,I$1,FALSE)*((100%-GRA!$K$2)))</f>
        <v>0</v>
      </c>
      <c r="K37" s="139" t="str">
        <f t="shared" si="6"/>
        <v/>
      </c>
      <c r="L37" s="139" t="str">
        <f t="shared" si="0"/>
        <v/>
      </c>
      <c r="M37" s="139" t="str">
        <f t="shared" si="1"/>
        <v/>
      </c>
      <c r="N37" s="139" t="str">
        <f t="shared" si="2"/>
        <v/>
      </c>
      <c r="O37" s="139" t="str">
        <f t="shared" si="3"/>
        <v/>
      </c>
      <c r="P37" s="139" t="str">
        <f t="shared" si="4"/>
        <v/>
      </c>
      <c r="Q37" s="139" t="str">
        <f t="shared" si="5"/>
        <v/>
      </c>
      <c r="R37" s="143">
        <v>41</v>
      </c>
      <c r="S37" s="139">
        <f>+Incassi!A42</f>
        <v>0</v>
      </c>
      <c r="T37" s="139" t="e">
        <f>HLOOKUP(T$3,Incassi!$B$2:$H$80,$R37,FALSE)</f>
        <v>#N/A</v>
      </c>
      <c r="U37" s="139" t="e">
        <f>HLOOKUP(U$3,Incassi!$B$2:$H$80,$R37,FALSE)</f>
        <v>#N/A</v>
      </c>
      <c r="V37" s="139" t="e">
        <f>HLOOKUP(V$3,Incassi!$B$2:$H$80,$R37,FALSE)</f>
        <v>#N/A</v>
      </c>
      <c r="W37" s="139" t="e">
        <f>HLOOKUP(W$3,Incassi!$B$2:$H$80,$R37,FALSE)</f>
        <v>#N/A</v>
      </c>
      <c r="X37" s="139" t="e">
        <f>HLOOKUP(X$3,Incassi!$B$2:$H$80,$R37,FALSE)</f>
        <v>#N/A</v>
      </c>
      <c r="Y37" s="139" t="e">
        <f>HLOOKUP(Y$3,Incassi!$B$2:$H$80,$R37,FALSE)</f>
        <v>#N/A</v>
      </c>
      <c r="Z37" s="139" t="e">
        <f>HLOOKUP(Z$3,Incassi!$B$2:$H$80,$R37,FALSE)</f>
        <v>#N/A</v>
      </c>
    </row>
    <row r="38" spans="1:26">
      <c r="A38" s="317">
        <v>15.15</v>
      </c>
      <c r="B38" s="137">
        <v>0.63541666666666596</v>
      </c>
      <c r="C38" s="140">
        <f>IF(ISERROR(VLOOKUP($A38,$S$5:$Z$65,C$1,FALSE)*((100%-GRA!$K$2))),0,VLOOKUP($A38,$S$5:$Z$65,C$1,FALSE)*((100%-GRA!$K$2)))</f>
        <v>0</v>
      </c>
      <c r="D38" s="140">
        <f>IF(ISERROR(VLOOKUP($A38,$S$5:$Z$65,D$1,FALSE)*((100%-GRA!$K$2))),0,VLOOKUP($A38,$S$5:$Z$65,D$1,FALSE)*((100%-GRA!$K$2)))</f>
        <v>0</v>
      </c>
      <c r="E38" s="140">
        <f>IF(ISERROR(VLOOKUP($A38,$S$5:$Z$65,E$1,FALSE)*((100%-GRA!$K$2))),0,VLOOKUP($A38,$S$5:$Z$65,E$1,FALSE)*((100%-GRA!$K$2)))</f>
        <v>0</v>
      </c>
      <c r="F38" s="140">
        <f>IF(ISERROR(VLOOKUP($A38,$S$5:$Z$65,F$1,FALSE)*((100%-GRA!$K$2))),0,VLOOKUP($A38,$S$5:$Z$65,F$1,FALSE)*((100%-GRA!$K$2)))</f>
        <v>0</v>
      </c>
      <c r="G38" s="140">
        <f>IF(ISERROR(VLOOKUP($A38,$S$5:$Z$65,G$1,FALSE)*((100%-GRA!$K$2))),0,VLOOKUP($A38,$S$5:$Z$65,G$1,FALSE)*((100%-GRA!$K$2)))</f>
        <v>0</v>
      </c>
      <c r="H38" s="140">
        <f>IF(ISERROR(VLOOKUP($A38,$S$5:$Z$65,H$1,FALSE)*((100%-GRA!$K$2))),0,VLOOKUP($A38,$S$5:$Z$65,H$1,FALSE)*((100%-GRA!$K$2)))</f>
        <v>0</v>
      </c>
      <c r="I38" s="140">
        <f>IF(ISERROR(VLOOKUP($A38,$S$5:$Z$65,I$1,FALSE)*((100%-GRA!$K$2))),0,VLOOKUP($A38,$S$5:$Z$65,I$1,FALSE)*((100%-GRA!$K$2)))</f>
        <v>0</v>
      </c>
      <c r="K38" s="140" t="str">
        <f t="shared" si="6"/>
        <v/>
      </c>
      <c r="L38" s="140" t="str">
        <f t="shared" si="0"/>
        <v/>
      </c>
      <c r="M38" s="140" t="str">
        <f t="shared" si="1"/>
        <v/>
      </c>
      <c r="N38" s="140" t="str">
        <f t="shared" si="2"/>
        <v/>
      </c>
      <c r="O38" s="140" t="str">
        <f t="shared" si="3"/>
        <v/>
      </c>
      <c r="P38" s="140" t="str">
        <f t="shared" si="4"/>
        <v/>
      </c>
      <c r="Q38" s="140" t="str">
        <f t="shared" si="5"/>
        <v/>
      </c>
      <c r="R38" s="143">
        <v>42</v>
      </c>
      <c r="S38" s="140">
        <f>+Incassi!A43</f>
        <v>0</v>
      </c>
      <c r="T38" s="140" t="e">
        <f>HLOOKUP(T$3,Incassi!$B$2:$H$80,$R38,FALSE)</f>
        <v>#N/A</v>
      </c>
      <c r="U38" s="140" t="e">
        <f>HLOOKUP(U$3,Incassi!$B$2:$H$80,$R38,FALSE)</f>
        <v>#N/A</v>
      </c>
      <c r="V38" s="140" t="e">
        <f>HLOOKUP(V$3,Incassi!$B$2:$H$80,$R38,FALSE)</f>
        <v>#N/A</v>
      </c>
      <c r="W38" s="140" t="e">
        <f>HLOOKUP(W$3,Incassi!$B$2:$H$80,$R38,FALSE)</f>
        <v>#N/A</v>
      </c>
      <c r="X38" s="140" t="e">
        <f>HLOOKUP(X$3,Incassi!$B$2:$H$80,$R38,FALSE)</f>
        <v>#N/A</v>
      </c>
      <c r="Y38" s="140" t="e">
        <f>HLOOKUP(Y$3,Incassi!$B$2:$H$80,$R38,FALSE)</f>
        <v>#N/A</v>
      </c>
      <c r="Z38" s="140" t="e">
        <f>HLOOKUP(Z$3,Incassi!$B$2:$H$80,$R38,FALSE)</f>
        <v>#N/A</v>
      </c>
    </row>
    <row r="39" spans="1:26">
      <c r="A39" s="317">
        <v>15.3</v>
      </c>
      <c r="B39" s="136">
        <v>0.64583333333333204</v>
      </c>
      <c r="C39" s="139">
        <f>IF(ISERROR(VLOOKUP($A39,$S$5:$Z$65,C$1,FALSE)*((100%-GRA!$K$2))),0,VLOOKUP($A39,$S$5:$Z$65,C$1,FALSE)*((100%-GRA!$K$2)))</f>
        <v>0</v>
      </c>
      <c r="D39" s="139">
        <f>IF(ISERROR(VLOOKUP($A39,$S$5:$Z$65,D$1,FALSE)*((100%-GRA!$K$2))),0,VLOOKUP($A39,$S$5:$Z$65,D$1,FALSE)*((100%-GRA!$K$2)))</f>
        <v>0</v>
      </c>
      <c r="E39" s="139">
        <f>IF(ISERROR(VLOOKUP($A39,$S$5:$Z$65,E$1,FALSE)*((100%-GRA!$K$2))),0,VLOOKUP($A39,$S$5:$Z$65,E$1,FALSE)*((100%-GRA!$K$2)))</f>
        <v>0</v>
      </c>
      <c r="F39" s="139">
        <f>IF(ISERROR(VLOOKUP($A39,$S$5:$Z$65,F$1,FALSE)*((100%-GRA!$K$2))),0,VLOOKUP($A39,$S$5:$Z$65,F$1,FALSE)*((100%-GRA!$K$2)))</f>
        <v>0</v>
      </c>
      <c r="G39" s="139">
        <f>IF(ISERROR(VLOOKUP($A39,$S$5:$Z$65,G$1,FALSE)*((100%-GRA!$K$2))),0,VLOOKUP($A39,$S$5:$Z$65,G$1,FALSE)*((100%-GRA!$K$2)))</f>
        <v>0</v>
      </c>
      <c r="H39" s="139">
        <f>IF(ISERROR(VLOOKUP($A39,$S$5:$Z$65,H$1,FALSE)*((100%-GRA!$K$2))),0,VLOOKUP($A39,$S$5:$Z$65,H$1,FALSE)*((100%-GRA!$K$2)))</f>
        <v>0</v>
      </c>
      <c r="I39" s="139">
        <f>IF(ISERROR(VLOOKUP($A39,$S$5:$Z$65,I$1,FALSE)*((100%-GRA!$K$2))),0,VLOOKUP($A39,$S$5:$Z$65,I$1,FALSE)*((100%-GRA!$K$2)))</f>
        <v>0</v>
      </c>
      <c r="K39" s="139" t="str">
        <f t="shared" si="6"/>
        <v/>
      </c>
      <c r="L39" s="139" t="str">
        <f t="shared" si="0"/>
        <v/>
      </c>
      <c r="M39" s="139" t="str">
        <f t="shared" si="1"/>
        <v/>
      </c>
      <c r="N39" s="139" t="str">
        <f t="shared" si="2"/>
        <v/>
      </c>
      <c r="O39" s="139" t="str">
        <f t="shared" si="3"/>
        <v/>
      </c>
      <c r="P39" s="139" t="str">
        <f t="shared" si="4"/>
        <v/>
      </c>
      <c r="Q39" s="139" t="str">
        <f t="shared" si="5"/>
        <v/>
      </c>
      <c r="R39" s="143">
        <v>43</v>
      </c>
      <c r="S39" s="139">
        <f>+Incassi!A44</f>
        <v>0</v>
      </c>
      <c r="T39" s="139" t="e">
        <f>HLOOKUP(T$3,Incassi!$B$2:$H$80,$R39,FALSE)</f>
        <v>#N/A</v>
      </c>
      <c r="U39" s="139" t="e">
        <f>HLOOKUP(U$3,Incassi!$B$2:$H$80,$R39,FALSE)</f>
        <v>#N/A</v>
      </c>
      <c r="V39" s="139" t="e">
        <f>HLOOKUP(V$3,Incassi!$B$2:$H$80,$R39,FALSE)</f>
        <v>#N/A</v>
      </c>
      <c r="W39" s="139" t="e">
        <f>HLOOKUP(W$3,Incassi!$B$2:$H$80,$R39,FALSE)</f>
        <v>#N/A</v>
      </c>
      <c r="X39" s="139" t="e">
        <f>HLOOKUP(X$3,Incassi!$B$2:$H$80,$R39,FALSE)</f>
        <v>#N/A</v>
      </c>
      <c r="Y39" s="139" t="e">
        <f>HLOOKUP(Y$3,Incassi!$B$2:$H$80,$R39,FALSE)</f>
        <v>#N/A</v>
      </c>
      <c r="Z39" s="139" t="e">
        <f>HLOOKUP(Z$3,Incassi!$B$2:$H$80,$R39,FALSE)</f>
        <v>#N/A</v>
      </c>
    </row>
    <row r="40" spans="1:26">
      <c r="A40" s="317">
        <v>15.450000000000001</v>
      </c>
      <c r="B40" s="137">
        <v>0.656249999999999</v>
      </c>
      <c r="C40" s="140">
        <f>IF(ISERROR(VLOOKUP($A40,$S$5:$Z$65,C$1,FALSE)*((100%-GRA!$K$2))),0,VLOOKUP($A40,$S$5:$Z$65,C$1,FALSE)*((100%-GRA!$K$2)))</f>
        <v>0</v>
      </c>
      <c r="D40" s="140">
        <f>IF(ISERROR(VLOOKUP($A40,$S$5:$Z$65,D$1,FALSE)*((100%-GRA!$K$2))),0,VLOOKUP($A40,$S$5:$Z$65,D$1,FALSE)*((100%-GRA!$K$2)))</f>
        <v>0</v>
      </c>
      <c r="E40" s="140">
        <f>IF(ISERROR(VLOOKUP($A40,$S$5:$Z$65,E$1,FALSE)*((100%-GRA!$K$2))),0,VLOOKUP($A40,$S$5:$Z$65,E$1,FALSE)*((100%-GRA!$K$2)))</f>
        <v>0</v>
      </c>
      <c r="F40" s="140">
        <f>IF(ISERROR(VLOOKUP($A40,$S$5:$Z$65,F$1,FALSE)*((100%-GRA!$K$2))),0,VLOOKUP($A40,$S$5:$Z$65,F$1,FALSE)*((100%-GRA!$K$2)))</f>
        <v>0</v>
      </c>
      <c r="G40" s="140">
        <f>IF(ISERROR(VLOOKUP($A40,$S$5:$Z$65,G$1,FALSE)*((100%-GRA!$K$2))),0,VLOOKUP($A40,$S$5:$Z$65,G$1,FALSE)*((100%-GRA!$K$2)))</f>
        <v>0</v>
      </c>
      <c r="H40" s="140">
        <f>IF(ISERROR(VLOOKUP($A40,$S$5:$Z$65,H$1,FALSE)*((100%-GRA!$K$2))),0,VLOOKUP($A40,$S$5:$Z$65,H$1,FALSE)*((100%-GRA!$K$2)))</f>
        <v>0</v>
      </c>
      <c r="I40" s="140">
        <f>IF(ISERROR(VLOOKUP($A40,$S$5:$Z$65,I$1,FALSE)*((100%-GRA!$K$2))),0,VLOOKUP($A40,$S$5:$Z$65,I$1,FALSE)*((100%-GRA!$K$2)))</f>
        <v>0</v>
      </c>
      <c r="K40" s="140" t="str">
        <f t="shared" si="6"/>
        <v/>
      </c>
      <c r="L40" s="140" t="str">
        <f t="shared" si="0"/>
        <v/>
      </c>
      <c r="M40" s="140" t="str">
        <f t="shared" si="1"/>
        <v/>
      </c>
      <c r="N40" s="140" t="str">
        <f t="shared" si="2"/>
        <v/>
      </c>
      <c r="O40" s="140" t="str">
        <f t="shared" si="3"/>
        <v/>
      </c>
      <c r="P40" s="140" t="str">
        <f t="shared" si="4"/>
        <v/>
      </c>
      <c r="Q40" s="140" t="str">
        <f t="shared" si="5"/>
        <v/>
      </c>
      <c r="R40" s="143">
        <v>44</v>
      </c>
      <c r="S40" s="140">
        <f>+Incassi!A45</f>
        <v>0</v>
      </c>
      <c r="T40" s="140" t="e">
        <f>HLOOKUP(T$3,Incassi!$B$2:$H$80,$R40,FALSE)</f>
        <v>#N/A</v>
      </c>
      <c r="U40" s="140" t="e">
        <f>HLOOKUP(U$3,Incassi!$B$2:$H$80,$R40,FALSE)</f>
        <v>#N/A</v>
      </c>
      <c r="V40" s="140" t="e">
        <f>HLOOKUP(V$3,Incassi!$B$2:$H$80,$R40,FALSE)</f>
        <v>#N/A</v>
      </c>
      <c r="W40" s="140" t="e">
        <f>HLOOKUP(W$3,Incassi!$B$2:$H$80,$R40,FALSE)</f>
        <v>#N/A</v>
      </c>
      <c r="X40" s="140" t="e">
        <f>HLOOKUP(X$3,Incassi!$B$2:$H$80,$R40,FALSE)</f>
        <v>#N/A</v>
      </c>
      <c r="Y40" s="140" t="e">
        <f>HLOOKUP(Y$3,Incassi!$B$2:$H$80,$R40,FALSE)</f>
        <v>#N/A</v>
      </c>
      <c r="Z40" s="140" t="e">
        <f>HLOOKUP(Z$3,Incassi!$B$2:$H$80,$R40,FALSE)</f>
        <v>#N/A</v>
      </c>
    </row>
    <row r="41" spans="1:26">
      <c r="A41" s="317">
        <v>16</v>
      </c>
      <c r="B41" s="136">
        <v>0.66666666666666596</v>
      </c>
      <c r="C41" s="139">
        <f>IF(ISERROR(VLOOKUP($A41,$S$5:$Z$65,C$1,FALSE)*((100%-GRA!$K$2))),0,VLOOKUP($A41,$S$5:$Z$65,C$1,FALSE)*((100%-GRA!$K$2)))</f>
        <v>0</v>
      </c>
      <c r="D41" s="139">
        <f>IF(ISERROR(VLOOKUP($A41,$S$5:$Z$65,D$1,FALSE)*((100%-GRA!$K$2))),0,VLOOKUP($A41,$S$5:$Z$65,D$1,FALSE)*((100%-GRA!$K$2)))</f>
        <v>0</v>
      </c>
      <c r="E41" s="139">
        <f>IF(ISERROR(VLOOKUP($A41,$S$5:$Z$65,E$1,FALSE)*((100%-GRA!$K$2))),0,VLOOKUP($A41,$S$5:$Z$65,E$1,FALSE)*((100%-GRA!$K$2)))</f>
        <v>0</v>
      </c>
      <c r="F41" s="139">
        <f>IF(ISERROR(VLOOKUP($A41,$S$5:$Z$65,F$1,FALSE)*((100%-GRA!$K$2))),0,VLOOKUP($A41,$S$5:$Z$65,F$1,FALSE)*((100%-GRA!$K$2)))</f>
        <v>0</v>
      </c>
      <c r="G41" s="139">
        <f>IF(ISERROR(VLOOKUP($A41,$S$5:$Z$65,G$1,FALSE)*((100%-GRA!$K$2))),0,VLOOKUP($A41,$S$5:$Z$65,G$1,FALSE)*((100%-GRA!$K$2)))</f>
        <v>0</v>
      </c>
      <c r="H41" s="139">
        <f>IF(ISERROR(VLOOKUP($A41,$S$5:$Z$65,H$1,FALSE)*((100%-GRA!$K$2))),0,VLOOKUP($A41,$S$5:$Z$65,H$1,FALSE)*((100%-GRA!$K$2)))</f>
        <v>0</v>
      </c>
      <c r="I41" s="139">
        <f>IF(ISERROR(VLOOKUP($A41,$S$5:$Z$65,I$1,FALSE)*((100%-GRA!$K$2))),0,VLOOKUP($A41,$S$5:$Z$65,I$1,FALSE)*((100%-GRA!$K$2)))</f>
        <v>0</v>
      </c>
      <c r="K41" s="139" t="str">
        <f t="shared" si="6"/>
        <v/>
      </c>
      <c r="L41" s="139" t="str">
        <f t="shared" si="0"/>
        <v/>
      </c>
      <c r="M41" s="139" t="str">
        <f t="shared" si="1"/>
        <v/>
      </c>
      <c r="N41" s="139" t="str">
        <f t="shared" si="2"/>
        <v/>
      </c>
      <c r="O41" s="139" t="str">
        <f t="shared" si="3"/>
        <v/>
      </c>
      <c r="P41" s="139" t="str">
        <f t="shared" si="4"/>
        <v/>
      </c>
      <c r="Q41" s="139" t="str">
        <f t="shared" si="5"/>
        <v/>
      </c>
      <c r="R41" s="143">
        <v>45</v>
      </c>
      <c r="S41" s="139">
        <f>+Incassi!A46</f>
        <v>0</v>
      </c>
      <c r="T41" s="139" t="e">
        <f>HLOOKUP(T$3,Incassi!$B$2:$H$80,$R41,FALSE)</f>
        <v>#N/A</v>
      </c>
      <c r="U41" s="139" t="e">
        <f>HLOOKUP(U$3,Incassi!$B$2:$H$80,$R41,FALSE)</f>
        <v>#N/A</v>
      </c>
      <c r="V41" s="139" t="e">
        <f>HLOOKUP(V$3,Incassi!$B$2:$H$80,$R41,FALSE)</f>
        <v>#N/A</v>
      </c>
      <c r="W41" s="139" t="e">
        <f>HLOOKUP(W$3,Incassi!$B$2:$H$80,$R41,FALSE)</f>
        <v>#N/A</v>
      </c>
      <c r="X41" s="139" t="e">
        <f>HLOOKUP(X$3,Incassi!$B$2:$H$80,$R41,FALSE)</f>
        <v>#N/A</v>
      </c>
      <c r="Y41" s="139" t="e">
        <f>HLOOKUP(Y$3,Incassi!$B$2:$H$80,$R41,FALSE)</f>
        <v>#N/A</v>
      </c>
      <c r="Z41" s="139" t="e">
        <f>HLOOKUP(Z$3,Incassi!$B$2:$H$80,$R41,FALSE)</f>
        <v>#N/A</v>
      </c>
    </row>
    <row r="42" spans="1:26">
      <c r="A42" s="317">
        <v>16.149999999999999</v>
      </c>
      <c r="B42" s="137">
        <v>0.67708333333333204</v>
      </c>
      <c r="C42" s="140">
        <f>IF(ISERROR(VLOOKUP($A42,$S$5:$Z$65,C$1,FALSE)*((100%-GRA!$K$2))),0,VLOOKUP($A42,$S$5:$Z$65,C$1,FALSE)*((100%-GRA!$K$2)))</f>
        <v>0</v>
      </c>
      <c r="D42" s="140">
        <f>IF(ISERROR(VLOOKUP($A42,$S$5:$Z$65,D$1,FALSE)*((100%-GRA!$K$2))),0,VLOOKUP($A42,$S$5:$Z$65,D$1,FALSE)*((100%-GRA!$K$2)))</f>
        <v>0</v>
      </c>
      <c r="E42" s="140">
        <f>IF(ISERROR(VLOOKUP($A42,$S$5:$Z$65,E$1,FALSE)*((100%-GRA!$K$2))),0,VLOOKUP($A42,$S$5:$Z$65,E$1,FALSE)*((100%-GRA!$K$2)))</f>
        <v>0</v>
      </c>
      <c r="F42" s="140">
        <f>IF(ISERROR(VLOOKUP($A42,$S$5:$Z$65,F$1,FALSE)*((100%-GRA!$K$2))),0,VLOOKUP($A42,$S$5:$Z$65,F$1,FALSE)*((100%-GRA!$K$2)))</f>
        <v>0</v>
      </c>
      <c r="G42" s="140">
        <f>IF(ISERROR(VLOOKUP($A42,$S$5:$Z$65,G$1,FALSE)*((100%-GRA!$K$2))),0,VLOOKUP($A42,$S$5:$Z$65,G$1,FALSE)*((100%-GRA!$K$2)))</f>
        <v>0</v>
      </c>
      <c r="H42" s="140">
        <f>IF(ISERROR(VLOOKUP($A42,$S$5:$Z$65,H$1,FALSE)*((100%-GRA!$K$2))),0,VLOOKUP($A42,$S$5:$Z$65,H$1,FALSE)*((100%-GRA!$K$2)))</f>
        <v>0</v>
      </c>
      <c r="I42" s="140">
        <f>IF(ISERROR(VLOOKUP($A42,$S$5:$Z$65,I$1,FALSE)*((100%-GRA!$K$2))),0,VLOOKUP($A42,$S$5:$Z$65,I$1,FALSE)*((100%-GRA!$K$2)))</f>
        <v>0</v>
      </c>
      <c r="K42" s="140" t="str">
        <f t="shared" si="6"/>
        <v/>
      </c>
      <c r="L42" s="140" t="str">
        <f t="shared" si="0"/>
        <v/>
      </c>
      <c r="M42" s="140" t="str">
        <f t="shared" si="1"/>
        <v/>
      </c>
      <c r="N42" s="140" t="str">
        <f t="shared" si="2"/>
        <v/>
      </c>
      <c r="O42" s="140" t="str">
        <f t="shared" si="3"/>
        <v/>
      </c>
      <c r="P42" s="140" t="str">
        <f t="shared" si="4"/>
        <v/>
      </c>
      <c r="Q42" s="140" t="str">
        <f t="shared" si="5"/>
        <v/>
      </c>
      <c r="R42" s="143">
        <v>46</v>
      </c>
      <c r="S42" s="140">
        <f>+Incassi!A47</f>
        <v>0</v>
      </c>
      <c r="T42" s="140" t="e">
        <f>HLOOKUP(T$3,Incassi!$B$2:$H$80,$R42,FALSE)</f>
        <v>#N/A</v>
      </c>
      <c r="U42" s="140" t="e">
        <f>HLOOKUP(U$3,Incassi!$B$2:$H$80,$R42,FALSE)</f>
        <v>#N/A</v>
      </c>
      <c r="V42" s="140" t="e">
        <f>HLOOKUP(V$3,Incassi!$B$2:$H$80,$R42,FALSE)</f>
        <v>#N/A</v>
      </c>
      <c r="W42" s="140" t="e">
        <f>HLOOKUP(W$3,Incassi!$B$2:$H$80,$R42,FALSE)</f>
        <v>#N/A</v>
      </c>
      <c r="X42" s="140" t="e">
        <f>HLOOKUP(X$3,Incassi!$B$2:$H$80,$R42,FALSE)</f>
        <v>#N/A</v>
      </c>
      <c r="Y42" s="140" t="e">
        <f>HLOOKUP(Y$3,Incassi!$B$2:$H$80,$R42,FALSE)</f>
        <v>#N/A</v>
      </c>
      <c r="Z42" s="140" t="e">
        <f>HLOOKUP(Z$3,Incassi!$B$2:$H$80,$R42,FALSE)</f>
        <v>#N/A</v>
      </c>
    </row>
    <row r="43" spans="1:26">
      <c r="A43" s="317">
        <v>16.299999999999997</v>
      </c>
      <c r="B43" s="136">
        <v>0.687499999999999</v>
      </c>
      <c r="C43" s="139">
        <f>IF(ISERROR(VLOOKUP($A43,$S$5:$Z$65,C$1,FALSE)*((100%-GRA!$K$2))),0,VLOOKUP($A43,$S$5:$Z$65,C$1,FALSE)*((100%-GRA!$K$2)))</f>
        <v>0</v>
      </c>
      <c r="D43" s="139">
        <f>IF(ISERROR(VLOOKUP($A43,$S$5:$Z$65,D$1,FALSE)*((100%-GRA!$K$2))),0,VLOOKUP($A43,$S$5:$Z$65,D$1,FALSE)*((100%-GRA!$K$2)))</f>
        <v>0</v>
      </c>
      <c r="E43" s="139">
        <f>IF(ISERROR(VLOOKUP($A43,$S$5:$Z$65,E$1,FALSE)*((100%-GRA!$K$2))),0,VLOOKUP($A43,$S$5:$Z$65,E$1,FALSE)*((100%-GRA!$K$2)))</f>
        <v>0</v>
      </c>
      <c r="F43" s="139">
        <f>IF(ISERROR(VLOOKUP($A43,$S$5:$Z$65,F$1,FALSE)*((100%-GRA!$K$2))),0,VLOOKUP($A43,$S$5:$Z$65,F$1,FALSE)*((100%-GRA!$K$2)))</f>
        <v>0</v>
      </c>
      <c r="G43" s="139">
        <f>IF(ISERROR(VLOOKUP($A43,$S$5:$Z$65,G$1,FALSE)*((100%-GRA!$K$2))),0,VLOOKUP($A43,$S$5:$Z$65,G$1,FALSE)*((100%-GRA!$K$2)))</f>
        <v>0</v>
      </c>
      <c r="H43" s="139">
        <f>IF(ISERROR(VLOOKUP($A43,$S$5:$Z$65,H$1,FALSE)*((100%-GRA!$K$2))),0,VLOOKUP($A43,$S$5:$Z$65,H$1,FALSE)*((100%-GRA!$K$2)))</f>
        <v>0</v>
      </c>
      <c r="I43" s="139">
        <f>IF(ISERROR(VLOOKUP($A43,$S$5:$Z$65,I$1,FALSE)*((100%-GRA!$K$2))),0,VLOOKUP($A43,$S$5:$Z$65,I$1,FALSE)*((100%-GRA!$K$2)))</f>
        <v>0</v>
      </c>
      <c r="K43" s="139" t="str">
        <f t="shared" si="6"/>
        <v/>
      </c>
      <c r="L43" s="139" t="str">
        <f t="shared" si="0"/>
        <v/>
      </c>
      <c r="M43" s="139" t="str">
        <f t="shared" si="1"/>
        <v/>
      </c>
      <c r="N43" s="139" t="str">
        <f t="shared" si="2"/>
        <v/>
      </c>
      <c r="O43" s="139" t="str">
        <f t="shared" si="3"/>
        <v/>
      </c>
      <c r="P43" s="139" t="str">
        <f t="shared" si="4"/>
        <v/>
      </c>
      <c r="Q43" s="139" t="str">
        <f t="shared" si="5"/>
        <v/>
      </c>
      <c r="R43" s="143">
        <v>47</v>
      </c>
      <c r="S43" s="139">
        <f>+Incassi!A48</f>
        <v>0</v>
      </c>
      <c r="T43" s="139" t="e">
        <f>HLOOKUP(T$3,Incassi!$B$2:$H$80,$R43,FALSE)</f>
        <v>#N/A</v>
      </c>
      <c r="U43" s="139" t="e">
        <f>HLOOKUP(U$3,Incassi!$B$2:$H$80,$R43,FALSE)</f>
        <v>#N/A</v>
      </c>
      <c r="V43" s="139" t="e">
        <f>HLOOKUP(V$3,Incassi!$B$2:$H$80,$R43,FALSE)</f>
        <v>#N/A</v>
      </c>
      <c r="W43" s="139" t="e">
        <f>HLOOKUP(W$3,Incassi!$B$2:$H$80,$R43,FALSE)</f>
        <v>#N/A</v>
      </c>
      <c r="X43" s="139" t="e">
        <f>HLOOKUP(X$3,Incassi!$B$2:$H$80,$R43,FALSE)</f>
        <v>#N/A</v>
      </c>
      <c r="Y43" s="139" t="e">
        <f>HLOOKUP(Y$3,Incassi!$B$2:$H$80,$R43,FALSE)</f>
        <v>#N/A</v>
      </c>
      <c r="Z43" s="139" t="e">
        <f>HLOOKUP(Z$3,Incassi!$B$2:$H$80,$R43,FALSE)</f>
        <v>#N/A</v>
      </c>
    </row>
    <row r="44" spans="1:26">
      <c r="A44" s="317">
        <v>16.449999999999996</v>
      </c>
      <c r="B44" s="137">
        <v>0.69791666666666596</v>
      </c>
      <c r="C44" s="140">
        <f>IF(ISERROR(VLOOKUP($A44,$S$5:$Z$65,C$1,FALSE)*((100%-GRA!$K$2))),0,VLOOKUP($A44,$S$5:$Z$65,C$1,FALSE)*((100%-GRA!$K$2)))</f>
        <v>0</v>
      </c>
      <c r="D44" s="140">
        <f>IF(ISERROR(VLOOKUP($A44,$S$5:$Z$65,D$1,FALSE)*((100%-GRA!$K$2))),0,VLOOKUP($A44,$S$5:$Z$65,D$1,FALSE)*((100%-GRA!$K$2)))</f>
        <v>0</v>
      </c>
      <c r="E44" s="140">
        <f>IF(ISERROR(VLOOKUP($A44,$S$5:$Z$65,E$1,FALSE)*((100%-GRA!$K$2))),0,VLOOKUP($A44,$S$5:$Z$65,E$1,FALSE)*((100%-GRA!$K$2)))</f>
        <v>0</v>
      </c>
      <c r="F44" s="140">
        <f>IF(ISERROR(VLOOKUP($A44,$S$5:$Z$65,F$1,FALSE)*((100%-GRA!$K$2))),0,VLOOKUP($A44,$S$5:$Z$65,F$1,FALSE)*((100%-GRA!$K$2)))</f>
        <v>0</v>
      </c>
      <c r="G44" s="140">
        <f>IF(ISERROR(VLOOKUP($A44,$S$5:$Z$65,G$1,FALSE)*((100%-GRA!$K$2))),0,VLOOKUP($A44,$S$5:$Z$65,G$1,FALSE)*((100%-GRA!$K$2)))</f>
        <v>0</v>
      </c>
      <c r="H44" s="140">
        <f>IF(ISERROR(VLOOKUP($A44,$S$5:$Z$65,H$1,FALSE)*((100%-GRA!$K$2))),0,VLOOKUP($A44,$S$5:$Z$65,H$1,FALSE)*((100%-GRA!$K$2)))</f>
        <v>0</v>
      </c>
      <c r="I44" s="140">
        <f>IF(ISERROR(VLOOKUP($A44,$S$5:$Z$65,I$1,FALSE)*((100%-GRA!$K$2))),0,VLOOKUP($A44,$S$5:$Z$65,I$1,FALSE)*((100%-GRA!$K$2)))</f>
        <v>0</v>
      </c>
      <c r="K44" s="140" t="str">
        <f t="shared" si="6"/>
        <v/>
      </c>
      <c r="L44" s="140" t="str">
        <f t="shared" si="0"/>
        <v/>
      </c>
      <c r="M44" s="140" t="str">
        <f t="shared" si="1"/>
        <v/>
      </c>
      <c r="N44" s="140" t="str">
        <f t="shared" si="2"/>
        <v/>
      </c>
      <c r="O44" s="140" t="str">
        <f t="shared" si="3"/>
        <v/>
      </c>
      <c r="P44" s="140" t="str">
        <f t="shared" si="4"/>
        <v/>
      </c>
      <c r="Q44" s="140" t="str">
        <f t="shared" si="5"/>
        <v/>
      </c>
      <c r="R44" s="143">
        <v>48</v>
      </c>
      <c r="S44" s="140">
        <f>+Incassi!A49</f>
        <v>0</v>
      </c>
      <c r="T44" s="140" t="e">
        <f>HLOOKUP(T$3,Incassi!$B$2:$H$80,$R44,FALSE)</f>
        <v>#N/A</v>
      </c>
      <c r="U44" s="140" t="e">
        <f>HLOOKUP(U$3,Incassi!$B$2:$H$80,$R44,FALSE)</f>
        <v>#N/A</v>
      </c>
      <c r="V44" s="140" t="e">
        <f>HLOOKUP(V$3,Incassi!$B$2:$H$80,$R44,FALSE)</f>
        <v>#N/A</v>
      </c>
      <c r="W44" s="140" t="e">
        <f>HLOOKUP(W$3,Incassi!$B$2:$H$80,$R44,FALSE)</f>
        <v>#N/A</v>
      </c>
      <c r="X44" s="140" t="e">
        <f>HLOOKUP(X$3,Incassi!$B$2:$H$80,$R44,FALSE)</f>
        <v>#N/A</v>
      </c>
      <c r="Y44" s="140" t="e">
        <f>HLOOKUP(Y$3,Incassi!$B$2:$H$80,$R44,FALSE)</f>
        <v>#N/A</v>
      </c>
      <c r="Z44" s="140" t="e">
        <f>HLOOKUP(Z$3,Incassi!$B$2:$H$80,$R44,FALSE)</f>
        <v>#N/A</v>
      </c>
    </row>
    <row r="45" spans="1:26">
      <c r="A45" s="317">
        <v>17</v>
      </c>
      <c r="B45" s="136">
        <v>0.70833333333333204</v>
      </c>
      <c r="C45" s="139">
        <f>IF(ISERROR(VLOOKUP($A45,$S$5:$Z$65,C$1,FALSE)*((100%-GRA!$K$2))),0,VLOOKUP($A45,$S$5:$Z$65,C$1,FALSE)*((100%-GRA!$K$2)))</f>
        <v>0</v>
      </c>
      <c r="D45" s="139">
        <f>IF(ISERROR(VLOOKUP($A45,$S$5:$Z$65,D$1,FALSE)*((100%-GRA!$K$2))),0,VLOOKUP($A45,$S$5:$Z$65,D$1,FALSE)*((100%-GRA!$K$2)))</f>
        <v>0</v>
      </c>
      <c r="E45" s="139">
        <f>IF(ISERROR(VLOOKUP($A45,$S$5:$Z$65,E$1,FALSE)*((100%-GRA!$K$2))),0,VLOOKUP($A45,$S$5:$Z$65,E$1,FALSE)*((100%-GRA!$K$2)))</f>
        <v>0</v>
      </c>
      <c r="F45" s="139">
        <f>IF(ISERROR(VLOOKUP($A45,$S$5:$Z$65,F$1,FALSE)*((100%-GRA!$K$2))),0,VLOOKUP($A45,$S$5:$Z$65,F$1,FALSE)*((100%-GRA!$K$2)))</f>
        <v>0</v>
      </c>
      <c r="G45" s="139">
        <f>IF(ISERROR(VLOOKUP($A45,$S$5:$Z$65,G$1,FALSE)*((100%-GRA!$K$2))),0,VLOOKUP($A45,$S$5:$Z$65,G$1,FALSE)*((100%-GRA!$K$2)))</f>
        <v>0</v>
      </c>
      <c r="H45" s="139">
        <f>IF(ISERROR(VLOOKUP($A45,$S$5:$Z$65,H$1,FALSE)*((100%-GRA!$K$2))),0,VLOOKUP($A45,$S$5:$Z$65,H$1,FALSE)*((100%-GRA!$K$2)))</f>
        <v>0</v>
      </c>
      <c r="I45" s="139">
        <f>IF(ISERROR(VLOOKUP($A45,$S$5:$Z$65,I$1,FALSE)*((100%-GRA!$K$2))),0,VLOOKUP($A45,$S$5:$Z$65,I$1,FALSE)*((100%-GRA!$K$2)))</f>
        <v>0</v>
      </c>
      <c r="K45" s="139" t="str">
        <f t="shared" si="6"/>
        <v/>
      </c>
      <c r="L45" s="139" t="str">
        <f t="shared" si="0"/>
        <v/>
      </c>
      <c r="M45" s="139" t="str">
        <f t="shared" si="1"/>
        <v/>
      </c>
      <c r="N45" s="139" t="str">
        <f t="shared" si="2"/>
        <v/>
      </c>
      <c r="O45" s="139" t="str">
        <f t="shared" si="3"/>
        <v/>
      </c>
      <c r="P45" s="139" t="str">
        <f t="shared" si="4"/>
        <v/>
      </c>
      <c r="Q45" s="139" t="str">
        <f t="shared" si="5"/>
        <v/>
      </c>
      <c r="R45" s="143">
        <v>49</v>
      </c>
      <c r="S45" s="139">
        <f>+Incassi!A50</f>
        <v>0</v>
      </c>
      <c r="T45" s="139" t="e">
        <f>HLOOKUP(T$3,Incassi!$B$2:$H$80,$R45,FALSE)</f>
        <v>#N/A</v>
      </c>
      <c r="U45" s="139" t="e">
        <f>HLOOKUP(U$3,Incassi!$B$2:$H$80,$R45,FALSE)</f>
        <v>#N/A</v>
      </c>
      <c r="V45" s="139" t="e">
        <f>HLOOKUP(V$3,Incassi!$B$2:$H$80,$R45,FALSE)</f>
        <v>#N/A</v>
      </c>
      <c r="W45" s="139" t="e">
        <f>HLOOKUP(W$3,Incassi!$B$2:$H$80,$R45,FALSE)</f>
        <v>#N/A</v>
      </c>
      <c r="X45" s="139" t="e">
        <f>HLOOKUP(X$3,Incassi!$B$2:$H$80,$R45,FALSE)</f>
        <v>#N/A</v>
      </c>
      <c r="Y45" s="139" t="e">
        <f>HLOOKUP(Y$3,Incassi!$B$2:$H$80,$R45,FALSE)</f>
        <v>#N/A</v>
      </c>
      <c r="Z45" s="139" t="e">
        <f>HLOOKUP(Z$3,Incassi!$B$2:$H$80,$R45,FALSE)</f>
        <v>#N/A</v>
      </c>
    </row>
    <row r="46" spans="1:26">
      <c r="A46" s="317">
        <v>17.149999999999999</v>
      </c>
      <c r="B46" s="137">
        <v>0.718749999999999</v>
      </c>
      <c r="C46" s="140">
        <f>IF(ISERROR(VLOOKUP($A46,$S$5:$Z$65,C$1,FALSE)*((100%-GRA!$K$2))),0,VLOOKUP($A46,$S$5:$Z$65,C$1,FALSE)*((100%-GRA!$K$2)))</f>
        <v>0</v>
      </c>
      <c r="D46" s="140">
        <f>IF(ISERROR(VLOOKUP($A46,$S$5:$Z$65,D$1,FALSE)*((100%-GRA!$K$2))),0,VLOOKUP($A46,$S$5:$Z$65,D$1,FALSE)*((100%-GRA!$K$2)))</f>
        <v>0</v>
      </c>
      <c r="E46" s="140">
        <f>IF(ISERROR(VLOOKUP($A46,$S$5:$Z$65,E$1,FALSE)*((100%-GRA!$K$2))),0,VLOOKUP($A46,$S$5:$Z$65,E$1,FALSE)*((100%-GRA!$K$2)))</f>
        <v>0</v>
      </c>
      <c r="F46" s="140">
        <f>IF(ISERROR(VLOOKUP($A46,$S$5:$Z$65,F$1,FALSE)*((100%-GRA!$K$2))),0,VLOOKUP($A46,$S$5:$Z$65,F$1,FALSE)*((100%-GRA!$K$2)))</f>
        <v>0</v>
      </c>
      <c r="G46" s="140">
        <f>IF(ISERROR(VLOOKUP($A46,$S$5:$Z$65,G$1,FALSE)*((100%-GRA!$K$2))),0,VLOOKUP($A46,$S$5:$Z$65,G$1,FALSE)*((100%-GRA!$K$2)))</f>
        <v>0</v>
      </c>
      <c r="H46" s="140">
        <f>IF(ISERROR(VLOOKUP($A46,$S$5:$Z$65,H$1,FALSE)*((100%-GRA!$K$2))),0,VLOOKUP($A46,$S$5:$Z$65,H$1,FALSE)*((100%-GRA!$K$2)))</f>
        <v>0</v>
      </c>
      <c r="I46" s="140">
        <f>IF(ISERROR(VLOOKUP($A46,$S$5:$Z$65,I$1,FALSE)*((100%-GRA!$K$2))),0,VLOOKUP($A46,$S$5:$Z$65,I$1,FALSE)*((100%-GRA!$K$2)))</f>
        <v>0</v>
      </c>
      <c r="K46" s="140" t="str">
        <f t="shared" si="6"/>
        <v/>
      </c>
      <c r="L46" s="140" t="str">
        <f t="shared" si="0"/>
        <v/>
      </c>
      <c r="M46" s="140" t="str">
        <f t="shared" si="1"/>
        <v/>
      </c>
      <c r="N46" s="140" t="str">
        <f t="shared" si="2"/>
        <v/>
      </c>
      <c r="O46" s="140" t="str">
        <f t="shared" si="3"/>
        <v/>
      </c>
      <c r="P46" s="140" t="str">
        <f t="shared" si="4"/>
        <v/>
      </c>
      <c r="Q46" s="140" t="str">
        <f t="shared" si="5"/>
        <v/>
      </c>
      <c r="R46" s="143">
        <v>50</v>
      </c>
      <c r="S46" s="140">
        <f>+Incassi!A51</f>
        <v>0</v>
      </c>
      <c r="T46" s="140" t="e">
        <f>HLOOKUP(T$3,Incassi!$B$2:$H$80,$R46,FALSE)</f>
        <v>#N/A</v>
      </c>
      <c r="U46" s="140" t="e">
        <f>HLOOKUP(U$3,Incassi!$B$2:$H$80,$R46,FALSE)</f>
        <v>#N/A</v>
      </c>
      <c r="V46" s="140" t="e">
        <f>HLOOKUP(V$3,Incassi!$B$2:$H$80,$R46,FALSE)</f>
        <v>#N/A</v>
      </c>
      <c r="W46" s="140" t="e">
        <f>HLOOKUP(W$3,Incassi!$B$2:$H$80,$R46,FALSE)</f>
        <v>#N/A</v>
      </c>
      <c r="X46" s="140" t="e">
        <f>HLOOKUP(X$3,Incassi!$B$2:$H$80,$R46,FALSE)</f>
        <v>#N/A</v>
      </c>
      <c r="Y46" s="140" t="e">
        <f>HLOOKUP(Y$3,Incassi!$B$2:$H$80,$R46,FALSE)</f>
        <v>#N/A</v>
      </c>
      <c r="Z46" s="140" t="e">
        <f>HLOOKUP(Z$3,Incassi!$B$2:$H$80,$R46,FALSE)</f>
        <v>#N/A</v>
      </c>
    </row>
    <row r="47" spans="1:26">
      <c r="A47" s="317">
        <v>17.299999999999997</v>
      </c>
      <c r="B47" s="136">
        <v>0.72916666666666496</v>
      </c>
      <c r="C47" s="139">
        <f>IF(ISERROR(VLOOKUP($A47,$S$5:$Z$65,C$1,FALSE)*((100%-GRA!$K$2))),0,VLOOKUP($A47,$S$5:$Z$65,C$1,FALSE)*((100%-GRA!$K$2)))</f>
        <v>0</v>
      </c>
      <c r="D47" s="139">
        <f>IF(ISERROR(VLOOKUP($A47,$S$5:$Z$65,D$1,FALSE)*((100%-GRA!$K$2))),0,VLOOKUP($A47,$S$5:$Z$65,D$1,FALSE)*((100%-GRA!$K$2)))</f>
        <v>0</v>
      </c>
      <c r="E47" s="139">
        <f>IF(ISERROR(VLOOKUP($A47,$S$5:$Z$65,E$1,FALSE)*((100%-GRA!$K$2))),0,VLOOKUP($A47,$S$5:$Z$65,E$1,FALSE)*((100%-GRA!$K$2)))</f>
        <v>0</v>
      </c>
      <c r="F47" s="139">
        <f>IF(ISERROR(VLOOKUP($A47,$S$5:$Z$65,F$1,FALSE)*((100%-GRA!$K$2))),0,VLOOKUP($A47,$S$5:$Z$65,F$1,FALSE)*((100%-GRA!$K$2)))</f>
        <v>0</v>
      </c>
      <c r="G47" s="139">
        <f>IF(ISERROR(VLOOKUP($A47,$S$5:$Z$65,G$1,FALSE)*((100%-GRA!$K$2))),0,VLOOKUP($A47,$S$5:$Z$65,G$1,FALSE)*((100%-GRA!$K$2)))</f>
        <v>0</v>
      </c>
      <c r="H47" s="139">
        <f>IF(ISERROR(VLOOKUP($A47,$S$5:$Z$65,H$1,FALSE)*((100%-GRA!$K$2))),0,VLOOKUP($A47,$S$5:$Z$65,H$1,FALSE)*((100%-GRA!$K$2)))</f>
        <v>0</v>
      </c>
      <c r="I47" s="139">
        <f>IF(ISERROR(VLOOKUP($A47,$S$5:$Z$65,I$1,FALSE)*((100%-GRA!$K$2))),0,VLOOKUP($A47,$S$5:$Z$65,I$1,FALSE)*((100%-GRA!$K$2)))</f>
        <v>0</v>
      </c>
      <c r="K47" s="139" t="str">
        <f t="shared" si="6"/>
        <v/>
      </c>
      <c r="L47" s="139" t="str">
        <f t="shared" si="0"/>
        <v/>
      </c>
      <c r="M47" s="139" t="str">
        <f t="shared" si="1"/>
        <v/>
      </c>
      <c r="N47" s="139" t="str">
        <f t="shared" si="2"/>
        <v/>
      </c>
      <c r="O47" s="139" t="str">
        <f t="shared" si="3"/>
        <v/>
      </c>
      <c r="P47" s="139" t="str">
        <f t="shared" si="4"/>
        <v/>
      </c>
      <c r="Q47" s="139" t="str">
        <f t="shared" si="5"/>
        <v/>
      </c>
      <c r="R47" s="143">
        <v>51</v>
      </c>
      <c r="S47" s="139">
        <f>+Incassi!A52</f>
        <v>0</v>
      </c>
      <c r="T47" s="139" t="e">
        <f>HLOOKUP(T$3,Incassi!$B$2:$H$80,$R47,FALSE)</f>
        <v>#N/A</v>
      </c>
      <c r="U47" s="139" t="e">
        <f>HLOOKUP(U$3,Incassi!$B$2:$H$80,$R47,FALSE)</f>
        <v>#N/A</v>
      </c>
      <c r="V47" s="139" t="e">
        <f>HLOOKUP(V$3,Incassi!$B$2:$H$80,$R47,FALSE)</f>
        <v>#N/A</v>
      </c>
      <c r="W47" s="139" t="e">
        <f>HLOOKUP(W$3,Incassi!$B$2:$H$80,$R47,FALSE)</f>
        <v>#N/A</v>
      </c>
      <c r="X47" s="139" t="e">
        <f>HLOOKUP(X$3,Incassi!$B$2:$H$80,$R47,FALSE)</f>
        <v>#N/A</v>
      </c>
      <c r="Y47" s="139" t="e">
        <f>HLOOKUP(Y$3,Incassi!$B$2:$H$80,$R47,FALSE)</f>
        <v>#N/A</v>
      </c>
      <c r="Z47" s="139" t="e">
        <f>HLOOKUP(Z$3,Incassi!$B$2:$H$80,$R47,FALSE)</f>
        <v>#N/A</v>
      </c>
    </row>
    <row r="48" spans="1:26">
      <c r="A48" s="317">
        <v>17.449999999999996</v>
      </c>
      <c r="B48" s="137">
        <v>0.73958333333333204</v>
      </c>
      <c r="C48" s="140">
        <f>IF(ISERROR(VLOOKUP($A48,$S$5:$Z$65,C$1,FALSE)*((100%-GRA!$K$2))),0,VLOOKUP($A48,$S$5:$Z$65,C$1,FALSE)*((100%-GRA!$K$2)))</f>
        <v>0</v>
      </c>
      <c r="D48" s="140">
        <f>IF(ISERROR(VLOOKUP($A48,$S$5:$Z$65,D$1,FALSE)*((100%-GRA!$K$2))),0,VLOOKUP($A48,$S$5:$Z$65,D$1,FALSE)*((100%-GRA!$K$2)))</f>
        <v>0</v>
      </c>
      <c r="E48" s="140">
        <f>IF(ISERROR(VLOOKUP($A48,$S$5:$Z$65,E$1,FALSE)*((100%-GRA!$K$2))),0,VLOOKUP($A48,$S$5:$Z$65,E$1,FALSE)*((100%-GRA!$K$2)))</f>
        <v>0</v>
      </c>
      <c r="F48" s="140">
        <f>IF(ISERROR(VLOOKUP($A48,$S$5:$Z$65,F$1,FALSE)*((100%-GRA!$K$2))),0,VLOOKUP($A48,$S$5:$Z$65,F$1,FALSE)*((100%-GRA!$K$2)))</f>
        <v>0</v>
      </c>
      <c r="G48" s="140">
        <f>IF(ISERROR(VLOOKUP($A48,$S$5:$Z$65,G$1,FALSE)*((100%-GRA!$K$2))),0,VLOOKUP($A48,$S$5:$Z$65,G$1,FALSE)*((100%-GRA!$K$2)))</f>
        <v>0</v>
      </c>
      <c r="H48" s="140">
        <f>IF(ISERROR(VLOOKUP($A48,$S$5:$Z$65,H$1,FALSE)*((100%-GRA!$K$2))),0,VLOOKUP($A48,$S$5:$Z$65,H$1,FALSE)*((100%-GRA!$K$2)))</f>
        <v>0</v>
      </c>
      <c r="I48" s="140">
        <f>IF(ISERROR(VLOOKUP($A48,$S$5:$Z$65,I$1,FALSE)*((100%-GRA!$K$2))),0,VLOOKUP($A48,$S$5:$Z$65,I$1,FALSE)*((100%-GRA!$K$2)))</f>
        <v>0</v>
      </c>
      <c r="K48" s="140" t="str">
        <f t="shared" si="6"/>
        <v/>
      </c>
      <c r="L48" s="140" t="str">
        <f t="shared" si="0"/>
        <v/>
      </c>
      <c r="M48" s="140" t="str">
        <f t="shared" si="1"/>
        <v/>
      </c>
      <c r="N48" s="140" t="str">
        <f t="shared" si="2"/>
        <v/>
      </c>
      <c r="O48" s="140" t="str">
        <f t="shared" si="3"/>
        <v/>
      </c>
      <c r="P48" s="140" t="str">
        <f t="shared" si="4"/>
        <v/>
      </c>
      <c r="Q48" s="140" t="str">
        <f t="shared" si="5"/>
        <v/>
      </c>
      <c r="R48" s="143">
        <v>52</v>
      </c>
      <c r="S48" s="140">
        <f>+Incassi!A53</f>
        <v>0</v>
      </c>
      <c r="T48" s="140" t="e">
        <f>HLOOKUP(T$3,Incassi!$B$2:$H$80,$R48,FALSE)</f>
        <v>#N/A</v>
      </c>
      <c r="U48" s="140" t="e">
        <f>HLOOKUP(U$3,Incassi!$B$2:$H$80,$R48,FALSE)</f>
        <v>#N/A</v>
      </c>
      <c r="V48" s="140" t="e">
        <f>HLOOKUP(V$3,Incassi!$B$2:$H$80,$R48,FALSE)</f>
        <v>#N/A</v>
      </c>
      <c r="W48" s="140" t="e">
        <f>HLOOKUP(W$3,Incassi!$B$2:$H$80,$R48,FALSE)</f>
        <v>#N/A</v>
      </c>
      <c r="X48" s="140" t="e">
        <f>HLOOKUP(X$3,Incassi!$B$2:$H$80,$R48,FALSE)</f>
        <v>#N/A</v>
      </c>
      <c r="Y48" s="140" t="e">
        <f>HLOOKUP(Y$3,Incassi!$B$2:$H$80,$R48,FALSE)</f>
        <v>#N/A</v>
      </c>
      <c r="Z48" s="140" t="e">
        <f>HLOOKUP(Z$3,Incassi!$B$2:$H$80,$R48,FALSE)</f>
        <v>#N/A</v>
      </c>
    </row>
    <row r="49" spans="1:26">
      <c r="A49" s="317">
        <v>18</v>
      </c>
      <c r="B49" s="136">
        <v>0.749999999999999</v>
      </c>
      <c r="C49" s="139">
        <f>IF(ISERROR(VLOOKUP($A49,$S$5:$Z$65,C$1,FALSE)*((100%-GRA!$K$2))),0,VLOOKUP($A49,$S$5:$Z$65,C$1,FALSE)*((100%-GRA!$K$2)))</f>
        <v>0</v>
      </c>
      <c r="D49" s="139">
        <f>IF(ISERROR(VLOOKUP($A49,$S$5:$Z$65,D$1,FALSE)*((100%-GRA!$K$2))),0,VLOOKUP($A49,$S$5:$Z$65,D$1,FALSE)*((100%-GRA!$K$2)))</f>
        <v>0</v>
      </c>
      <c r="E49" s="139">
        <f>IF(ISERROR(VLOOKUP($A49,$S$5:$Z$65,E$1,FALSE)*((100%-GRA!$K$2))),0,VLOOKUP($A49,$S$5:$Z$65,E$1,FALSE)*((100%-GRA!$K$2)))</f>
        <v>0</v>
      </c>
      <c r="F49" s="139">
        <f>IF(ISERROR(VLOOKUP($A49,$S$5:$Z$65,F$1,FALSE)*((100%-GRA!$K$2))),0,VLOOKUP($A49,$S$5:$Z$65,F$1,FALSE)*((100%-GRA!$K$2)))</f>
        <v>0</v>
      </c>
      <c r="G49" s="139">
        <f>IF(ISERROR(VLOOKUP($A49,$S$5:$Z$65,G$1,FALSE)*((100%-GRA!$K$2))),0,VLOOKUP($A49,$S$5:$Z$65,G$1,FALSE)*((100%-GRA!$K$2)))</f>
        <v>0</v>
      </c>
      <c r="H49" s="139">
        <f>IF(ISERROR(VLOOKUP($A49,$S$5:$Z$65,H$1,FALSE)*((100%-GRA!$K$2))),0,VLOOKUP($A49,$S$5:$Z$65,H$1,FALSE)*((100%-GRA!$K$2)))</f>
        <v>0</v>
      </c>
      <c r="I49" s="139">
        <f>IF(ISERROR(VLOOKUP($A49,$S$5:$Z$65,I$1,FALSE)*((100%-GRA!$K$2))),0,VLOOKUP($A49,$S$5:$Z$65,I$1,FALSE)*((100%-GRA!$K$2)))</f>
        <v>0</v>
      </c>
      <c r="K49" s="139" t="str">
        <f t="shared" si="6"/>
        <v/>
      </c>
      <c r="L49" s="139" t="str">
        <f t="shared" si="0"/>
        <v/>
      </c>
      <c r="M49" s="139" t="str">
        <f t="shared" si="1"/>
        <v/>
      </c>
      <c r="N49" s="139" t="str">
        <f t="shared" si="2"/>
        <v/>
      </c>
      <c r="O49" s="139" t="str">
        <f t="shared" si="3"/>
        <v/>
      </c>
      <c r="P49" s="139" t="str">
        <f t="shared" si="4"/>
        <v/>
      </c>
      <c r="Q49" s="139" t="str">
        <f t="shared" si="5"/>
        <v/>
      </c>
      <c r="R49" s="143">
        <v>53</v>
      </c>
      <c r="S49" s="139">
        <f>+Incassi!A54</f>
        <v>0</v>
      </c>
      <c r="T49" s="139" t="e">
        <f>HLOOKUP(T$3,Incassi!$B$2:$H$80,$R49,FALSE)</f>
        <v>#N/A</v>
      </c>
      <c r="U49" s="139" t="e">
        <f>HLOOKUP(U$3,Incassi!$B$2:$H$80,$R49,FALSE)</f>
        <v>#N/A</v>
      </c>
      <c r="V49" s="139" t="e">
        <f>HLOOKUP(V$3,Incassi!$B$2:$H$80,$R49,FALSE)</f>
        <v>#N/A</v>
      </c>
      <c r="W49" s="139" t="e">
        <f>HLOOKUP(W$3,Incassi!$B$2:$H$80,$R49,FALSE)</f>
        <v>#N/A</v>
      </c>
      <c r="X49" s="139" t="e">
        <f>HLOOKUP(X$3,Incassi!$B$2:$H$80,$R49,FALSE)</f>
        <v>#N/A</v>
      </c>
      <c r="Y49" s="139" t="e">
        <f>HLOOKUP(Y$3,Incassi!$B$2:$H$80,$R49,FALSE)</f>
        <v>#N/A</v>
      </c>
      <c r="Z49" s="139" t="e">
        <f>HLOOKUP(Z$3,Incassi!$B$2:$H$80,$R49,FALSE)</f>
        <v>#N/A</v>
      </c>
    </row>
    <row r="50" spans="1:26">
      <c r="A50" s="317">
        <v>18.149999999999999</v>
      </c>
      <c r="B50" s="137">
        <v>0.76041666666666496</v>
      </c>
      <c r="C50" s="140">
        <f>IF(ISERROR(VLOOKUP($A50,$S$5:$Z$65,C$1,FALSE)*((100%-GRA!$K$2))),0,VLOOKUP($A50,$S$5:$Z$65,C$1,FALSE)*((100%-GRA!$K$2)))</f>
        <v>0</v>
      </c>
      <c r="D50" s="140">
        <f>IF(ISERROR(VLOOKUP($A50,$S$5:$Z$65,D$1,FALSE)*((100%-GRA!$K$2))),0,VLOOKUP($A50,$S$5:$Z$65,D$1,FALSE)*((100%-GRA!$K$2)))</f>
        <v>0</v>
      </c>
      <c r="E50" s="140">
        <f>IF(ISERROR(VLOOKUP($A50,$S$5:$Z$65,E$1,FALSE)*((100%-GRA!$K$2))),0,VLOOKUP($A50,$S$5:$Z$65,E$1,FALSE)*((100%-GRA!$K$2)))</f>
        <v>0</v>
      </c>
      <c r="F50" s="140">
        <f>IF(ISERROR(VLOOKUP($A50,$S$5:$Z$65,F$1,FALSE)*((100%-GRA!$K$2))),0,VLOOKUP($A50,$S$5:$Z$65,F$1,FALSE)*((100%-GRA!$K$2)))</f>
        <v>0</v>
      </c>
      <c r="G50" s="140">
        <f>IF(ISERROR(VLOOKUP($A50,$S$5:$Z$65,G$1,FALSE)*((100%-GRA!$K$2))),0,VLOOKUP($A50,$S$5:$Z$65,G$1,FALSE)*((100%-GRA!$K$2)))</f>
        <v>0</v>
      </c>
      <c r="H50" s="140">
        <f>IF(ISERROR(VLOOKUP($A50,$S$5:$Z$65,H$1,FALSE)*((100%-GRA!$K$2))),0,VLOOKUP($A50,$S$5:$Z$65,H$1,FALSE)*((100%-GRA!$K$2)))</f>
        <v>0</v>
      </c>
      <c r="I50" s="140">
        <f>IF(ISERROR(VLOOKUP($A50,$S$5:$Z$65,I$1,FALSE)*((100%-GRA!$K$2))),0,VLOOKUP($A50,$S$5:$Z$65,I$1,FALSE)*((100%-GRA!$K$2)))</f>
        <v>0</v>
      </c>
      <c r="K50" s="140" t="str">
        <f t="shared" si="6"/>
        <v/>
      </c>
      <c r="L50" s="140" t="str">
        <f t="shared" si="0"/>
        <v/>
      </c>
      <c r="M50" s="140" t="str">
        <f t="shared" si="1"/>
        <v/>
      </c>
      <c r="N50" s="140" t="str">
        <f t="shared" si="2"/>
        <v/>
      </c>
      <c r="O50" s="140" t="str">
        <f t="shared" si="3"/>
        <v/>
      </c>
      <c r="P50" s="140" t="str">
        <f t="shared" si="4"/>
        <v/>
      </c>
      <c r="Q50" s="140" t="str">
        <f t="shared" si="5"/>
        <v/>
      </c>
      <c r="R50" s="143">
        <v>54</v>
      </c>
      <c r="S50" s="140">
        <f>+Incassi!A55</f>
        <v>0</v>
      </c>
      <c r="T50" s="140" t="e">
        <f>HLOOKUP(T$3,Incassi!$B$2:$H$80,$R50,FALSE)</f>
        <v>#N/A</v>
      </c>
      <c r="U50" s="140" t="e">
        <f>HLOOKUP(U$3,Incassi!$B$2:$H$80,$R50,FALSE)</f>
        <v>#N/A</v>
      </c>
      <c r="V50" s="140" t="e">
        <f>HLOOKUP(V$3,Incassi!$B$2:$H$80,$R50,FALSE)</f>
        <v>#N/A</v>
      </c>
      <c r="W50" s="140" t="e">
        <f>HLOOKUP(W$3,Incassi!$B$2:$H$80,$R50,FALSE)</f>
        <v>#N/A</v>
      </c>
      <c r="X50" s="140" t="e">
        <f>HLOOKUP(X$3,Incassi!$B$2:$H$80,$R50,FALSE)</f>
        <v>#N/A</v>
      </c>
      <c r="Y50" s="140" t="e">
        <f>HLOOKUP(Y$3,Incassi!$B$2:$H$80,$R50,FALSE)</f>
        <v>#N/A</v>
      </c>
      <c r="Z50" s="140" t="e">
        <f>HLOOKUP(Z$3,Incassi!$B$2:$H$80,$R50,FALSE)</f>
        <v>#N/A</v>
      </c>
    </row>
    <row r="51" spans="1:26">
      <c r="A51" s="317">
        <v>18.299999999999997</v>
      </c>
      <c r="B51" s="136">
        <v>0.77083333333333204</v>
      </c>
      <c r="C51" s="139">
        <f>IF(ISERROR(VLOOKUP($A51,$S$5:$Z$65,C$1,FALSE)*((100%-GRA!$K$2))),0,VLOOKUP($A51,$S$5:$Z$65,C$1,FALSE)*((100%-GRA!$K$2)))</f>
        <v>0</v>
      </c>
      <c r="D51" s="139">
        <f>IF(ISERROR(VLOOKUP($A51,$S$5:$Z$65,D$1,FALSE)*((100%-GRA!$K$2))),0,VLOOKUP($A51,$S$5:$Z$65,D$1,FALSE)*((100%-GRA!$K$2)))</f>
        <v>0</v>
      </c>
      <c r="E51" s="139">
        <f>IF(ISERROR(VLOOKUP($A51,$S$5:$Z$65,E$1,FALSE)*((100%-GRA!$K$2))),0,VLOOKUP($A51,$S$5:$Z$65,E$1,FALSE)*((100%-GRA!$K$2)))</f>
        <v>0</v>
      </c>
      <c r="F51" s="139">
        <f>IF(ISERROR(VLOOKUP($A51,$S$5:$Z$65,F$1,FALSE)*((100%-GRA!$K$2))),0,VLOOKUP($A51,$S$5:$Z$65,F$1,FALSE)*((100%-GRA!$K$2)))</f>
        <v>0</v>
      </c>
      <c r="G51" s="139">
        <f>IF(ISERROR(VLOOKUP($A51,$S$5:$Z$65,G$1,FALSE)*((100%-GRA!$K$2))),0,VLOOKUP($A51,$S$5:$Z$65,G$1,FALSE)*((100%-GRA!$K$2)))</f>
        <v>0</v>
      </c>
      <c r="H51" s="139">
        <f>IF(ISERROR(VLOOKUP($A51,$S$5:$Z$65,H$1,FALSE)*((100%-GRA!$K$2))),0,VLOOKUP($A51,$S$5:$Z$65,H$1,FALSE)*((100%-GRA!$K$2)))</f>
        <v>0</v>
      </c>
      <c r="I51" s="139">
        <f>IF(ISERROR(VLOOKUP($A51,$S$5:$Z$65,I$1,FALSE)*((100%-GRA!$K$2))),0,VLOOKUP($A51,$S$5:$Z$65,I$1,FALSE)*((100%-GRA!$K$2)))</f>
        <v>0</v>
      </c>
      <c r="K51" s="139" t="str">
        <f t="shared" si="6"/>
        <v/>
      </c>
      <c r="L51" s="139" t="str">
        <f t="shared" si="0"/>
        <v/>
      </c>
      <c r="M51" s="139" t="str">
        <f t="shared" si="1"/>
        <v/>
      </c>
      <c r="N51" s="139" t="str">
        <f t="shared" si="2"/>
        <v/>
      </c>
      <c r="O51" s="139" t="str">
        <f t="shared" si="3"/>
        <v/>
      </c>
      <c r="P51" s="139" t="str">
        <f t="shared" si="4"/>
        <v/>
      </c>
      <c r="Q51" s="139" t="str">
        <f t="shared" si="5"/>
        <v/>
      </c>
      <c r="R51" s="143">
        <v>55</v>
      </c>
      <c r="S51" s="139">
        <f>+Incassi!A56</f>
        <v>0</v>
      </c>
      <c r="T51" s="139" t="e">
        <f>HLOOKUP(T$3,Incassi!$B$2:$H$80,$R51,FALSE)</f>
        <v>#N/A</v>
      </c>
      <c r="U51" s="139" t="e">
        <f>HLOOKUP(U$3,Incassi!$B$2:$H$80,$R51,FALSE)</f>
        <v>#N/A</v>
      </c>
      <c r="V51" s="139" t="e">
        <f>HLOOKUP(V$3,Incassi!$B$2:$H$80,$R51,FALSE)</f>
        <v>#N/A</v>
      </c>
      <c r="W51" s="139" t="e">
        <f>HLOOKUP(W$3,Incassi!$B$2:$H$80,$R51,FALSE)</f>
        <v>#N/A</v>
      </c>
      <c r="X51" s="139" t="e">
        <f>HLOOKUP(X$3,Incassi!$B$2:$H$80,$R51,FALSE)</f>
        <v>#N/A</v>
      </c>
      <c r="Y51" s="139" t="e">
        <f>HLOOKUP(Y$3,Incassi!$B$2:$H$80,$R51,FALSE)</f>
        <v>#N/A</v>
      </c>
      <c r="Z51" s="139" t="e">
        <f>HLOOKUP(Z$3,Incassi!$B$2:$H$80,$R51,FALSE)</f>
        <v>#N/A</v>
      </c>
    </row>
    <row r="52" spans="1:26">
      <c r="A52" s="317">
        <v>18.449999999999996</v>
      </c>
      <c r="B52" s="137">
        <v>0.781249999999999</v>
      </c>
      <c r="C52" s="140">
        <f>IF(ISERROR(VLOOKUP($A52,$S$5:$Z$65,C$1,FALSE)*((100%-GRA!$K$2))),0,VLOOKUP($A52,$S$5:$Z$65,C$1,FALSE)*((100%-GRA!$K$2)))</f>
        <v>0</v>
      </c>
      <c r="D52" s="140">
        <f>IF(ISERROR(VLOOKUP($A52,$S$5:$Z$65,D$1,FALSE)*((100%-GRA!$K$2))),0,VLOOKUP($A52,$S$5:$Z$65,D$1,FALSE)*((100%-GRA!$K$2)))</f>
        <v>0</v>
      </c>
      <c r="E52" s="140">
        <f>IF(ISERROR(VLOOKUP($A52,$S$5:$Z$65,E$1,FALSE)*((100%-GRA!$K$2))),0,VLOOKUP($A52,$S$5:$Z$65,E$1,FALSE)*((100%-GRA!$K$2)))</f>
        <v>0</v>
      </c>
      <c r="F52" s="140">
        <f>IF(ISERROR(VLOOKUP($A52,$S$5:$Z$65,F$1,FALSE)*((100%-GRA!$K$2))),0,VLOOKUP($A52,$S$5:$Z$65,F$1,FALSE)*((100%-GRA!$K$2)))</f>
        <v>0</v>
      </c>
      <c r="G52" s="140">
        <f>IF(ISERROR(VLOOKUP($A52,$S$5:$Z$65,G$1,FALSE)*((100%-GRA!$K$2))),0,VLOOKUP($A52,$S$5:$Z$65,G$1,FALSE)*((100%-GRA!$K$2)))</f>
        <v>0</v>
      </c>
      <c r="H52" s="140">
        <f>IF(ISERROR(VLOOKUP($A52,$S$5:$Z$65,H$1,FALSE)*((100%-GRA!$K$2))),0,VLOOKUP($A52,$S$5:$Z$65,H$1,FALSE)*((100%-GRA!$K$2)))</f>
        <v>0</v>
      </c>
      <c r="I52" s="140">
        <f>IF(ISERROR(VLOOKUP($A52,$S$5:$Z$65,I$1,FALSE)*((100%-GRA!$K$2))),0,VLOOKUP($A52,$S$5:$Z$65,I$1,FALSE)*((100%-GRA!$K$2)))</f>
        <v>0</v>
      </c>
      <c r="K52" s="140" t="str">
        <f t="shared" si="6"/>
        <v/>
      </c>
      <c r="L52" s="140" t="str">
        <f t="shared" si="0"/>
        <v/>
      </c>
      <c r="M52" s="140" t="str">
        <f t="shared" si="1"/>
        <v/>
      </c>
      <c r="N52" s="140" t="str">
        <f t="shared" si="2"/>
        <v/>
      </c>
      <c r="O52" s="140" t="str">
        <f t="shared" si="3"/>
        <v/>
      </c>
      <c r="P52" s="140" t="str">
        <f t="shared" si="4"/>
        <v/>
      </c>
      <c r="Q52" s="140" t="str">
        <f t="shared" si="5"/>
        <v/>
      </c>
      <c r="R52" s="143">
        <v>56</v>
      </c>
      <c r="S52" s="140">
        <f>+Incassi!A57</f>
        <v>0</v>
      </c>
      <c r="T52" s="140" t="e">
        <f>HLOOKUP(T$3,Incassi!$B$2:$H$80,$R52,FALSE)</f>
        <v>#N/A</v>
      </c>
      <c r="U52" s="140" t="e">
        <f>HLOOKUP(U$3,Incassi!$B$2:$H$80,$R52,FALSE)</f>
        <v>#N/A</v>
      </c>
      <c r="V52" s="140" t="e">
        <f>HLOOKUP(V$3,Incassi!$B$2:$H$80,$R52,FALSE)</f>
        <v>#N/A</v>
      </c>
      <c r="W52" s="140" t="e">
        <f>HLOOKUP(W$3,Incassi!$B$2:$H$80,$R52,FALSE)</f>
        <v>#N/A</v>
      </c>
      <c r="X52" s="140" t="e">
        <f>HLOOKUP(X$3,Incassi!$B$2:$H$80,$R52,FALSE)</f>
        <v>#N/A</v>
      </c>
      <c r="Y52" s="140" t="e">
        <f>HLOOKUP(Y$3,Incassi!$B$2:$H$80,$R52,FALSE)</f>
        <v>#N/A</v>
      </c>
      <c r="Z52" s="140" t="e">
        <f>HLOOKUP(Z$3,Incassi!$B$2:$H$80,$R52,FALSE)</f>
        <v>#N/A</v>
      </c>
    </row>
    <row r="53" spans="1:26">
      <c r="A53" s="317">
        <v>19</v>
      </c>
      <c r="B53" s="136">
        <v>0.79166666666666496</v>
      </c>
      <c r="C53" s="139">
        <f>IF(ISERROR(VLOOKUP($A53,$S$5:$Z$65,C$1,FALSE)*((100%-GRA!$K$2))),0,VLOOKUP($A53,$S$5:$Z$65,C$1,FALSE)*((100%-GRA!$K$2)))</f>
        <v>0</v>
      </c>
      <c r="D53" s="139">
        <f>IF(ISERROR(VLOOKUP($A53,$S$5:$Z$65,D$1,FALSE)*((100%-GRA!$K$2))),0,VLOOKUP($A53,$S$5:$Z$65,D$1,FALSE)*((100%-GRA!$K$2)))</f>
        <v>0</v>
      </c>
      <c r="E53" s="139">
        <f>IF(ISERROR(VLOOKUP($A53,$S$5:$Z$65,E$1,FALSE)*((100%-GRA!$K$2))),0,VLOOKUP($A53,$S$5:$Z$65,E$1,FALSE)*((100%-GRA!$K$2)))</f>
        <v>0</v>
      </c>
      <c r="F53" s="139">
        <f>IF(ISERROR(VLOOKUP($A53,$S$5:$Z$65,F$1,FALSE)*((100%-GRA!$K$2))),0,VLOOKUP($A53,$S$5:$Z$65,F$1,FALSE)*((100%-GRA!$K$2)))</f>
        <v>0</v>
      </c>
      <c r="G53" s="139">
        <f>IF(ISERROR(VLOOKUP($A53,$S$5:$Z$65,G$1,FALSE)*((100%-GRA!$K$2))),0,VLOOKUP($A53,$S$5:$Z$65,G$1,FALSE)*((100%-GRA!$K$2)))</f>
        <v>0</v>
      </c>
      <c r="H53" s="139">
        <f>IF(ISERROR(VLOOKUP($A53,$S$5:$Z$65,H$1,FALSE)*((100%-GRA!$K$2))),0,VLOOKUP($A53,$S$5:$Z$65,H$1,FALSE)*((100%-GRA!$K$2)))</f>
        <v>0</v>
      </c>
      <c r="I53" s="139">
        <f>IF(ISERROR(VLOOKUP($A53,$S$5:$Z$65,I$1,FALSE)*((100%-GRA!$K$2))),0,VLOOKUP($A53,$S$5:$Z$65,I$1,FALSE)*((100%-GRA!$K$2)))</f>
        <v>0</v>
      </c>
      <c r="K53" s="139" t="str">
        <f t="shared" si="6"/>
        <v/>
      </c>
      <c r="L53" s="139" t="str">
        <f t="shared" si="0"/>
        <v/>
      </c>
      <c r="M53" s="139" t="str">
        <f t="shared" si="1"/>
        <v/>
      </c>
      <c r="N53" s="139" t="str">
        <f t="shared" si="2"/>
        <v/>
      </c>
      <c r="O53" s="139" t="str">
        <f t="shared" si="3"/>
        <v/>
      </c>
      <c r="P53" s="139" t="str">
        <f t="shared" si="4"/>
        <v/>
      </c>
      <c r="Q53" s="139" t="str">
        <f t="shared" si="5"/>
        <v/>
      </c>
      <c r="R53" s="143">
        <v>57</v>
      </c>
      <c r="S53" s="139">
        <f>+Incassi!A58</f>
        <v>0</v>
      </c>
      <c r="T53" s="139" t="e">
        <f>HLOOKUP(T$3,Incassi!$B$2:$H$80,$R53,FALSE)</f>
        <v>#N/A</v>
      </c>
      <c r="U53" s="139" t="e">
        <f>HLOOKUP(U$3,Incassi!$B$2:$H$80,$R53,FALSE)</f>
        <v>#N/A</v>
      </c>
      <c r="V53" s="139" t="e">
        <f>HLOOKUP(V$3,Incassi!$B$2:$H$80,$R53,FALSE)</f>
        <v>#N/A</v>
      </c>
      <c r="W53" s="139" t="e">
        <f>HLOOKUP(W$3,Incassi!$B$2:$H$80,$R53,FALSE)</f>
        <v>#N/A</v>
      </c>
      <c r="X53" s="139" t="e">
        <f>HLOOKUP(X$3,Incassi!$B$2:$H$80,$R53,FALSE)</f>
        <v>#N/A</v>
      </c>
      <c r="Y53" s="139" t="e">
        <f>HLOOKUP(Y$3,Incassi!$B$2:$H$80,$R53,FALSE)</f>
        <v>#N/A</v>
      </c>
      <c r="Z53" s="139" t="e">
        <f>HLOOKUP(Z$3,Incassi!$B$2:$H$80,$R53,FALSE)</f>
        <v>#N/A</v>
      </c>
    </row>
    <row r="54" spans="1:26">
      <c r="A54" s="317">
        <v>19.149999999999999</v>
      </c>
      <c r="B54" s="137">
        <v>0.80208333333333204</v>
      </c>
      <c r="C54" s="140">
        <f>IF(ISERROR(VLOOKUP($A54,$S$5:$Z$65,C$1,FALSE)*((100%-GRA!$K$2))),0,VLOOKUP($A54,$S$5:$Z$65,C$1,FALSE)*((100%-GRA!$K$2)))</f>
        <v>0</v>
      </c>
      <c r="D54" s="140">
        <f>IF(ISERROR(VLOOKUP($A54,$S$5:$Z$65,D$1,FALSE)*((100%-GRA!$K$2))),0,VLOOKUP($A54,$S$5:$Z$65,D$1,FALSE)*((100%-GRA!$K$2)))</f>
        <v>0</v>
      </c>
      <c r="E54" s="140">
        <f>IF(ISERROR(VLOOKUP($A54,$S$5:$Z$65,E$1,FALSE)*((100%-GRA!$K$2))),0,VLOOKUP($A54,$S$5:$Z$65,E$1,FALSE)*((100%-GRA!$K$2)))</f>
        <v>0</v>
      </c>
      <c r="F54" s="140">
        <f>IF(ISERROR(VLOOKUP($A54,$S$5:$Z$65,F$1,FALSE)*((100%-GRA!$K$2))),0,VLOOKUP($A54,$S$5:$Z$65,F$1,FALSE)*((100%-GRA!$K$2)))</f>
        <v>0</v>
      </c>
      <c r="G54" s="140">
        <f>IF(ISERROR(VLOOKUP($A54,$S$5:$Z$65,G$1,FALSE)*((100%-GRA!$K$2))),0,VLOOKUP($A54,$S$5:$Z$65,G$1,FALSE)*((100%-GRA!$K$2)))</f>
        <v>0</v>
      </c>
      <c r="H54" s="140">
        <f>IF(ISERROR(VLOOKUP($A54,$S$5:$Z$65,H$1,FALSE)*((100%-GRA!$K$2))),0,VLOOKUP($A54,$S$5:$Z$65,H$1,FALSE)*((100%-GRA!$K$2)))</f>
        <v>0</v>
      </c>
      <c r="I54" s="140">
        <f>IF(ISERROR(VLOOKUP($A54,$S$5:$Z$65,I$1,FALSE)*((100%-GRA!$K$2))),0,VLOOKUP($A54,$S$5:$Z$65,I$1,FALSE)*((100%-GRA!$K$2)))</f>
        <v>0</v>
      </c>
      <c r="K54" s="140" t="str">
        <f t="shared" si="6"/>
        <v/>
      </c>
      <c r="L54" s="140" t="str">
        <f t="shared" si="0"/>
        <v/>
      </c>
      <c r="M54" s="140" t="str">
        <f t="shared" si="1"/>
        <v/>
      </c>
      <c r="N54" s="140" t="str">
        <f t="shared" si="2"/>
        <v/>
      </c>
      <c r="O54" s="140" t="str">
        <f t="shared" si="3"/>
        <v/>
      </c>
      <c r="P54" s="140" t="str">
        <f t="shared" si="4"/>
        <v/>
      </c>
      <c r="Q54" s="140" t="str">
        <f t="shared" si="5"/>
        <v/>
      </c>
      <c r="R54" s="143">
        <v>58</v>
      </c>
      <c r="S54" s="140">
        <f>+Incassi!A59</f>
        <v>0</v>
      </c>
      <c r="T54" s="140" t="e">
        <f>HLOOKUP(T$3,Incassi!$B$2:$H$80,$R54,FALSE)</f>
        <v>#N/A</v>
      </c>
      <c r="U54" s="140" t="e">
        <f>HLOOKUP(U$3,Incassi!$B$2:$H$80,$R54,FALSE)</f>
        <v>#N/A</v>
      </c>
      <c r="V54" s="140" t="e">
        <f>HLOOKUP(V$3,Incassi!$B$2:$H$80,$R54,FALSE)</f>
        <v>#N/A</v>
      </c>
      <c r="W54" s="140" t="e">
        <f>HLOOKUP(W$3,Incassi!$B$2:$H$80,$R54,FALSE)</f>
        <v>#N/A</v>
      </c>
      <c r="X54" s="140" t="e">
        <f>HLOOKUP(X$3,Incassi!$B$2:$H$80,$R54,FALSE)</f>
        <v>#N/A</v>
      </c>
      <c r="Y54" s="140" t="e">
        <f>HLOOKUP(Y$3,Incassi!$B$2:$H$80,$R54,FALSE)</f>
        <v>#N/A</v>
      </c>
      <c r="Z54" s="140" t="e">
        <f>HLOOKUP(Z$3,Incassi!$B$2:$H$80,$R54,FALSE)</f>
        <v>#N/A</v>
      </c>
    </row>
    <row r="55" spans="1:26">
      <c r="A55" s="317">
        <v>19.299999999999997</v>
      </c>
      <c r="B55" s="136">
        <v>0.812499999999998</v>
      </c>
      <c r="C55" s="139">
        <f>IF(ISERROR(VLOOKUP($A55,$S$5:$Z$65,C$1,FALSE)*((100%-GRA!$K$2))),0,VLOOKUP($A55,$S$5:$Z$65,C$1,FALSE)*((100%-GRA!$K$2)))</f>
        <v>0</v>
      </c>
      <c r="D55" s="139">
        <f>IF(ISERROR(VLOOKUP($A55,$S$5:$Z$65,D$1,FALSE)*((100%-GRA!$K$2))),0,VLOOKUP($A55,$S$5:$Z$65,D$1,FALSE)*((100%-GRA!$K$2)))</f>
        <v>0</v>
      </c>
      <c r="E55" s="139">
        <f>IF(ISERROR(VLOOKUP($A55,$S$5:$Z$65,E$1,FALSE)*((100%-GRA!$K$2))),0,VLOOKUP($A55,$S$5:$Z$65,E$1,FALSE)*((100%-GRA!$K$2)))</f>
        <v>0</v>
      </c>
      <c r="F55" s="139">
        <f>IF(ISERROR(VLOOKUP($A55,$S$5:$Z$65,F$1,FALSE)*((100%-GRA!$K$2))),0,VLOOKUP($A55,$S$5:$Z$65,F$1,FALSE)*((100%-GRA!$K$2)))</f>
        <v>0</v>
      </c>
      <c r="G55" s="139">
        <f>IF(ISERROR(VLOOKUP($A55,$S$5:$Z$65,G$1,FALSE)*((100%-GRA!$K$2))),0,VLOOKUP($A55,$S$5:$Z$65,G$1,FALSE)*((100%-GRA!$K$2)))</f>
        <v>0</v>
      </c>
      <c r="H55" s="139">
        <f>IF(ISERROR(VLOOKUP($A55,$S$5:$Z$65,H$1,FALSE)*((100%-GRA!$K$2))),0,VLOOKUP($A55,$S$5:$Z$65,H$1,FALSE)*((100%-GRA!$K$2)))</f>
        <v>0</v>
      </c>
      <c r="I55" s="139">
        <f>IF(ISERROR(VLOOKUP($A55,$S$5:$Z$65,I$1,FALSE)*((100%-GRA!$K$2))),0,VLOOKUP($A55,$S$5:$Z$65,I$1,FALSE)*((100%-GRA!$K$2)))</f>
        <v>0</v>
      </c>
      <c r="K55" s="139" t="str">
        <f t="shared" si="6"/>
        <v/>
      </c>
      <c r="L55" s="139" t="str">
        <f t="shared" si="0"/>
        <v/>
      </c>
      <c r="M55" s="139" t="str">
        <f t="shared" si="1"/>
        <v/>
      </c>
      <c r="N55" s="139" t="str">
        <f t="shared" si="2"/>
        <v/>
      </c>
      <c r="O55" s="139" t="str">
        <f t="shared" si="3"/>
        <v/>
      </c>
      <c r="P55" s="139" t="str">
        <f t="shared" si="4"/>
        <v/>
      </c>
      <c r="Q55" s="139" t="str">
        <f t="shared" si="5"/>
        <v/>
      </c>
      <c r="R55" s="143">
        <v>59</v>
      </c>
      <c r="S55" s="139">
        <f>+Incassi!A60</f>
        <v>0</v>
      </c>
      <c r="T55" s="139" t="e">
        <f>HLOOKUP(T$3,Incassi!$B$2:$H$80,$R55,FALSE)</f>
        <v>#N/A</v>
      </c>
      <c r="U55" s="139" t="e">
        <f>HLOOKUP(U$3,Incassi!$B$2:$H$80,$R55,FALSE)</f>
        <v>#N/A</v>
      </c>
      <c r="V55" s="139" t="e">
        <f>HLOOKUP(V$3,Incassi!$B$2:$H$80,$R55,FALSE)</f>
        <v>#N/A</v>
      </c>
      <c r="W55" s="139" t="e">
        <f>HLOOKUP(W$3,Incassi!$B$2:$H$80,$R55,FALSE)</f>
        <v>#N/A</v>
      </c>
      <c r="X55" s="139" t="e">
        <f>HLOOKUP(X$3,Incassi!$B$2:$H$80,$R55,FALSE)</f>
        <v>#N/A</v>
      </c>
      <c r="Y55" s="139" t="e">
        <f>HLOOKUP(Y$3,Incassi!$B$2:$H$80,$R55,FALSE)</f>
        <v>#N/A</v>
      </c>
      <c r="Z55" s="139" t="e">
        <f>HLOOKUP(Z$3,Incassi!$B$2:$H$80,$R55,FALSE)</f>
        <v>#N/A</v>
      </c>
    </row>
    <row r="56" spans="1:26">
      <c r="A56" s="317">
        <v>19.449999999999996</v>
      </c>
      <c r="B56" s="137">
        <v>0.82291666666666496</v>
      </c>
      <c r="C56" s="140">
        <f>IF(ISERROR(VLOOKUP($A56,$S$5:$Z$65,C$1,FALSE)*((100%-GRA!$K$2))),0,VLOOKUP($A56,$S$5:$Z$65,C$1,FALSE)*((100%-GRA!$K$2)))</f>
        <v>0</v>
      </c>
      <c r="D56" s="140">
        <f>IF(ISERROR(VLOOKUP($A56,$S$5:$Z$65,D$1,FALSE)*((100%-GRA!$K$2))),0,VLOOKUP($A56,$S$5:$Z$65,D$1,FALSE)*((100%-GRA!$K$2)))</f>
        <v>0</v>
      </c>
      <c r="E56" s="140">
        <f>IF(ISERROR(VLOOKUP($A56,$S$5:$Z$65,E$1,FALSE)*((100%-GRA!$K$2))),0,VLOOKUP($A56,$S$5:$Z$65,E$1,FALSE)*((100%-GRA!$K$2)))</f>
        <v>0</v>
      </c>
      <c r="F56" s="140">
        <f>IF(ISERROR(VLOOKUP($A56,$S$5:$Z$65,F$1,FALSE)*((100%-GRA!$K$2))),0,VLOOKUP($A56,$S$5:$Z$65,F$1,FALSE)*((100%-GRA!$K$2)))</f>
        <v>0</v>
      </c>
      <c r="G56" s="140">
        <f>IF(ISERROR(VLOOKUP($A56,$S$5:$Z$65,G$1,FALSE)*((100%-GRA!$K$2))),0,VLOOKUP($A56,$S$5:$Z$65,G$1,FALSE)*((100%-GRA!$K$2)))</f>
        <v>0</v>
      </c>
      <c r="H56" s="140">
        <f>IF(ISERROR(VLOOKUP($A56,$S$5:$Z$65,H$1,FALSE)*((100%-GRA!$K$2))),0,VLOOKUP($A56,$S$5:$Z$65,H$1,FALSE)*((100%-GRA!$K$2)))</f>
        <v>0</v>
      </c>
      <c r="I56" s="140">
        <f>IF(ISERROR(VLOOKUP($A56,$S$5:$Z$65,I$1,FALSE)*((100%-GRA!$K$2))),0,VLOOKUP($A56,$S$5:$Z$65,I$1,FALSE)*((100%-GRA!$K$2)))</f>
        <v>0</v>
      </c>
      <c r="K56" s="140" t="str">
        <f t="shared" si="6"/>
        <v/>
      </c>
      <c r="L56" s="140" t="str">
        <f t="shared" si="0"/>
        <v/>
      </c>
      <c r="M56" s="140" t="str">
        <f t="shared" si="1"/>
        <v/>
      </c>
      <c r="N56" s="140" t="str">
        <f t="shared" si="2"/>
        <v/>
      </c>
      <c r="O56" s="140" t="str">
        <f t="shared" si="3"/>
        <v/>
      </c>
      <c r="P56" s="140" t="str">
        <f t="shared" si="4"/>
        <v/>
      </c>
      <c r="Q56" s="140" t="str">
        <f t="shared" si="5"/>
        <v/>
      </c>
      <c r="R56" s="143">
        <v>60</v>
      </c>
      <c r="S56" s="140">
        <f>+Incassi!A61</f>
        <v>0</v>
      </c>
      <c r="T56" s="140" t="e">
        <f>HLOOKUP(T$3,Incassi!$B$2:$H$80,$R56,FALSE)</f>
        <v>#N/A</v>
      </c>
      <c r="U56" s="140" t="e">
        <f>HLOOKUP(U$3,Incassi!$B$2:$H$80,$R56,FALSE)</f>
        <v>#N/A</v>
      </c>
      <c r="V56" s="140" t="e">
        <f>HLOOKUP(V$3,Incassi!$B$2:$H$80,$R56,FALSE)</f>
        <v>#N/A</v>
      </c>
      <c r="W56" s="140" t="e">
        <f>HLOOKUP(W$3,Incassi!$B$2:$H$80,$R56,FALSE)</f>
        <v>#N/A</v>
      </c>
      <c r="X56" s="140" t="e">
        <f>HLOOKUP(X$3,Incassi!$B$2:$H$80,$R56,FALSE)</f>
        <v>#N/A</v>
      </c>
      <c r="Y56" s="140" t="e">
        <f>HLOOKUP(Y$3,Incassi!$B$2:$H$80,$R56,FALSE)</f>
        <v>#N/A</v>
      </c>
      <c r="Z56" s="140" t="e">
        <f>HLOOKUP(Z$3,Incassi!$B$2:$H$80,$R56,FALSE)</f>
        <v>#N/A</v>
      </c>
    </row>
    <row r="57" spans="1:26">
      <c r="A57" s="317">
        <v>20</v>
      </c>
      <c r="B57" s="136">
        <v>0.83333333333333204</v>
      </c>
      <c r="C57" s="139">
        <f>IF(ISERROR(VLOOKUP($A57,$S$5:$Z$65,C$1,FALSE)*((100%-GRA!$K$2))),0,VLOOKUP($A57,$S$5:$Z$65,C$1,FALSE)*((100%-GRA!$K$2)))</f>
        <v>0</v>
      </c>
      <c r="D57" s="139">
        <f>IF(ISERROR(VLOOKUP($A57,$S$5:$Z$65,D$1,FALSE)*((100%-GRA!$K$2))),0,VLOOKUP($A57,$S$5:$Z$65,D$1,FALSE)*((100%-GRA!$K$2)))</f>
        <v>0</v>
      </c>
      <c r="E57" s="139">
        <f>IF(ISERROR(VLOOKUP($A57,$S$5:$Z$65,E$1,FALSE)*((100%-GRA!$K$2))),0,VLOOKUP($A57,$S$5:$Z$65,E$1,FALSE)*((100%-GRA!$K$2)))</f>
        <v>0</v>
      </c>
      <c r="F57" s="139">
        <f>IF(ISERROR(VLOOKUP($A57,$S$5:$Z$65,F$1,FALSE)*((100%-GRA!$K$2))),0,VLOOKUP($A57,$S$5:$Z$65,F$1,FALSE)*((100%-GRA!$K$2)))</f>
        <v>0</v>
      </c>
      <c r="G57" s="139">
        <f>IF(ISERROR(VLOOKUP($A57,$S$5:$Z$65,G$1,FALSE)*((100%-GRA!$K$2))),0,VLOOKUP($A57,$S$5:$Z$65,G$1,FALSE)*((100%-GRA!$K$2)))</f>
        <v>0</v>
      </c>
      <c r="H57" s="139">
        <f>IF(ISERROR(VLOOKUP($A57,$S$5:$Z$65,H$1,FALSE)*((100%-GRA!$K$2))),0,VLOOKUP($A57,$S$5:$Z$65,H$1,FALSE)*((100%-GRA!$K$2)))</f>
        <v>0</v>
      </c>
      <c r="I57" s="139">
        <f>IF(ISERROR(VLOOKUP($A57,$S$5:$Z$65,I$1,FALSE)*((100%-GRA!$K$2))),0,VLOOKUP($A57,$S$5:$Z$65,I$1,FALSE)*((100%-GRA!$K$2)))</f>
        <v>0</v>
      </c>
      <c r="K57" s="139" t="str">
        <f t="shared" si="6"/>
        <v/>
      </c>
      <c r="L57" s="139" t="str">
        <f t="shared" si="0"/>
        <v/>
      </c>
      <c r="M57" s="139" t="str">
        <f t="shared" si="1"/>
        <v/>
      </c>
      <c r="N57" s="139" t="str">
        <f t="shared" si="2"/>
        <v/>
      </c>
      <c r="O57" s="139" t="str">
        <f t="shared" si="3"/>
        <v/>
      </c>
      <c r="P57" s="139" t="str">
        <f t="shared" si="4"/>
        <v/>
      </c>
      <c r="Q57" s="139" t="str">
        <f t="shared" si="5"/>
        <v/>
      </c>
      <c r="R57" s="143">
        <v>61</v>
      </c>
      <c r="S57" s="139">
        <f>+Incassi!A62</f>
        <v>0</v>
      </c>
      <c r="T57" s="139" t="e">
        <f>HLOOKUP(T$3,Incassi!$B$2:$H$80,$R57,FALSE)</f>
        <v>#N/A</v>
      </c>
      <c r="U57" s="139" t="e">
        <f>HLOOKUP(U$3,Incassi!$B$2:$H$80,$R57,FALSE)</f>
        <v>#N/A</v>
      </c>
      <c r="V57" s="139" t="e">
        <f>HLOOKUP(V$3,Incassi!$B$2:$H$80,$R57,FALSE)</f>
        <v>#N/A</v>
      </c>
      <c r="W57" s="139" t="e">
        <f>HLOOKUP(W$3,Incassi!$B$2:$H$80,$R57,FALSE)</f>
        <v>#N/A</v>
      </c>
      <c r="X57" s="139" t="e">
        <f>HLOOKUP(X$3,Incassi!$B$2:$H$80,$R57,FALSE)</f>
        <v>#N/A</v>
      </c>
      <c r="Y57" s="139" t="e">
        <f>HLOOKUP(Y$3,Incassi!$B$2:$H$80,$R57,FALSE)</f>
        <v>#N/A</v>
      </c>
      <c r="Z57" s="139" t="e">
        <f>HLOOKUP(Z$3,Incassi!$B$2:$H$80,$R57,FALSE)</f>
        <v>#N/A</v>
      </c>
    </row>
    <row r="58" spans="1:26">
      <c r="A58" s="317">
        <v>20.149999999999999</v>
      </c>
      <c r="B58" s="137">
        <v>0.843749999999999</v>
      </c>
      <c r="C58" s="140">
        <f>IF(ISERROR(VLOOKUP($A58,$S$5:$Z$65,C$1,FALSE)*((100%-GRA!$K$2))),0,VLOOKUP($A58,$S$5:$Z$65,C$1,FALSE)*((100%-GRA!$K$2)))</f>
        <v>0</v>
      </c>
      <c r="D58" s="140">
        <f>IF(ISERROR(VLOOKUP($A58,$S$5:$Z$65,D$1,FALSE)*((100%-GRA!$K$2))),0,VLOOKUP($A58,$S$5:$Z$65,D$1,FALSE)*((100%-GRA!$K$2)))</f>
        <v>0</v>
      </c>
      <c r="E58" s="140">
        <f>IF(ISERROR(VLOOKUP($A58,$S$5:$Z$65,E$1,FALSE)*((100%-GRA!$K$2))),0,VLOOKUP($A58,$S$5:$Z$65,E$1,FALSE)*((100%-GRA!$K$2)))</f>
        <v>0</v>
      </c>
      <c r="F58" s="140">
        <f>IF(ISERROR(VLOOKUP($A58,$S$5:$Z$65,F$1,FALSE)*((100%-GRA!$K$2))),0,VLOOKUP($A58,$S$5:$Z$65,F$1,FALSE)*((100%-GRA!$K$2)))</f>
        <v>0</v>
      </c>
      <c r="G58" s="140">
        <f>IF(ISERROR(VLOOKUP($A58,$S$5:$Z$65,G$1,FALSE)*((100%-GRA!$K$2))),0,VLOOKUP($A58,$S$5:$Z$65,G$1,FALSE)*((100%-GRA!$K$2)))</f>
        <v>0</v>
      </c>
      <c r="H58" s="140">
        <f>IF(ISERROR(VLOOKUP($A58,$S$5:$Z$65,H$1,FALSE)*((100%-GRA!$K$2))),0,VLOOKUP($A58,$S$5:$Z$65,H$1,FALSE)*((100%-GRA!$K$2)))</f>
        <v>0</v>
      </c>
      <c r="I58" s="140">
        <f>IF(ISERROR(VLOOKUP($A58,$S$5:$Z$65,I$1,FALSE)*((100%-GRA!$K$2))),0,VLOOKUP($A58,$S$5:$Z$65,I$1,FALSE)*((100%-GRA!$K$2)))</f>
        <v>0</v>
      </c>
      <c r="K58" s="140" t="str">
        <f t="shared" si="6"/>
        <v/>
      </c>
      <c r="L58" s="140" t="str">
        <f t="shared" si="0"/>
        <v/>
      </c>
      <c r="M58" s="140" t="str">
        <f t="shared" si="1"/>
        <v/>
      </c>
      <c r="N58" s="140" t="str">
        <f t="shared" si="2"/>
        <v/>
      </c>
      <c r="O58" s="140" t="str">
        <f t="shared" si="3"/>
        <v/>
      </c>
      <c r="P58" s="140" t="str">
        <f t="shared" si="4"/>
        <v/>
      </c>
      <c r="Q58" s="140" t="str">
        <f t="shared" si="5"/>
        <v/>
      </c>
      <c r="R58" s="143">
        <v>62</v>
      </c>
      <c r="S58" s="140">
        <f>+Incassi!A63</f>
        <v>0</v>
      </c>
      <c r="T58" s="140" t="e">
        <f>HLOOKUP(T$3,Incassi!$B$2:$H$80,$R58,FALSE)</f>
        <v>#N/A</v>
      </c>
      <c r="U58" s="140" t="e">
        <f>HLOOKUP(U$3,Incassi!$B$2:$H$80,$R58,FALSE)</f>
        <v>#N/A</v>
      </c>
      <c r="V58" s="140" t="e">
        <f>HLOOKUP(V$3,Incassi!$B$2:$H$80,$R58,FALSE)</f>
        <v>#N/A</v>
      </c>
      <c r="W58" s="140" t="e">
        <f>HLOOKUP(W$3,Incassi!$B$2:$H$80,$R58,FALSE)</f>
        <v>#N/A</v>
      </c>
      <c r="X58" s="140" t="e">
        <f>HLOOKUP(X$3,Incassi!$B$2:$H$80,$R58,FALSE)</f>
        <v>#N/A</v>
      </c>
      <c r="Y58" s="140" t="e">
        <f>HLOOKUP(Y$3,Incassi!$B$2:$H$80,$R58,FALSE)</f>
        <v>#N/A</v>
      </c>
      <c r="Z58" s="140" t="e">
        <f>HLOOKUP(Z$3,Incassi!$B$2:$H$80,$R58,FALSE)</f>
        <v>#N/A</v>
      </c>
    </row>
    <row r="59" spans="1:26">
      <c r="A59" s="317">
        <v>20.299999999999997</v>
      </c>
      <c r="B59" s="136">
        <v>0.85416666666666596</v>
      </c>
      <c r="C59" s="139">
        <f>IF(ISERROR(VLOOKUP($A59,$S$5:$Z$65,C$1,FALSE)*((100%-GRA!$K$2))),0,VLOOKUP($A59,$S$5:$Z$65,C$1,FALSE)*((100%-GRA!$K$2)))</f>
        <v>0</v>
      </c>
      <c r="D59" s="139">
        <f>IF(ISERROR(VLOOKUP($A59,$S$5:$Z$65,D$1,FALSE)*((100%-GRA!$K$2))),0,VLOOKUP($A59,$S$5:$Z$65,D$1,FALSE)*((100%-GRA!$K$2)))</f>
        <v>0</v>
      </c>
      <c r="E59" s="139">
        <f>IF(ISERROR(VLOOKUP($A59,$S$5:$Z$65,E$1,FALSE)*((100%-GRA!$K$2))),0,VLOOKUP($A59,$S$5:$Z$65,E$1,FALSE)*((100%-GRA!$K$2)))</f>
        <v>0</v>
      </c>
      <c r="F59" s="139">
        <f>IF(ISERROR(VLOOKUP($A59,$S$5:$Z$65,F$1,FALSE)*((100%-GRA!$K$2))),0,VLOOKUP($A59,$S$5:$Z$65,F$1,FALSE)*((100%-GRA!$K$2)))</f>
        <v>0</v>
      </c>
      <c r="G59" s="139">
        <f>IF(ISERROR(VLOOKUP($A59,$S$5:$Z$65,G$1,FALSE)*((100%-GRA!$K$2))),0,VLOOKUP($A59,$S$5:$Z$65,G$1,FALSE)*((100%-GRA!$K$2)))</f>
        <v>0</v>
      </c>
      <c r="H59" s="139">
        <f>IF(ISERROR(VLOOKUP($A59,$S$5:$Z$65,H$1,FALSE)*((100%-GRA!$K$2))),0,VLOOKUP($A59,$S$5:$Z$65,H$1,FALSE)*((100%-GRA!$K$2)))</f>
        <v>0</v>
      </c>
      <c r="I59" s="139">
        <f>IF(ISERROR(VLOOKUP($A59,$S$5:$Z$65,I$1,FALSE)*((100%-GRA!$K$2))),0,VLOOKUP($A59,$S$5:$Z$65,I$1,FALSE)*((100%-GRA!$K$2)))</f>
        <v>0</v>
      </c>
      <c r="K59" s="139" t="str">
        <f t="shared" si="6"/>
        <v/>
      </c>
      <c r="L59" s="139" t="str">
        <f t="shared" si="0"/>
        <v/>
      </c>
      <c r="M59" s="139" t="str">
        <f t="shared" si="1"/>
        <v/>
      </c>
      <c r="N59" s="139" t="str">
        <f t="shared" si="2"/>
        <v/>
      </c>
      <c r="O59" s="139" t="str">
        <f t="shared" si="3"/>
        <v/>
      </c>
      <c r="P59" s="139" t="str">
        <f t="shared" si="4"/>
        <v/>
      </c>
      <c r="Q59" s="139" t="str">
        <f t="shared" si="5"/>
        <v/>
      </c>
      <c r="R59" s="143">
        <v>63</v>
      </c>
      <c r="S59" s="139">
        <f>+Incassi!A64</f>
        <v>0</v>
      </c>
      <c r="T59" s="139" t="e">
        <f>HLOOKUP(T$3,Incassi!$B$2:$H$80,$R59,FALSE)</f>
        <v>#N/A</v>
      </c>
      <c r="U59" s="139" t="e">
        <f>HLOOKUP(U$3,Incassi!$B$2:$H$80,$R59,FALSE)</f>
        <v>#N/A</v>
      </c>
      <c r="V59" s="139" t="e">
        <f>HLOOKUP(V$3,Incassi!$B$2:$H$80,$R59,FALSE)</f>
        <v>#N/A</v>
      </c>
      <c r="W59" s="139" t="e">
        <f>HLOOKUP(W$3,Incassi!$B$2:$H$80,$R59,FALSE)</f>
        <v>#N/A</v>
      </c>
      <c r="X59" s="139" t="e">
        <f>HLOOKUP(X$3,Incassi!$B$2:$H$80,$R59,FALSE)</f>
        <v>#N/A</v>
      </c>
      <c r="Y59" s="139" t="e">
        <f>HLOOKUP(Y$3,Incassi!$B$2:$H$80,$R59,FALSE)</f>
        <v>#N/A</v>
      </c>
      <c r="Z59" s="139" t="e">
        <f>HLOOKUP(Z$3,Incassi!$B$2:$H$80,$R59,FALSE)</f>
        <v>#N/A</v>
      </c>
    </row>
    <row r="60" spans="1:26">
      <c r="A60" s="317">
        <v>20.449999999999996</v>
      </c>
      <c r="B60" s="137">
        <v>0.86458333333333304</v>
      </c>
      <c r="C60" s="140">
        <f>IF(ISERROR(VLOOKUP($A60,$S$5:$Z$65,C$1,FALSE)*((100%-GRA!$K$2))),0,VLOOKUP($A60,$S$5:$Z$65,C$1,FALSE)*((100%-GRA!$K$2)))</f>
        <v>0</v>
      </c>
      <c r="D60" s="140">
        <f>IF(ISERROR(VLOOKUP($A60,$S$5:$Z$65,D$1,FALSE)*((100%-GRA!$K$2))),0,VLOOKUP($A60,$S$5:$Z$65,D$1,FALSE)*((100%-GRA!$K$2)))</f>
        <v>0</v>
      </c>
      <c r="E60" s="140">
        <f>IF(ISERROR(VLOOKUP($A60,$S$5:$Z$65,E$1,FALSE)*((100%-GRA!$K$2))),0,VLOOKUP($A60,$S$5:$Z$65,E$1,FALSE)*((100%-GRA!$K$2)))</f>
        <v>0</v>
      </c>
      <c r="F60" s="140">
        <f>IF(ISERROR(VLOOKUP($A60,$S$5:$Z$65,F$1,FALSE)*((100%-GRA!$K$2))),0,VLOOKUP($A60,$S$5:$Z$65,F$1,FALSE)*((100%-GRA!$K$2)))</f>
        <v>0</v>
      </c>
      <c r="G60" s="140">
        <f>IF(ISERROR(VLOOKUP($A60,$S$5:$Z$65,G$1,FALSE)*((100%-GRA!$K$2))),0,VLOOKUP($A60,$S$5:$Z$65,G$1,FALSE)*((100%-GRA!$K$2)))</f>
        <v>0</v>
      </c>
      <c r="H60" s="140">
        <f>IF(ISERROR(VLOOKUP($A60,$S$5:$Z$65,H$1,FALSE)*((100%-GRA!$K$2))),0,VLOOKUP($A60,$S$5:$Z$65,H$1,FALSE)*((100%-GRA!$K$2)))</f>
        <v>0</v>
      </c>
      <c r="I60" s="140">
        <f>IF(ISERROR(VLOOKUP($A60,$S$5:$Z$65,I$1,FALSE)*((100%-GRA!$K$2))),0,VLOOKUP($A60,$S$5:$Z$65,I$1,FALSE)*((100%-GRA!$K$2)))</f>
        <v>0</v>
      </c>
      <c r="K60" s="140" t="str">
        <f t="shared" si="6"/>
        <v/>
      </c>
      <c r="L60" s="140" t="str">
        <f t="shared" si="0"/>
        <v/>
      </c>
      <c r="M60" s="140" t="str">
        <f t="shared" si="1"/>
        <v/>
      </c>
      <c r="N60" s="140" t="str">
        <f t="shared" si="2"/>
        <v/>
      </c>
      <c r="O60" s="140" t="str">
        <f t="shared" si="3"/>
        <v/>
      </c>
      <c r="P60" s="140" t="str">
        <f t="shared" si="4"/>
        <v/>
      </c>
      <c r="Q60" s="140" t="str">
        <f t="shared" si="5"/>
        <v/>
      </c>
      <c r="R60" s="143">
        <v>64</v>
      </c>
      <c r="S60" s="140">
        <f>+Incassi!A65</f>
        <v>0</v>
      </c>
      <c r="T60" s="140" t="e">
        <f>HLOOKUP(T$3,Incassi!$B$2:$H$80,$R60,FALSE)</f>
        <v>#N/A</v>
      </c>
      <c r="U60" s="140" t="e">
        <f>HLOOKUP(U$3,Incassi!$B$2:$H$80,$R60,FALSE)</f>
        <v>#N/A</v>
      </c>
      <c r="V60" s="140" t="e">
        <f>HLOOKUP(V$3,Incassi!$B$2:$H$80,$R60,FALSE)</f>
        <v>#N/A</v>
      </c>
      <c r="W60" s="140" t="e">
        <f>HLOOKUP(W$3,Incassi!$B$2:$H$80,$R60,FALSE)</f>
        <v>#N/A</v>
      </c>
      <c r="X60" s="140" t="e">
        <f>HLOOKUP(X$3,Incassi!$B$2:$H$80,$R60,FALSE)</f>
        <v>#N/A</v>
      </c>
      <c r="Y60" s="140" t="e">
        <f>HLOOKUP(Y$3,Incassi!$B$2:$H$80,$R60,FALSE)</f>
        <v>#N/A</v>
      </c>
      <c r="Z60" s="140" t="e">
        <f>HLOOKUP(Z$3,Incassi!$B$2:$H$80,$R60,FALSE)</f>
        <v>#N/A</v>
      </c>
    </row>
    <row r="61" spans="1:26">
      <c r="A61" s="317">
        <v>21</v>
      </c>
      <c r="B61" s="136">
        <v>0.875</v>
      </c>
      <c r="C61" s="139">
        <f>IF(ISERROR(VLOOKUP($A61,$S$5:$Z$65,C$1,FALSE)*((100%-GRA!$K$2))),0,VLOOKUP($A61,$S$5:$Z$65,C$1,FALSE)*((100%-GRA!$K$2)))</f>
        <v>0</v>
      </c>
      <c r="D61" s="139">
        <f>IF(ISERROR(VLOOKUP($A61,$S$5:$Z$65,D$1,FALSE)*((100%-GRA!$K$2))),0,VLOOKUP($A61,$S$5:$Z$65,D$1,FALSE)*((100%-GRA!$K$2)))</f>
        <v>0</v>
      </c>
      <c r="E61" s="139">
        <f>IF(ISERROR(VLOOKUP($A61,$S$5:$Z$65,E$1,FALSE)*((100%-GRA!$K$2))),0,VLOOKUP($A61,$S$5:$Z$65,E$1,FALSE)*((100%-GRA!$K$2)))</f>
        <v>0</v>
      </c>
      <c r="F61" s="139">
        <f>IF(ISERROR(VLOOKUP($A61,$S$5:$Z$65,F$1,FALSE)*((100%-GRA!$K$2))),0,VLOOKUP($A61,$S$5:$Z$65,F$1,FALSE)*((100%-GRA!$K$2)))</f>
        <v>0</v>
      </c>
      <c r="G61" s="139">
        <f>IF(ISERROR(VLOOKUP($A61,$S$5:$Z$65,G$1,FALSE)*((100%-GRA!$K$2))),0,VLOOKUP($A61,$S$5:$Z$65,G$1,FALSE)*((100%-GRA!$K$2)))</f>
        <v>0</v>
      </c>
      <c r="H61" s="139">
        <f>IF(ISERROR(VLOOKUP($A61,$S$5:$Z$65,H$1,FALSE)*((100%-GRA!$K$2))),0,VLOOKUP($A61,$S$5:$Z$65,H$1,FALSE)*((100%-GRA!$K$2)))</f>
        <v>0</v>
      </c>
      <c r="I61" s="139">
        <f>IF(ISERROR(VLOOKUP($A61,$S$5:$Z$65,I$1,FALSE)*((100%-GRA!$K$2))),0,VLOOKUP($A61,$S$5:$Z$65,I$1,FALSE)*((100%-GRA!$K$2)))</f>
        <v>0</v>
      </c>
      <c r="K61" s="139" t="str">
        <f t="shared" si="6"/>
        <v/>
      </c>
      <c r="L61" s="139" t="str">
        <f t="shared" si="0"/>
        <v/>
      </c>
      <c r="M61" s="139" t="str">
        <f t="shared" si="1"/>
        <v/>
      </c>
      <c r="N61" s="139" t="str">
        <f t="shared" si="2"/>
        <v/>
      </c>
      <c r="O61" s="139" t="str">
        <f t="shared" si="3"/>
        <v/>
      </c>
      <c r="P61" s="139" t="str">
        <f t="shared" si="4"/>
        <v/>
      </c>
      <c r="Q61" s="139" t="str">
        <f t="shared" si="5"/>
        <v/>
      </c>
      <c r="R61" s="143">
        <v>65</v>
      </c>
      <c r="S61" s="139">
        <f>+Incassi!A66</f>
        <v>0</v>
      </c>
      <c r="T61" s="139" t="e">
        <f>HLOOKUP(T$3,Incassi!$B$2:$H$80,$R61,FALSE)</f>
        <v>#N/A</v>
      </c>
      <c r="U61" s="139" t="e">
        <f>HLOOKUP(U$3,Incassi!$B$2:$H$80,$R61,FALSE)</f>
        <v>#N/A</v>
      </c>
      <c r="V61" s="139" t="e">
        <f>HLOOKUP(V$3,Incassi!$B$2:$H$80,$R61,FALSE)</f>
        <v>#N/A</v>
      </c>
      <c r="W61" s="139" t="e">
        <f>HLOOKUP(W$3,Incassi!$B$2:$H$80,$R61,FALSE)</f>
        <v>#N/A</v>
      </c>
      <c r="X61" s="139" t="e">
        <f>HLOOKUP(X$3,Incassi!$B$2:$H$80,$R61,FALSE)</f>
        <v>#N/A</v>
      </c>
      <c r="Y61" s="139" t="e">
        <f>HLOOKUP(Y$3,Incassi!$B$2:$H$80,$R61,FALSE)</f>
        <v>#N/A</v>
      </c>
      <c r="Z61" s="139" t="e">
        <f>HLOOKUP(Z$3,Incassi!$B$2:$H$80,$R61,FALSE)</f>
        <v>#N/A</v>
      </c>
    </row>
    <row r="62" spans="1:26">
      <c r="A62" s="315">
        <v>21.15</v>
      </c>
      <c r="B62" s="137">
        <v>0.88541666666666696</v>
      </c>
      <c r="C62" s="140">
        <f>IF(ISERROR(VLOOKUP($A62,$S$5:$Z$65,C$1,FALSE)*((100%-GRA!$K$2))),0,VLOOKUP($A62,$S$5:$Z$65,C$1,FALSE)*((100%-GRA!$K$2)))</f>
        <v>0</v>
      </c>
      <c r="D62" s="140">
        <f>IF(ISERROR(VLOOKUP($A62,$S$5:$Z$65,D$1,FALSE)*((100%-GRA!$K$2))),0,VLOOKUP($A62,$S$5:$Z$65,D$1,FALSE)*((100%-GRA!$K$2)))</f>
        <v>0</v>
      </c>
      <c r="E62" s="140">
        <f>IF(ISERROR(VLOOKUP($A62,$S$5:$Z$65,E$1,FALSE)*((100%-GRA!$K$2))),0,VLOOKUP($A62,$S$5:$Z$65,E$1,FALSE)*((100%-GRA!$K$2)))</f>
        <v>0</v>
      </c>
      <c r="F62" s="140">
        <f>IF(ISERROR(VLOOKUP($A62,$S$5:$Z$65,F$1,FALSE)*((100%-GRA!$K$2))),0,VLOOKUP($A62,$S$5:$Z$65,F$1,FALSE)*((100%-GRA!$K$2)))</f>
        <v>0</v>
      </c>
      <c r="G62" s="140">
        <f>IF(ISERROR(VLOOKUP($A62,$S$5:$Z$65,G$1,FALSE)*((100%-GRA!$K$2))),0,VLOOKUP($A62,$S$5:$Z$65,G$1,FALSE)*((100%-GRA!$K$2)))</f>
        <v>0</v>
      </c>
      <c r="H62" s="140">
        <f>IF(ISERROR(VLOOKUP($A62,$S$5:$Z$65,H$1,FALSE)*((100%-GRA!$K$2))),0,VLOOKUP($A62,$S$5:$Z$65,H$1,FALSE)*((100%-GRA!$K$2)))</f>
        <v>0</v>
      </c>
      <c r="I62" s="140">
        <f>IF(ISERROR(VLOOKUP($A62,$S$5:$Z$65,I$1,FALSE)*((100%-GRA!$K$2))),0,VLOOKUP($A62,$S$5:$Z$65,I$1,FALSE)*((100%-GRA!$K$2)))</f>
        <v>0</v>
      </c>
      <c r="K62" s="140" t="str">
        <f t="shared" si="6"/>
        <v/>
      </c>
      <c r="L62" s="140" t="str">
        <f t="shared" si="0"/>
        <v/>
      </c>
      <c r="M62" s="140" t="str">
        <f t="shared" si="1"/>
        <v/>
      </c>
      <c r="N62" s="140" t="str">
        <f t="shared" si="2"/>
        <v/>
      </c>
      <c r="O62" s="140" t="str">
        <f t="shared" si="3"/>
        <v/>
      </c>
      <c r="P62" s="140" t="str">
        <f t="shared" si="4"/>
        <v/>
      </c>
      <c r="Q62" s="140" t="str">
        <f t="shared" si="5"/>
        <v/>
      </c>
      <c r="R62" s="143">
        <v>66</v>
      </c>
      <c r="S62" s="140">
        <f>+Incassi!A67</f>
        <v>0</v>
      </c>
      <c r="T62" s="140" t="e">
        <f>HLOOKUP(T$3,Incassi!$B$2:$H$80,$R62,FALSE)</f>
        <v>#N/A</v>
      </c>
      <c r="U62" s="140" t="e">
        <f>HLOOKUP(U$3,Incassi!$B$2:$H$80,$R62,FALSE)</f>
        <v>#N/A</v>
      </c>
      <c r="V62" s="140" t="e">
        <f>HLOOKUP(V$3,Incassi!$B$2:$H$80,$R62,FALSE)</f>
        <v>#N/A</v>
      </c>
      <c r="W62" s="140" t="e">
        <f>HLOOKUP(W$3,Incassi!$B$2:$H$80,$R62,FALSE)</f>
        <v>#N/A</v>
      </c>
      <c r="X62" s="140" t="e">
        <f>HLOOKUP(X$3,Incassi!$B$2:$H$80,$R62,FALSE)</f>
        <v>#N/A</v>
      </c>
      <c r="Y62" s="140" t="e">
        <f>HLOOKUP(Y$3,Incassi!$B$2:$H$80,$R62,FALSE)</f>
        <v>#N/A</v>
      </c>
      <c r="Z62" s="140" t="e">
        <f>HLOOKUP(Z$3,Incassi!$B$2:$H$80,$R62,FALSE)</f>
        <v>#N/A</v>
      </c>
    </row>
    <row r="63" spans="1:26">
      <c r="A63" s="315">
        <v>21.3</v>
      </c>
      <c r="B63" s="136">
        <v>0.89583333333333404</v>
      </c>
      <c r="C63" s="139">
        <f>IF(ISERROR(VLOOKUP($A63,$S$5:$Z$65,C$1,FALSE)*((100%-GRA!$K$2))),0,VLOOKUP($A63,$S$5:$Z$65,C$1,FALSE)*((100%-GRA!$K$2)))</f>
        <v>0</v>
      </c>
      <c r="D63" s="139">
        <f>IF(ISERROR(VLOOKUP($A63,$S$5:$Z$65,D$1,FALSE)*((100%-GRA!$K$2))),0,VLOOKUP($A63,$S$5:$Z$65,D$1,FALSE)*((100%-GRA!$K$2)))</f>
        <v>0</v>
      </c>
      <c r="E63" s="139">
        <f>IF(ISERROR(VLOOKUP($A63,$S$5:$Z$65,E$1,FALSE)*((100%-GRA!$K$2))),0,VLOOKUP($A63,$S$5:$Z$65,E$1,FALSE)*((100%-GRA!$K$2)))</f>
        <v>0</v>
      </c>
      <c r="F63" s="139">
        <f>IF(ISERROR(VLOOKUP($A63,$S$5:$Z$65,F$1,FALSE)*((100%-GRA!$K$2))),0,VLOOKUP($A63,$S$5:$Z$65,F$1,FALSE)*((100%-GRA!$K$2)))</f>
        <v>0</v>
      </c>
      <c r="G63" s="139">
        <f>IF(ISERROR(VLOOKUP($A63,$S$5:$Z$65,G$1,FALSE)*((100%-GRA!$K$2))),0,VLOOKUP($A63,$S$5:$Z$65,G$1,FALSE)*((100%-GRA!$K$2)))</f>
        <v>0</v>
      </c>
      <c r="H63" s="139">
        <f>IF(ISERROR(VLOOKUP($A63,$S$5:$Z$65,H$1,FALSE)*((100%-GRA!$K$2))),0,VLOOKUP($A63,$S$5:$Z$65,H$1,FALSE)*((100%-GRA!$K$2)))</f>
        <v>0</v>
      </c>
      <c r="I63" s="139">
        <f>IF(ISERROR(VLOOKUP($A63,$S$5:$Z$65,I$1,FALSE)*((100%-GRA!$K$2))),0,VLOOKUP($A63,$S$5:$Z$65,I$1,FALSE)*((100%-GRA!$K$2)))</f>
        <v>0</v>
      </c>
      <c r="K63" s="139" t="str">
        <f t="shared" si="6"/>
        <v/>
      </c>
      <c r="L63" s="139" t="str">
        <f t="shared" si="0"/>
        <v/>
      </c>
      <c r="M63" s="139" t="str">
        <f t="shared" si="1"/>
        <v/>
      </c>
      <c r="N63" s="139" t="str">
        <f t="shared" si="2"/>
        <v/>
      </c>
      <c r="O63" s="139" t="str">
        <f t="shared" si="3"/>
        <v/>
      </c>
      <c r="P63" s="139" t="str">
        <f t="shared" si="4"/>
        <v/>
      </c>
      <c r="Q63" s="139" t="str">
        <f t="shared" si="5"/>
        <v/>
      </c>
      <c r="R63" s="143">
        <v>67</v>
      </c>
      <c r="S63" s="139">
        <f>+Incassi!A68</f>
        <v>0</v>
      </c>
      <c r="T63" s="139" t="e">
        <f>HLOOKUP(T$3,Incassi!$B$2:$H$80,$R63,FALSE)</f>
        <v>#N/A</v>
      </c>
      <c r="U63" s="139" t="e">
        <f>HLOOKUP(U$3,Incassi!$B$2:$H$80,$R63,FALSE)</f>
        <v>#N/A</v>
      </c>
      <c r="V63" s="139" t="e">
        <f>HLOOKUP(V$3,Incassi!$B$2:$H$80,$R63,FALSE)</f>
        <v>#N/A</v>
      </c>
      <c r="W63" s="139" t="e">
        <f>HLOOKUP(W$3,Incassi!$B$2:$H$80,$R63,FALSE)</f>
        <v>#N/A</v>
      </c>
      <c r="X63" s="139" t="e">
        <f>HLOOKUP(X$3,Incassi!$B$2:$H$80,$R63,FALSE)</f>
        <v>#N/A</v>
      </c>
      <c r="Y63" s="139" t="e">
        <f>HLOOKUP(Y$3,Incassi!$B$2:$H$80,$R63,FALSE)</f>
        <v>#N/A</v>
      </c>
      <c r="Z63" s="139" t="e">
        <f>HLOOKUP(Z$3,Incassi!$B$2:$H$80,$R63,FALSE)</f>
        <v>#N/A</v>
      </c>
    </row>
    <row r="64" spans="1:26">
      <c r="A64" s="315">
        <v>21.45</v>
      </c>
      <c r="B64" s="137">
        <v>0.906250000000001</v>
      </c>
      <c r="C64" s="140">
        <f>IF(ISERROR(VLOOKUP($A64,$S$5:$Z$65,C$1,FALSE)*((100%-GRA!$K$2))),0,VLOOKUP($A64,$S$5:$Z$65,C$1,FALSE)*((100%-GRA!$K$2)))</f>
        <v>0</v>
      </c>
      <c r="D64" s="140">
        <f>IF(ISERROR(VLOOKUP($A64,$S$5:$Z$65,D$1,FALSE)*((100%-GRA!$K$2))),0,VLOOKUP($A64,$S$5:$Z$65,D$1,FALSE)*((100%-GRA!$K$2)))</f>
        <v>0</v>
      </c>
      <c r="E64" s="140">
        <f>IF(ISERROR(VLOOKUP($A64,$S$5:$Z$65,E$1,FALSE)*((100%-GRA!$K$2))),0,VLOOKUP($A64,$S$5:$Z$65,E$1,FALSE)*((100%-GRA!$K$2)))</f>
        <v>0</v>
      </c>
      <c r="F64" s="140">
        <f>IF(ISERROR(VLOOKUP($A64,$S$5:$Z$65,F$1,FALSE)*((100%-GRA!$K$2))),0,VLOOKUP($A64,$S$5:$Z$65,F$1,FALSE)*((100%-GRA!$K$2)))</f>
        <v>0</v>
      </c>
      <c r="G64" s="140">
        <f>IF(ISERROR(VLOOKUP($A64,$S$5:$Z$65,G$1,FALSE)*((100%-GRA!$K$2))),0,VLOOKUP($A64,$S$5:$Z$65,G$1,FALSE)*((100%-GRA!$K$2)))</f>
        <v>0</v>
      </c>
      <c r="H64" s="140">
        <f>IF(ISERROR(VLOOKUP($A64,$S$5:$Z$65,H$1,FALSE)*((100%-GRA!$K$2))),0,VLOOKUP($A64,$S$5:$Z$65,H$1,FALSE)*((100%-GRA!$K$2)))</f>
        <v>0</v>
      </c>
      <c r="I64" s="140">
        <f>IF(ISERROR(VLOOKUP($A64,$S$5:$Z$65,I$1,FALSE)*((100%-GRA!$K$2))),0,VLOOKUP($A64,$S$5:$Z$65,I$1,FALSE)*((100%-GRA!$K$2)))</f>
        <v>0</v>
      </c>
      <c r="K64" s="140" t="str">
        <f t="shared" si="6"/>
        <v/>
      </c>
      <c r="L64" s="140" t="str">
        <f t="shared" si="0"/>
        <v/>
      </c>
      <c r="M64" s="140" t="str">
        <f t="shared" si="1"/>
        <v/>
      </c>
      <c r="N64" s="140" t="str">
        <f t="shared" si="2"/>
        <v/>
      </c>
      <c r="O64" s="140" t="str">
        <f t="shared" si="3"/>
        <v/>
      </c>
      <c r="P64" s="140" t="str">
        <f t="shared" si="4"/>
        <v/>
      </c>
      <c r="Q64" s="140" t="str">
        <f t="shared" si="5"/>
        <v/>
      </c>
      <c r="R64" s="143">
        <v>68</v>
      </c>
      <c r="S64" s="140">
        <f>+Incassi!A69</f>
        <v>0</v>
      </c>
      <c r="T64" s="140" t="e">
        <f>HLOOKUP(T$3,Incassi!$B$2:$H$80,$R64,FALSE)</f>
        <v>#N/A</v>
      </c>
      <c r="U64" s="140" t="e">
        <f>HLOOKUP(U$3,Incassi!$B$2:$H$80,$R64,FALSE)</f>
        <v>#N/A</v>
      </c>
      <c r="V64" s="140" t="e">
        <f>HLOOKUP(V$3,Incassi!$B$2:$H$80,$R64,FALSE)</f>
        <v>#N/A</v>
      </c>
      <c r="W64" s="140" t="e">
        <f>HLOOKUP(W$3,Incassi!$B$2:$H$80,$R64,FALSE)</f>
        <v>#N/A</v>
      </c>
      <c r="X64" s="140" t="e">
        <f>HLOOKUP(X$3,Incassi!$B$2:$H$80,$R64,FALSE)</f>
        <v>#N/A</v>
      </c>
      <c r="Y64" s="140" t="e">
        <f>HLOOKUP(Y$3,Incassi!$B$2:$H$80,$R64,FALSE)</f>
        <v>#N/A</v>
      </c>
      <c r="Z64" s="140" t="e">
        <f>HLOOKUP(Z$3,Incassi!$B$2:$H$80,$R64,FALSE)</f>
        <v>#N/A</v>
      </c>
    </row>
    <row r="65" spans="1:26">
      <c r="A65" s="315">
        <v>22</v>
      </c>
      <c r="B65" s="136">
        <v>0.91666666666666796</v>
      </c>
      <c r="C65" s="139">
        <f>IF(ISERROR(VLOOKUP($A65,$S$5:$Z$65,C$1,FALSE)*((100%-GRA!$K$2))),0,VLOOKUP($A65,$S$5:$Z$65,C$1,FALSE)*((100%-GRA!$K$2)))</f>
        <v>0</v>
      </c>
      <c r="D65" s="139">
        <f>IF(ISERROR(VLOOKUP($A65,$S$5:$Z$65,D$1,FALSE)*((100%-GRA!$K$2))),0,VLOOKUP($A65,$S$5:$Z$65,D$1,FALSE)*((100%-GRA!$K$2)))</f>
        <v>0</v>
      </c>
      <c r="E65" s="139">
        <f>IF(ISERROR(VLOOKUP($A65,$S$5:$Z$65,E$1,FALSE)*((100%-GRA!$K$2))),0,VLOOKUP($A65,$S$5:$Z$65,E$1,FALSE)*((100%-GRA!$K$2)))</f>
        <v>0</v>
      </c>
      <c r="F65" s="139">
        <f>IF(ISERROR(VLOOKUP($A65,$S$5:$Z$65,F$1,FALSE)*((100%-GRA!$K$2))),0,VLOOKUP($A65,$S$5:$Z$65,F$1,FALSE)*((100%-GRA!$K$2)))</f>
        <v>0</v>
      </c>
      <c r="G65" s="139">
        <f>IF(ISERROR(VLOOKUP($A65,$S$5:$Z$65,G$1,FALSE)*((100%-GRA!$K$2))),0,VLOOKUP($A65,$S$5:$Z$65,G$1,FALSE)*((100%-GRA!$K$2)))</f>
        <v>0</v>
      </c>
      <c r="H65" s="139">
        <f>IF(ISERROR(VLOOKUP($A65,$S$5:$Z$65,H$1,FALSE)*((100%-GRA!$K$2))),0,VLOOKUP($A65,$S$5:$Z$65,H$1,FALSE)*((100%-GRA!$K$2)))</f>
        <v>0</v>
      </c>
      <c r="I65" s="139">
        <f>IF(ISERROR(VLOOKUP($A65,$S$5:$Z$65,I$1,FALSE)*((100%-GRA!$K$2))),0,VLOOKUP($A65,$S$5:$Z$65,I$1,FALSE)*((100%-GRA!$K$2)))</f>
        <v>0</v>
      </c>
      <c r="K65" s="139" t="str">
        <f t="shared" si="6"/>
        <v/>
      </c>
      <c r="L65" s="139" t="str">
        <f t="shared" si="0"/>
        <v/>
      </c>
      <c r="M65" s="139" t="str">
        <f t="shared" si="1"/>
        <v/>
      </c>
      <c r="N65" s="139" t="str">
        <f t="shared" si="2"/>
        <v/>
      </c>
      <c r="O65" s="139" t="str">
        <f t="shared" si="3"/>
        <v/>
      </c>
      <c r="P65" s="139" t="str">
        <f t="shared" si="4"/>
        <v/>
      </c>
      <c r="Q65" s="139" t="str">
        <f t="shared" si="5"/>
        <v/>
      </c>
      <c r="R65" s="143">
        <v>69</v>
      </c>
      <c r="S65" s="139">
        <f>+Incassi!A70</f>
        <v>0</v>
      </c>
      <c r="T65" s="139" t="e">
        <f>HLOOKUP(T$3,Incassi!$B$2:$H$80,$R65,FALSE)</f>
        <v>#N/A</v>
      </c>
      <c r="U65" s="139" t="e">
        <f>HLOOKUP(U$3,Incassi!$B$2:$H$80,$R65,FALSE)</f>
        <v>#N/A</v>
      </c>
      <c r="V65" s="139" t="e">
        <f>HLOOKUP(V$3,Incassi!$B$2:$H$80,$R65,FALSE)</f>
        <v>#N/A</v>
      </c>
      <c r="W65" s="139" t="e">
        <f>HLOOKUP(W$3,Incassi!$B$2:$H$80,$R65,FALSE)</f>
        <v>#N/A</v>
      </c>
      <c r="X65" s="139" t="e">
        <f>HLOOKUP(X$3,Incassi!$B$2:$H$80,$R65,FALSE)</f>
        <v>#N/A</v>
      </c>
      <c r="Y65" s="139" t="e">
        <f>HLOOKUP(Y$3,Incassi!$B$2:$H$80,$R65,FALSE)</f>
        <v>#N/A</v>
      </c>
      <c r="Z65" s="139" t="e">
        <f>HLOOKUP(Z$3,Incassi!$B$2:$H$80,$R65,FALSE)</f>
        <v>#N/A</v>
      </c>
    </row>
    <row r="66" spans="1:26" ht="4.5" customHeight="1">
      <c r="A66" s="315"/>
      <c r="B66" s="138"/>
      <c r="C66" s="141"/>
      <c r="D66" s="141"/>
      <c r="E66" s="141"/>
      <c r="F66" s="141"/>
      <c r="G66" s="141"/>
      <c r="H66" s="141"/>
      <c r="I66" s="141"/>
      <c r="K66" s="141"/>
      <c r="L66" s="141"/>
      <c r="M66" s="141"/>
      <c r="N66" s="141"/>
      <c r="O66" s="141"/>
      <c r="P66" s="141"/>
      <c r="Q66" s="141"/>
      <c r="S66" s="141"/>
      <c r="T66" s="141"/>
      <c r="U66" s="141"/>
      <c r="V66" s="141"/>
      <c r="W66" s="141"/>
      <c r="X66" s="141"/>
      <c r="Y66" s="141"/>
      <c r="Z66" s="141"/>
    </row>
    <row r="67" spans="1:26">
      <c r="A67" s="315"/>
      <c r="B67" s="147">
        <f>SUM(C67:I67)</f>
        <v>0</v>
      </c>
      <c r="C67" s="142">
        <f t="shared" ref="C67:I67" si="7">SUM(C5:C65)</f>
        <v>0</v>
      </c>
      <c r="D67" s="142">
        <f t="shared" si="7"/>
        <v>0</v>
      </c>
      <c r="E67" s="142">
        <f t="shared" si="7"/>
        <v>0</v>
      </c>
      <c r="F67" s="142">
        <f t="shared" si="7"/>
        <v>0</v>
      </c>
      <c r="G67" s="142">
        <f t="shared" si="7"/>
        <v>0</v>
      </c>
      <c r="H67" s="142">
        <f t="shared" si="7"/>
        <v>0</v>
      </c>
      <c r="I67" s="142">
        <f t="shared" si="7"/>
        <v>0</v>
      </c>
      <c r="K67" s="142">
        <f t="shared" ref="K67:Q67" si="8">SUM(K5:K65)</f>
        <v>0</v>
      </c>
      <c r="L67" s="142">
        <f t="shared" si="8"/>
        <v>0</v>
      </c>
      <c r="M67" s="142">
        <f t="shared" si="8"/>
        <v>0</v>
      </c>
      <c r="N67" s="142">
        <f t="shared" si="8"/>
        <v>0</v>
      </c>
      <c r="O67" s="142">
        <f t="shared" si="8"/>
        <v>0</v>
      </c>
      <c r="P67" s="142">
        <f t="shared" si="8"/>
        <v>0</v>
      </c>
      <c r="Q67" s="142">
        <f t="shared" si="8"/>
        <v>0</v>
      </c>
      <c r="S67" s="142"/>
      <c r="T67" s="142" t="e">
        <f t="shared" ref="T67:Z67" si="9">SUM(T5:T65)</f>
        <v>#N/A</v>
      </c>
      <c r="U67" s="142" t="e">
        <f t="shared" si="9"/>
        <v>#N/A</v>
      </c>
      <c r="V67" s="142" t="e">
        <f t="shared" si="9"/>
        <v>#N/A</v>
      </c>
      <c r="W67" s="142" t="e">
        <f t="shared" si="9"/>
        <v>#N/A</v>
      </c>
      <c r="X67" s="142" t="e">
        <f t="shared" si="9"/>
        <v>#N/A</v>
      </c>
      <c r="Y67" s="142" t="e">
        <f t="shared" si="9"/>
        <v>#N/A</v>
      </c>
      <c r="Z67" s="142" t="e">
        <f t="shared" si="9"/>
        <v>#N/A</v>
      </c>
    </row>
    <row r="68" spans="1:26" ht="6" customHeight="1">
      <c r="A68" s="315"/>
      <c r="B68" s="138"/>
      <c r="C68" s="141"/>
      <c r="D68" s="141"/>
      <c r="E68" s="141"/>
      <c r="F68" s="141"/>
      <c r="G68" s="141"/>
      <c r="H68" s="141"/>
      <c r="I68" s="141"/>
      <c r="K68" s="141"/>
      <c r="L68" s="141"/>
      <c r="M68" s="141"/>
      <c r="N68" s="141"/>
      <c r="O68" s="141"/>
      <c r="P68" s="141"/>
      <c r="Q68" s="141"/>
      <c r="S68" s="141"/>
      <c r="T68" s="141"/>
      <c r="U68" s="141"/>
      <c r="V68" s="141"/>
      <c r="W68" s="141"/>
      <c r="X68" s="141"/>
      <c r="Y68" s="141"/>
      <c r="Z68" s="141"/>
    </row>
    <row r="69" spans="1:26">
      <c r="A69" s="315"/>
      <c r="B69" s="135" t="s">
        <v>25</v>
      </c>
      <c r="C69" s="142" t="e">
        <f t="shared" ref="C69:I69" si="10">C67/$B$67*100</f>
        <v>#DIV/0!</v>
      </c>
      <c r="D69" s="142" t="e">
        <f t="shared" si="10"/>
        <v>#DIV/0!</v>
      </c>
      <c r="E69" s="142" t="e">
        <f t="shared" si="10"/>
        <v>#DIV/0!</v>
      </c>
      <c r="F69" s="142" t="e">
        <f t="shared" si="10"/>
        <v>#DIV/0!</v>
      </c>
      <c r="G69" s="142" t="e">
        <f t="shared" si="10"/>
        <v>#DIV/0!</v>
      </c>
      <c r="H69" s="142" t="e">
        <f t="shared" si="10"/>
        <v>#DIV/0!</v>
      </c>
      <c r="I69" s="142" t="e">
        <f t="shared" si="10"/>
        <v>#DIV/0!</v>
      </c>
      <c r="K69" s="142" t="e">
        <f t="shared" ref="K69:Q69" si="11">K67/$B$67*100</f>
        <v>#DIV/0!</v>
      </c>
      <c r="L69" s="142" t="e">
        <f t="shared" si="11"/>
        <v>#DIV/0!</v>
      </c>
      <c r="M69" s="142" t="e">
        <f t="shared" si="11"/>
        <v>#DIV/0!</v>
      </c>
      <c r="N69" s="142" t="e">
        <f t="shared" si="11"/>
        <v>#DIV/0!</v>
      </c>
      <c r="O69" s="142" t="e">
        <f t="shared" si="11"/>
        <v>#DIV/0!</v>
      </c>
      <c r="P69" s="142" t="e">
        <f t="shared" si="11"/>
        <v>#DIV/0!</v>
      </c>
      <c r="Q69" s="142" t="e">
        <f t="shared" si="11"/>
        <v>#DIV/0!</v>
      </c>
      <c r="S69" s="142"/>
      <c r="T69" s="142" t="e">
        <f t="shared" ref="T69:Z69" si="12">T67/$B$67*100</f>
        <v>#N/A</v>
      </c>
      <c r="U69" s="142" t="e">
        <f t="shared" si="12"/>
        <v>#N/A</v>
      </c>
      <c r="V69" s="142" t="e">
        <f t="shared" si="12"/>
        <v>#N/A</v>
      </c>
      <c r="W69" s="142" t="e">
        <f t="shared" si="12"/>
        <v>#N/A</v>
      </c>
      <c r="X69" s="142" t="e">
        <f t="shared" si="12"/>
        <v>#N/A</v>
      </c>
      <c r="Y69" s="142" t="e">
        <f t="shared" si="12"/>
        <v>#N/A</v>
      </c>
      <c r="Z69" s="142" t="e">
        <f t="shared" si="12"/>
        <v>#N/A</v>
      </c>
    </row>
    <row r="71" spans="1:26">
      <c r="C71" s="281" t="e">
        <f t="shared" ref="C71:I71" si="13">100-C67/T67*100</f>
        <v>#N/A</v>
      </c>
      <c r="D71" s="281" t="e">
        <f t="shared" si="13"/>
        <v>#N/A</v>
      </c>
      <c r="E71" s="281" t="e">
        <f t="shared" si="13"/>
        <v>#N/A</v>
      </c>
      <c r="F71" s="281" t="e">
        <f t="shared" si="13"/>
        <v>#N/A</v>
      </c>
      <c r="G71" s="281" t="e">
        <f t="shared" si="13"/>
        <v>#N/A</v>
      </c>
      <c r="H71" s="281" t="e">
        <f t="shared" si="13"/>
        <v>#N/A</v>
      </c>
      <c r="I71" s="281" t="e">
        <f t="shared" si="13"/>
        <v>#N/A</v>
      </c>
    </row>
    <row r="72" spans="1:26">
      <c r="C72" s="282"/>
    </row>
    <row r="75" spans="1:26">
      <c r="C75" s="283"/>
    </row>
  </sheetData>
  <phoneticPr fontId="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0"/>
  <dimension ref="A1:CS703"/>
  <sheetViews>
    <sheetView workbookViewId="0">
      <pane ySplit="9" topLeftCell="A10" activePane="bottomLeft" state="frozen"/>
      <selection pane="bottomLeft" activeCell="B135" sqref="B11:B135"/>
    </sheetView>
  </sheetViews>
  <sheetFormatPr defaultColWidth="9.140625" defaultRowHeight="12.75"/>
  <cols>
    <col min="1" max="1" width="24.140625" style="143" customWidth="1"/>
    <col min="2" max="2" width="8.7109375" style="143" bestFit="1" customWidth="1"/>
    <col min="3" max="8" width="12" style="143" customWidth="1"/>
    <col min="9" max="9" width="7.42578125" style="143" customWidth="1"/>
    <col min="10" max="16" width="10.140625" style="143" bestFit="1" customWidth="1"/>
    <col min="17" max="17" width="9" style="143" customWidth="1"/>
    <col min="18" max="24" width="10.140625" style="143" bestFit="1" customWidth="1"/>
    <col min="25" max="25" width="9" style="143" customWidth="1"/>
    <col min="26" max="32" width="10.140625" style="143" bestFit="1" customWidth="1"/>
    <col min="33" max="33" width="9" style="143" customWidth="1"/>
    <col min="34" max="40" width="10.140625" style="143" bestFit="1" customWidth="1"/>
    <col min="41" max="41" width="9" style="143" customWidth="1"/>
    <col min="42" max="48" width="10.140625" style="143" bestFit="1" customWidth="1"/>
    <col min="49" max="49" width="9" style="143" customWidth="1"/>
    <col min="50" max="56" width="10.140625" style="143" bestFit="1" customWidth="1"/>
    <col min="57" max="57" width="9" style="143" customWidth="1"/>
    <col min="58" max="64" width="10.140625" style="143" bestFit="1" customWidth="1"/>
    <col min="65" max="65" width="9" style="143" customWidth="1"/>
    <col min="66" max="72" width="10.140625" style="143" bestFit="1" customWidth="1"/>
    <col min="73" max="73" width="9" style="143" customWidth="1"/>
    <col min="74" max="80" width="10.140625" style="143" bestFit="1" customWidth="1"/>
    <col min="81" max="81" width="9" style="143" customWidth="1"/>
    <col min="82" max="88" width="10.140625" style="143" bestFit="1" customWidth="1"/>
    <col min="89" max="89" width="9" style="143" customWidth="1"/>
    <col min="90" max="96" width="10.140625" style="143" bestFit="1" customWidth="1"/>
    <col min="97" max="97" width="9" style="143" customWidth="1"/>
    <col min="98" max="16384" width="9.140625" style="143"/>
  </cols>
  <sheetData>
    <row r="1" spans="1:97" ht="3.75" customHeight="1">
      <c r="L1" s="200"/>
    </row>
    <row r="2" spans="1:97">
      <c r="B2" s="145"/>
      <c r="C2" s="145"/>
      <c r="D2" s="145"/>
      <c r="E2" s="145"/>
      <c r="F2" s="145"/>
      <c r="G2" s="145"/>
      <c r="H2" s="145"/>
      <c r="L2" s="200"/>
    </row>
    <row r="3" spans="1:97" ht="3.75" customHeight="1">
      <c r="L3" s="200"/>
    </row>
    <row r="4" spans="1:97">
      <c r="A4"/>
      <c r="B4"/>
      <c r="C4"/>
      <c r="D4"/>
      <c r="E4"/>
      <c r="F4"/>
      <c r="G4"/>
      <c r="H4"/>
      <c r="L4" s="200"/>
    </row>
    <row r="5" spans="1:97">
      <c r="A5"/>
      <c r="B5"/>
      <c r="C5"/>
      <c r="D5"/>
      <c r="E5"/>
      <c r="F5"/>
      <c r="G5"/>
      <c r="H5"/>
      <c r="L5" s="200"/>
    </row>
    <row r="6" spans="1:97">
      <c r="A6"/>
      <c r="B6"/>
      <c r="C6"/>
      <c r="D6"/>
      <c r="E6"/>
      <c r="F6"/>
      <c r="G6"/>
      <c r="H6"/>
      <c r="L6" s="200"/>
    </row>
    <row r="7" spans="1:97" ht="3.75" customHeight="1">
      <c r="A7"/>
      <c r="B7"/>
      <c r="C7"/>
      <c r="D7"/>
      <c r="E7"/>
      <c r="F7"/>
      <c r="G7"/>
      <c r="H7"/>
      <c r="L7" s="200"/>
    </row>
    <row r="8" spans="1:97">
      <c r="A8"/>
      <c r="B8"/>
      <c r="C8"/>
      <c r="D8"/>
      <c r="E8"/>
      <c r="F8"/>
      <c r="G8"/>
      <c r="H8"/>
      <c r="I8"/>
      <c r="J8"/>
      <c r="K8"/>
      <c r="L8" s="201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</row>
    <row r="9" spans="1:97">
      <c r="A9"/>
      <c r="B9"/>
      <c r="C9"/>
      <c r="D9"/>
      <c r="E9"/>
      <c r="F9"/>
      <c r="G9"/>
      <c r="H9"/>
      <c r="I9"/>
      <c r="J9"/>
      <c r="K9"/>
      <c r="L9" s="201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</row>
    <row r="10" spans="1:97">
      <c r="A10"/>
      <c r="B10"/>
      <c r="C10"/>
      <c r="D10"/>
      <c r="E10"/>
      <c r="F10"/>
      <c r="G10"/>
      <c r="H10"/>
      <c r="I10"/>
      <c r="J10"/>
      <c r="K10"/>
      <c r="L10" s="201"/>
      <c r="M10"/>
      <c r="N10"/>
      <c r="O10" s="201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</row>
    <row r="11" spans="1:97">
      <c r="A11"/>
      <c r="B11" t="s">
        <v>109</v>
      </c>
      <c r="C11"/>
      <c r="D11"/>
      <c r="E11"/>
      <c r="F11"/>
      <c r="G11"/>
      <c r="H11"/>
      <c r="I11"/>
      <c r="J11"/>
      <c r="K11"/>
      <c r="L11" s="201"/>
      <c r="M11" s="201"/>
      <c r="N11"/>
      <c r="O11" s="20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</row>
    <row r="12" spans="1:97">
      <c r="A12"/>
      <c r="B12" t="s">
        <v>110</v>
      </c>
      <c r="C12"/>
      <c r="D12"/>
      <c r="E12"/>
      <c r="F12"/>
      <c r="G12"/>
      <c r="H12"/>
      <c r="I12"/>
      <c r="J12"/>
      <c r="K12"/>
      <c r="L12" s="201"/>
      <c r="M12" s="201"/>
      <c r="N12"/>
      <c r="O12" s="201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</row>
    <row r="13" spans="1:97">
      <c r="A13"/>
      <c r="B13" t="s">
        <v>111</v>
      </c>
      <c r="C13"/>
      <c r="D13"/>
      <c r="E13"/>
      <c r="F13"/>
      <c r="G13"/>
      <c r="H13"/>
      <c r="I13"/>
      <c r="J13"/>
      <c r="K13"/>
      <c r="L13" s="201"/>
      <c r="M13" s="201"/>
      <c r="N13"/>
      <c r="O13" s="201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</row>
    <row r="14" spans="1:97">
      <c r="A14"/>
      <c r="B14" t="s">
        <v>112</v>
      </c>
      <c r="C14"/>
      <c r="D14"/>
      <c r="E14"/>
      <c r="F14"/>
      <c r="G14"/>
      <c r="H14"/>
      <c r="I14"/>
      <c r="J14"/>
      <c r="K14"/>
      <c r="L14"/>
      <c r="M14" s="201"/>
      <c r="N14"/>
      <c r="O14" s="201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</row>
    <row r="15" spans="1:97">
      <c r="A15"/>
      <c r="B15" t="s">
        <v>113</v>
      </c>
      <c r="C15"/>
      <c r="D15"/>
      <c r="E15"/>
      <c r="F15"/>
      <c r="G15"/>
      <c r="H15"/>
      <c r="I15"/>
      <c r="J15"/>
      <c r="K15"/>
      <c r="L15"/>
      <c r="M15" s="201"/>
      <c r="N15"/>
      <c r="O15" s="201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</row>
    <row r="16" spans="1:97">
      <c r="A16"/>
      <c r="B16" t="s">
        <v>114</v>
      </c>
      <c r="C16"/>
      <c r="D16"/>
      <c r="E16"/>
      <c r="F16"/>
      <c r="G16"/>
      <c r="H16"/>
      <c r="I16"/>
      <c r="J16"/>
      <c r="K16"/>
      <c r="L16"/>
      <c r="M16"/>
      <c r="N16"/>
      <c r="O16" s="201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</row>
    <row r="17" spans="1:97">
      <c r="A17"/>
      <c r="B17" t="s">
        <v>125</v>
      </c>
      <c r="C17"/>
      <c r="D17"/>
      <c r="E17"/>
      <c r="F17"/>
      <c r="G17"/>
      <c r="H17"/>
      <c r="I17"/>
      <c r="J17"/>
      <c r="K17"/>
      <c r="L17"/>
      <c r="M17"/>
      <c r="N17"/>
      <c r="O17" s="201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</row>
    <row r="18" spans="1:97">
      <c r="A18"/>
      <c r="B18" t="s">
        <v>126</v>
      </c>
      <c r="C18"/>
      <c r="D18"/>
      <c r="E18"/>
      <c r="F18"/>
      <c r="G18"/>
      <c r="H18"/>
      <c r="I18"/>
      <c r="J18"/>
      <c r="K18"/>
      <c r="L18"/>
      <c r="M18"/>
      <c r="N18"/>
      <c r="O18" s="201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</row>
    <row r="19" spans="1:97">
      <c r="A19"/>
      <c r="B19" t="s">
        <v>127</v>
      </c>
      <c r="C19"/>
      <c r="D19"/>
      <c r="E19"/>
      <c r="F19"/>
      <c r="G19"/>
      <c r="H19"/>
      <c r="I19"/>
      <c r="J19"/>
      <c r="K19"/>
      <c r="L19"/>
      <c r="M19"/>
      <c r="N19"/>
      <c r="O19" s="201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</row>
    <row r="20" spans="1:97">
      <c r="A20"/>
      <c r="B20" t="s">
        <v>128</v>
      </c>
      <c r="C20"/>
      <c r="D20"/>
      <c r="E20"/>
      <c r="F20"/>
      <c r="G20"/>
      <c r="H20"/>
      <c r="I20"/>
      <c r="J20"/>
      <c r="K20"/>
      <c r="L20"/>
      <c r="M20"/>
      <c r="N20"/>
      <c r="O20" s="201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</row>
    <row r="21" spans="1:97">
      <c r="A21"/>
      <c r="B21" t="s">
        <v>129</v>
      </c>
      <c r="C21"/>
      <c r="D21"/>
      <c r="E21"/>
      <c r="F21"/>
      <c r="G21"/>
      <c r="H21"/>
      <c r="I21"/>
      <c r="J21"/>
      <c r="K21"/>
      <c r="L21"/>
      <c r="M21"/>
      <c r="N21"/>
      <c r="O21" s="20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</row>
    <row r="22" spans="1:97">
      <c r="A22"/>
      <c r="B22" t="s">
        <v>130</v>
      </c>
      <c r="C22"/>
      <c r="D22"/>
      <c r="E22"/>
      <c r="F22"/>
      <c r="G22"/>
      <c r="H22"/>
      <c r="I22"/>
      <c r="J22"/>
      <c r="K22"/>
      <c r="L22"/>
      <c r="M22"/>
      <c r="N22"/>
      <c r="O22" s="201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</row>
    <row r="23" spans="1:97">
      <c r="A23"/>
      <c r="B23" t="s">
        <v>131</v>
      </c>
      <c r="C23"/>
      <c r="D23"/>
      <c r="E23"/>
      <c r="F23"/>
      <c r="G23"/>
      <c r="H23"/>
      <c r="I23"/>
      <c r="J23"/>
      <c r="K23"/>
      <c r="L23"/>
      <c r="M23"/>
      <c r="N23"/>
      <c r="O23" s="201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</row>
    <row r="24" spans="1:97">
      <c r="A24"/>
      <c r="B24" t="s">
        <v>115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</row>
    <row r="25" spans="1:97">
      <c r="A25"/>
      <c r="B25" t="s">
        <v>116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</row>
    <row r="26" spans="1:97">
      <c r="A26"/>
      <c r="B26" t="s">
        <v>117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</row>
    <row r="27" spans="1:97">
      <c r="A27"/>
      <c r="B27" t="s">
        <v>118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</row>
    <row r="28" spans="1:97">
      <c r="A28"/>
      <c r="B28" t="s">
        <v>119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</row>
    <row r="29" spans="1:97">
      <c r="A29"/>
      <c r="B29" t="s">
        <v>120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</row>
    <row r="30" spans="1:97">
      <c r="A30"/>
      <c r="B30" t="s">
        <v>121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</row>
    <row r="31" spans="1:97">
      <c r="A31"/>
      <c r="B31" t="s">
        <v>122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</row>
    <row r="32" spans="1:97">
      <c r="A32"/>
      <c r="B32" t="s">
        <v>167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</row>
    <row r="33" spans="1:97">
      <c r="A33"/>
      <c r="B33" t="s">
        <v>132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</row>
    <row r="34" spans="1:97">
      <c r="A34"/>
      <c r="B34" t="s">
        <v>133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</row>
    <row r="35" spans="1:97">
      <c r="A35"/>
      <c r="B35" t="s">
        <v>98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</row>
    <row r="36" spans="1:97">
      <c r="A36"/>
      <c r="B36" t="s">
        <v>85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</row>
    <row r="37" spans="1:97">
      <c r="A37"/>
      <c r="B37" t="s">
        <v>86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</row>
    <row r="38" spans="1:97">
      <c r="A38"/>
      <c r="B38" t="s">
        <v>87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</row>
    <row r="39" spans="1:97">
      <c r="A39"/>
      <c r="B39" t="s">
        <v>99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</row>
    <row r="40" spans="1:97">
      <c r="A40"/>
      <c r="B40" t="s">
        <v>88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</row>
    <row r="41" spans="1:97">
      <c r="A41"/>
      <c r="B41" t="s">
        <v>89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</row>
    <row r="42" spans="1:97">
      <c r="A42"/>
      <c r="B42" t="s">
        <v>90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</row>
    <row r="43" spans="1:97">
      <c r="A43"/>
      <c r="B43" t="s">
        <v>100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</row>
    <row r="44" spans="1:97">
      <c r="A44"/>
      <c r="B44" t="s">
        <v>134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</row>
    <row r="45" spans="1:97">
      <c r="A45"/>
      <c r="B45" t="s">
        <v>101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</row>
    <row r="46" spans="1:97">
      <c r="A46"/>
      <c r="B46" t="s">
        <v>102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</row>
    <row r="47" spans="1:97">
      <c r="A47"/>
      <c r="B47" t="s">
        <v>176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</row>
    <row r="48" spans="1:97">
      <c r="A48"/>
      <c r="B48" t="s">
        <v>135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</row>
    <row r="49" spans="1:97">
      <c r="A49"/>
      <c r="B49" t="s">
        <v>91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</row>
    <row r="50" spans="1:97">
      <c r="A50"/>
      <c r="B50" t="s">
        <v>168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</row>
    <row r="51" spans="1:97">
      <c r="A51"/>
      <c r="B51" t="s">
        <v>156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</row>
    <row r="52" spans="1:97">
      <c r="A52"/>
      <c r="B52" t="s">
        <v>157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</row>
    <row r="53" spans="1:97">
      <c r="A53"/>
      <c r="B53" t="s">
        <v>194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</row>
    <row r="54" spans="1:97">
      <c r="A54"/>
      <c r="B54" t="s">
        <v>169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</row>
    <row r="55" spans="1:97">
      <c r="A55"/>
      <c r="B55" t="s">
        <v>170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</row>
    <row r="56" spans="1:97">
      <c r="A56"/>
      <c r="B56" t="s">
        <v>103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</row>
    <row r="57" spans="1:97">
      <c r="A57"/>
      <c r="B57" t="s">
        <v>195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</row>
    <row r="58" spans="1:97">
      <c r="A58"/>
      <c r="B58" t="s">
        <v>196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</row>
    <row r="59" spans="1:97">
      <c r="A59"/>
      <c r="B59" t="s">
        <v>92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</row>
    <row r="60" spans="1:97">
      <c r="A60"/>
      <c r="B60" t="s">
        <v>93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</row>
    <row r="61" spans="1:97">
      <c r="A61"/>
      <c r="B61" t="s">
        <v>197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</row>
    <row r="62" spans="1:97">
      <c r="A62"/>
      <c r="B62" t="s">
        <v>171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</row>
    <row r="63" spans="1:97">
      <c r="A63"/>
      <c r="B63" t="s">
        <v>198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</row>
    <row r="64" spans="1:97">
      <c r="A64"/>
      <c r="B64" t="s">
        <v>172</v>
      </c>
      <c r="C64"/>
      <c r="D64"/>
      <c r="E64"/>
      <c r="F64"/>
      <c r="G64"/>
      <c r="H64"/>
      <c r="I64"/>
    </row>
    <row r="65" spans="1:9">
      <c r="A65"/>
      <c r="B65" t="s">
        <v>199</v>
      </c>
      <c r="C65"/>
      <c r="D65"/>
      <c r="E65"/>
      <c r="F65"/>
      <c r="G65"/>
      <c r="H65"/>
      <c r="I65"/>
    </row>
    <row r="66" spans="1:9">
      <c r="A66"/>
      <c r="B66" t="s">
        <v>182</v>
      </c>
      <c r="C66"/>
      <c r="D66"/>
      <c r="E66"/>
      <c r="F66"/>
      <c r="G66"/>
      <c r="H66"/>
      <c r="I66"/>
    </row>
    <row r="67" spans="1:9">
      <c r="A67"/>
      <c r="B67" t="s">
        <v>136</v>
      </c>
      <c r="C67"/>
      <c r="D67"/>
      <c r="E67"/>
      <c r="F67"/>
      <c r="G67"/>
      <c r="H67"/>
      <c r="I67"/>
    </row>
    <row r="68" spans="1:9">
      <c r="A68"/>
      <c r="B68" t="s">
        <v>123</v>
      </c>
      <c r="C68"/>
      <c r="D68"/>
      <c r="E68"/>
      <c r="F68"/>
      <c r="G68"/>
      <c r="H68"/>
      <c r="I68"/>
    </row>
    <row r="69" spans="1:9">
      <c r="A69"/>
      <c r="B69" t="s">
        <v>94</v>
      </c>
      <c r="C69"/>
      <c r="D69"/>
      <c r="E69"/>
      <c r="F69"/>
      <c r="G69"/>
      <c r="H69"/>
      <c r="I69"/>
    </row>
    <row r="70" spans="1:9">
      <c r="A70"/>
      <c r="B70" t="s">
        <v>173</v>
      </c>
      <c r="C70"/>
      <c r="D70"/>
      <c r="E70"/>
      <c r="F70"/>
      <c r="G70"/>
      <c r="H70"/>
      <c r="I70"/>
    </row>
    <row r="71" spans="1:9">
      <c r="A71"/>
      <c r="B71" t="s">
        <v>124</v>
      </c>
      <c r="C71"/>
      <c r="D71"/>
      <c r="E71"/>
      <c r="F71"/>
      <c r="G71"/>
      <c r="H71"/>
      <c r="I71"/>
    </row>
    <row r="72" spans="1:9">
      <c r="A72"/>
      <c r="B72" t="s">
        <v>144</v>
      </c>
      <c r="C72"/>
      <c r="D72"/>
      <c r="E72"/>
      <c r="F72"/>
      <c r="G72"/>
      <c r="H72"/>
      <c r="I72"/>
    </row>
    <row r="73" spans="1:9">
      <c r="A73"/>
      <c r="B73" t="s">
        <v>104</v>
      </c>
      <c r="C73"/>
      <c r="D73"/>
      <c r="E73"/>
      <c r="F73"/>
      <c r="G73"/>
      <c r="H73"/>
      <c r="I73"/>
    </row>
    <row r="74" spans="1:9">
      <c r="A74"/>
      <c r="B74" t="s">
        <v>177</v>
      </c>
      <c r="C74"/>
      <c r="D74"/>
      <c r="E74"/>
      <c r="F74"/>
      <c r="G74"/>
      <c r="H74"/>
      <c r="I74"/>
    </row>
    <row r="75" spans="1:9">
      <c r="A75"/>
      <c r="B75" t="s">
        <v>204</v>
      </c>
      <c r="C75"/>
      <c r="D75"/>
      <c r="E75"/>
      <c r="F75"/>
      <c r="G75"/>
      <c r="H75"/>
      <c r="I75"/>
    </row>
    <row r="76" spans="1:9">
      <c r="A76"/>
      <c r="B76" t="s">
        <v>205</v>
      </c>
      <c r="C76"/>
      <c r="D76"/>
      <c r="E76"/>
      <c r="F76"/>
      <c r="G76"/>
      <c r="H76"/>
      <c r="I76"/>
    </row>
    <row r="77" spans="1:9">
      <c r="A77"/>
      <c r="B77" t="s">
        <v>183</v>
      </c>
      <c r="C77"/>
      <c r="D77"/>
      <c r="E77"/>
      <c r="F77"/>
      <c r="G77"/>
      <c r="H77"/>
      <c r="I77"/>
    </row>
    <row r="78" spans="1:9">
      <c r="A78"/>
      <c r="B78" t="s">
        <v>145</v>
      </c>
      <c r="C78"/>
      <c r="D78"/>
      <c r="E78"/>
      <c r="F78"/>
      <c r="G78"/>
      <c r="H78"/>
      <c r="I78"/>
    </row>
    <row r="79" spans="1:9">
      <c r="A79"/>
      <c r="B79" t="s">
        <v>200</v>
      </c>
      <c r="C79"/>
      <c r="D79"/>
      <c r="E79"/>
      <c r="F79"/>
      <c r="G79"/>
      <c r="H79"/>
      <c r="I79"/>
    </row>
    <row r="80" spans="1:9">
      <c r="A80"/>
      <c r="B80" t="s">
        <v>95</v>
      </c>
      <c r="C80"/>
      <c r="D80"/>
      <c r="E80"/>
      <c r="F80"/>
      <c r="G80"/>
      <c r="H80"/>
      <c r="I80"/>
    </row>
    <row r="81" spans="1:9">
      <c r="A81"/>
      <c r="B81" t="s">
        <v>137</v>
      </c>
      <c r="C81"/>
      <c r="D81"/>
      <c r="E81"/>
      <c r="F81"/>
      <c r="G81"/>
      <c r="H81"/>
      <c r="I81"/>
    </row>
    <row r="82" spans="1:9">
      <c r="A82"/>
      <c r="B82" t="s">
        <v>146</v>
      </c>
      <c r="C82"/>
      <c r="D82"/>
      <c r="E82"/>
      <c r="F82"/>
      <c r="G82"/>
      <c r="H82"/>
      <c r="I82"/>
    </row>
    <row r="83" spans="1:9">
      <c r="A83"/>
      <c r="B83" t="s">
        <v>158</v>
      </c>
      <c r="C83"/>
      <c r="D83"/>
      <c r="E83"/>
      <c r="F83"/>
      <c r="G83"/>
      <c r="H83"/>
      <c r="I83"/>
    </row>
    <row r="84" spans="1:9">
      <c r="A84"/>
      <c r="B84" t="s">
        <v>138</v>
      </c>
      <c r="C84"/>
      <c r="D84"/>
      <c r="E84"/>
      <c r="F84"/>
      <c r="G84"/>
      <c r="H84"/>
      <c r="I84"/>
    </row>
    <row r="85" spans="1:9">
      <c r="A85"/>
      <c r="B85" t="s">
        <v>201</v>
      </c>
      <c r="C85"/>
      <c r="D85"/>
      <c r="E85"/>
      <c r="F85"/>
      <c r="G85"/>
      <c r="H85"/>
      <c r="I85"/>
    </row>
    <row r="86" spans="1:9">
      <c r="A86"/>
      <c r="B86" t="s">
        <v>184</v>
      </c>
      <c r="C86"/>
      <c r="D86"/>
      <c r="E86"/>
      <c r="F86"/>
      <c r="G86"/>
      <c r="H86"/>
      <c r="I86"/>
    </row>
    <row r="87" spans="1:9">
      <c r="A87"/>
      <c r="B87" t="s">
        <v>174</v>
      </c>
      <c r="C87"/>
      <c r="D87"/>
      <c r="E87"/>
      <c r="F87"/>
      <c r="G87"/>
      <c r="H87"/>
      <c r="I87"/>
    </row>
    <row r="88" spans="1:9">
      <c r="A88"/>
      <c r="B88" t="s">
        <v>178</v>
      </c>
      <c r="C88"/>
      <c r="D88"/>
      <c r="E88"/>
      <c r="F88"/>
      <c r="G88"/>
      <c r="H88"/>
      <c r="I88"/>
    </row>
    <row r="89" spans="1:9">
      <c r="A89"/>
      <c r="B89" t="s">
        <v>185</v>
      </c>
      <c r="C89"/>
      <c r="D89"/>
      <c r="E89"/>
      <c r="F89"/>
      <c r="G89"/>
      <c r="H89"/>
      <c r="I89"/>
    </row>
    <row r="90" spans="1:9">
      <c r="A90"/>
      <c r="B90" t="s">
        <v>202</v>
      </c>
      <c r="C90"/>
      <c r="D90"/>
      <c r="E90"/>
      <c r="F90"/>
      <c r="G90"/>
      <c r="H90"/>
      <c r="I90"/>
    </row>
    <row r="91" spans="1:9">
      <c r="A91"/>
      <c r="B91" t="s">
        <v>203</v>
      </c>
      <c r="C91"/>
      <c r="D91"/>
      <c r="E91"/>
      <c r="F91"/>
      <c r="G91"/>
      <c r="H91"/>
      <c r="I91"/>
    </row>
    <row r="92" spans="1:9">
      <c r="A92"/>
      <c r="B92" t="s">
        <v>179</v>
      </c>
      <c r="C92"/>
      <c r="D92"/>
      <c r="E92"/>
      <c r="F92"/>
      <c r="G92"/>
      <c r="H92"/>
      <c r="I92"/>
    </row>
    <row r="93" spans="1:9">
      <c r="A93"/>
      <c r="B93" t="s">
        <v>175</v>
      </c>
      <c r="C93"/>
      <c r="D93"/>
      <c r="E93"/>
      <c r="F93"/>
      <c r="G93"/>
      <c r="H93"/>
      <c r="I93"/>
    </row>
    <row r="94" spans="1:9">
      <c r="A94"/>
      <c r="B94" t="s">
        <v>139</v>
      </c>
      <c r="C94"/>
      <c r="D94"/>
      <c r="E94"/>
      <c r="F94"/>
      <c r="G94"/>
      <c r="H94"/>
      <c r="I94"/>
    </row>
    <row r="95" spans="1:9">
      <c r="A95"/>
      <c r="B95" t="s">
        <v>206</v>
      </c>
      <c r="C95"/>
      <c r="D95"/>
      <c r="E95"/>
      <c r="F95"/>
      <c r="G95"/>
      <c r="H95"/>
      <c r="I95"/>
    </row>
    <row r="96" spans="1:9">
      <c r="A96"/>
      <c r="B96" t="s">
        <v>140</v>
      </c>
      <c r="C96"/>
      <c r="D96"/>
      <c r="E96"/>
      <c r="F96"/>
      <c r="G96"/>
      <c r="H96"/>
      <c r="I96"/>
    </row>
    <row r="97" spans="1:9">
      <c r="A97"/>
      <c r="B97" t="s">
        <v>207</v>
      </c>
      <c r="C97"/>
      <c r="D97"/>
      <c r="E97"/>
      <c r="F97"/>
      <c r="G97"/>
      <c r="H97"/>
      <c r="I97"/>
    </row>
    <row r="98" spans="1:9">
      <c r="A98"/>
      <c r="B98" t="s">
        <v>208</v>
      </c>
      <c r="C98"/>
      <c r="D98"/>
      <c r="E98"/>
      <c r="F98"/>
      <c r="G98"/>
      <c r="H98"/>
      <c r="I98"/>
    </row>
    <row r="99" spans="1:9">
      <c r="A99"/>
      <c r="B99" t="s">
        <v>186</v>
      </c>
      <c r="C99"/>
      <c r="D99"/>
      <c r="E99"/>
      <c r="F99"/>
      <c r="G99"/>
      <c r="H99"/>
      <c r="I99"/>
    </row>
    <row r="100" spans="1:9">
      <c r="A100"/>
      <c r="B100" t="s">
        <v>147</v>
      </c>
      <c r="C100"/>
      <c r="D100"/>
      <c r="E100"/>
      <c r="F100"/>
      <c r="G100"/>
      <c r="H100"/>
      <c r="I100"/>
    </row>
    <row r="101" spans="1:9">
      <c r="A101"/>
      <c r="B101" t="s">
        <v>148</v>
      </c>
      <c r="C101"/>
      <c r="D101"/>
      <c r="E101"/>
      <c r="F101"/>
      <c r="G101"/>
      <c r="H101"/>
      <c r="I101"/>
    </row>
    <row r="102" spans="1:9">
      <c r="A102"/>
      <c r="B102" t="s">
        <v>149</v>
      </c>
      <c r="C102"/>
      <c r="D102"/>
      <c r="E102"/>
      <c r="F102"/>
      <c r="G102"/>
      <c r="H102"/>
      <c r="I102"/>
    </row>
    <row r="103" spans="1:9">
      <c r="A103"/>
      <c r="B103" t="s">
        <v>150</v>
      </c>
      <c r="C103"/>
      <c r="D103"/>
      <c r="E103"/>
      <c r="F103"/>
      <c r="G103"/>
      <c r="H103"/>
      <c r="I103"/>
    </row>
    <row r="104" spans="1:9">
      <c r="A104"/>
      <c r="B104" t="s">
        <v>187</v>
      </c>
      <c r="C104"/>
      <c r="D104"/>
      <c r="E104"/>
      <c r="F104"/>
      <c r="G104"/>
      <c r="H104"/>
      <c r="I104"/>
    </row>
    <row r="105" spans="1:9">
      <c r="A105"/>
      <c r="B105" t="s">
        <v>159</v>
      </c>
      <c r="C105"/>
      <c r="D105"/>
      <c r="E105"/>
      <c r="F105"/>
      <c r="G105"/>
      <c r="H105"/>
      <c r="I105"/>
    </row>
    <row r="106" spans="1:9">
      <c r="A106"/>
      <c r="B106" t="s">
        <v>188</v>
      </c>
      <c r="C106"/>
      <c r="D106"/>
      <c r="E106"/>
      <c r="F106"/>
      <c r="G106"/>
      <c r="H106"/>
      <c r="I106"/>
    </row>
    <row r="107" spans="1:9">
      <c r="A107"/>
      <c r="B107" t="s">
        <v>151</v>
      </c>
      <c r="C107"/>
      <c r="D107"/>
      <c r="E107"/>
      <c r="F107"/>
      <c r="G107"/>
      <c r="H107"/>
      <c r="I107"/>
    </row>
    <row r="108" spans="1:9">
      <c r="A108"/>
      <c r="B108" t="s">
        <v>152</v>
      </c>
      <c r="C108"/>
      <c r="D108"/>
      <c r="E108"/>
      <c r="F108"/>
      <c r="G108"/>
      <c r="H108"/>
      <c r="I108"/>
    </row>
    <row r="109" spans="1:9">
      <c r="A109"/>
      <c r="B109" t="s">
        <v>189</v>
      </c>
      <c r="C109"/>
      <c r="D109"/>
      <c r="E109"/>
      <c r="F109"/>
      <c r="G109"/>
      <c r="H109"/>
      <c r="I109"/>
    </row>
    <row r="110" spans="1:9">
      <c r="A110"/>
      <c r="B110" t="s">
        <v>180</v>
      </c>
      <c r="C110"/>
      <c r="D110"/>
      <c r="E110"/>
      <c r="F110"/>
      <c r="G110"/>
      <c r="H110"/>
      <c r="I110"/>
    </row>
    <row r="111" spans="1:9">
      <c r="A111"/>
      <c r="B111" t="s">
        <v>190</v>
      </c>
      <c r="C111"/>
      <c r="D111"/>
      <c r="E111"/>
      <c r="F111"/>
      <c r="G111"/>
      <c r="H111"/>
      <c r="I111"/>
    </row>
    <row r="112" spans="1:9">
      <c r="A112"/>
      <c r="B112" t="s">
        <v>191</v>
      </c>
      <c r="C112"/>
      <c r="D112"/>
      <c r="E112"/>
      <c r="F112"/>
      <c r="G112"/>
      <c r="H112"/>
      <c r="I112"/>
    </row>
    <row r="113" spans="1:9">
      <c r="A113"/>
      <c r="B113" t="s">
        <v>160</v>
      </c>
      <c r="C113"/>
      <c r="D113"/>
      <c r="E113"/>
      <c r="F113"/>
      <c r="G113"/>
      <c r="H113"/>
      <c r="I113"/>
    </row>
    <row r="114" spans="1:9">
      <c r="A114"/>
      <c r="B114" t="s">
        <v>192</v>
      </c>
      <c r="C114"/>
      <c r="D114"/>
      <c r="E114"/>
      <c r="F114"/>
      <c r="G114"/>
      <c r="H114"/>
      <c r="I114"/>
    </row>
    <row r="115" spans="1:9">
      <c r="A115"/>
      <c r="B115" t="s">
        <v>161</v>
      </c>
      <c r="C115"/>
      <c r="D115"/>
      <c r="E115"/>
      <c r="F115"/>
      <c r="G115"/>
      <c r="H115"/>
      <c r="I115"/>
    </row>
    <row r="116" spans="1:9">
      <c r="A116"/>
      <c r="B116" t="s">
        <v>162</v>
      </c>
      <c r="C116"/>
      <c r="D116"/>
      <c r="E116"/>
      <c r="F116"/>
      <c r="G116"/>
      <c r="H116"/>
      <c r="I116"/>
    </row>
    <row r="117" spans="1:9">
      <c r="A117"/>
      <c r="B117" t="s">
        <v>193</v>
      </c>
      <c r="C117"/>
      <c r="D117"/>
      <c r="E117"/>
      <c r="F117"/>
      <c r="G117"/>
      <c r="H117"/>
      <c r="I117"/>
    </row>
    <row r="118" spans="1:9">
      <c r="A118"/>
      <c r="B118" t="s">
        <v>163</v>
      </c>
      <c r="C118"/>
      <c r="D118"/>
      <c r="E118"/>
      <c r="F118"/>
      <c r="G118"/>
      <c r="H118"/>
      <c r="I118"/>
    </row>
    <row r="119" spans="1:9">
      <c r="A119"/>
      <c r="B119" t="s">
        <v>153</v>
      </c>
      <c r="C119"/>
      <c r="D119"/>
      <c r="E119"/>
      <c r="F119"/>
      <c r="G119"/>
      <c r="H119"/>
      <c r="I119"/>
    </row>
    <row r="120" spans="1:9">
      <c r="A120"/>
      <c r="B120" t="s">
        <v>154</v>
      </c>
      <c r="C120"/>
      <c r="D120"/>
      <c r="E120"/>
      <c r="F120"/>
      <c r="G120"/>
      <c r="H120"/>
      <c r="I120"/>
    </row>
    <row r="121" spans="1:9">
      <c r="A121"/>
      <c r="B121" t="s">
        <v>155</v>
      </c>
      <c r="C121"/>
      <c r="D121"/>
      <c r="E121"/>
      <c r="F121"/>
      <c r="G121"/>
      <c r="H121"/>
      <c r="I121"/>
    </row>
    <row r="122" spans="1:9">
      <c r="A122"/>
      <c r="B122" t="s">
        <v>164</v>
      </c>
      <c r="C122"/>
      <c r="D122"/>
      <c r="E122"/>
      <c r="F122"/>
      <c r="G122"/>
      <c r="H122"/>
      <c r="I122"/>
    </row>
    <row r="123" spans="1:9">
      <c r="A123"/>
      <c r="B123" t="s">
        <v>165</v>
      </c>
      <c r="C123"/>
      <c r="D123"/>
      <c r="E123"/>
      <c r="F123"/>
      <c r="G123"/>
      <c r="H123"/>
      <c r="I123"/>
    </row>
    <row r="124" spans="1:9">
      <c r="A124"/>
      <c r="B124" t="s">
        <v>105</v>
      </c>
      <c r="C124"/>
      <c r="D124"/>
      <c r="E124"/>
      <c r="F124"/>
      <c r="G124"/>
      <c r="H124"/>
      <c r="I124"/>
    </row>
    <row r="125" spans="1:9">
      <c r="A125"/>
      <c r="B125" t="s">
        <v>106</v>
      </c>
      <c r="C125"/>
      <c r="D125"/>
      <c r="E125"/>
      <c r="F125"/>
      <c r="G125"/>
      <c r="H125"/>
      <c r="I125"/>
    </row>
    <row r="126" spans="1:9">
      <c r="A126"/>
      <c r="B126" t="s">
        <v>107</v>
      </c>
      <c r="C126"/>
      <c r="D126"/>
      <c r="E126"/>
      <c r="F126"/>
      <c r="G126"/>
      <c r="H126"/>
      <c r="I126"/>
    </row>
    <row r="127" spans="1:9">
      <c r="A127"/>
      <c r="B127" t="s">
        <v>141</v>
      </c>
      <c r="C127"/>
      <c r="D127"/>
      <c r="E127"/>
      <c r="F127"/>
      <c r="G127"/>
      <c r="H127"/>
      <c r="I127"/>
    </row>
    <row r="128" spans="1:9">
      <c r="A128"/>
      <c r="B128" t="s">
        <v>142</v>
      </c>
      <c r="C128"/>
      <c r="D128"/>
      <c r="E128"/>
      <c r="F128"/>
      <c r="G128"/>
      <c r="H128"/>
      <c r="I128"/>
    </row>
    <row r="129" spans="1:9">
      <c r="A129"/>
      <c r="B129" t="s">
        <v>108</v>
      </c>
      <c r="C129"/>
      <c r="D129"/>
      <c r="E129"/>
      <c r="F129"/>
      <c r="G129"/>
      <c r="H129"/>
      <c r="I129"/>
    </row>
    <row r="130" spans="1:9">
      <c r="A130"/>
      <c r="B130" t="s">
        <v>143</v>
      </c>
      <c r="C130"/>
      <c r="D130"/>
      <c r="E130"/>
      <c r="F130"/>
      <c r="G130"/>
      <c r="H130"/>
      <c r="I130"/>
    </row>
    <row r="131" spans="1:9">
      <c r="A131"/>
      <c r="B131" t="s">
        <v>96</v>
      </c>
      <c r="C131"/>
      <c r="D131"/>
      <c r="E131"/>
      <c r="F131"/>
      <c r="G131"/>
      <c r="H131"/>
      <c r="I131"/>
    </row>
    <row r="132" spans="1:9">
      <c r="A132"/>
      <c r="B132" t="s">
        <v>97</v>
      </c>
      <c r="C132"/>
      <c r="D132"/>
      <c r="E132"/>
      <c r="F132"/>
      <c r="G132"/>
      <c r="H132"/>
      <c r="I132"/>
    </row>
    <row r="133" spans="1:9">
      <c r="A133"/>
      <c r="B133" t="s">
        <v>181</v>
      </c>
      <c r="C133"/>
      <c r="D133"/>
      <c r="E133"/>
      <c r="F133"/>
      <c r="G133"/>
      <c r="H133"/>
      <c r="I133"/>
    </row>
    <row r="134" spans="1:9">
      <c r="A134"/>
      <c r="B134" t="s">
        <v>209</v>
      </c>
      <c r="C134"/>
      <c r="D134"/>
      <c r="E134"/>
      <c r="F134"/>
      <c r="G134"/>
      <c r="H134"/>
      <c r="I134"/>
    </row>
    <row r="135" spans="1:9">
      <c r="A135"/>
      <c r="B135" t="s">
        <v>166</v>
      </c>
      <c r="C135"/>
      <c r="D135"/>
      <c r="E135"/>
      <c r="F135"/>
      <c r="G135"/>
      <c r="H135"/>
      <c r="I135"/>
    </row>
    <row r="136" spans="1:9">
      <c r="A136"/>
      <c r="B136"/>
      <c r="C136"/>
      <c r="D136"/>
      <c r="E136"/>
      <c r="F136"/>
      <c r="G136"/>
      <c r="H136"/>
      <c r="I136"/>
    </row>
    <row r="137" spans="1:9">
      <c r="A137"/>
      <c r="B137"/>
      <c r="C137"/>
      <c r="D137"/>
      <c r="E137"/>
      <c r="F137"/>
      <c r="G137"/>
      <c r="H137"/>
      <c r="I137"/>
    </row>
    <row r="138" spans="1:9">
      <c r="A138"/>
      <c r="B138"/>
      <c r="C138"/>
      <c r="D138"/>
      <c r="E138"/>
      <c r="F138"/>
      <c r="G138"/>
      <c r="H138"/>
      <c r="I138"/>
    </row>
    <row r="139" spans="1:9">
      <c r="A139"/>
      <c r="B139"/>
      <c r="C139"/>
      <c r="D139"/>
      <c r="E139"/>
      <c r="F139"/>
      <c r="G139"/>
      <c r="H139"/>
      <c r="I139"/>
    </row>
    <row r="140" spans="1:9">
      <c r="A140"/>
      <c r="B140"/>
      <c r="C140"/>
      <c r="D140"/>
      <c r="E140"/>
      <c r="F140"/>
      <c r="G140"/>
      <c r="H140"/>
      <c r="I140"/>
    </row>
    <row r="141" spans="1:9">
      <c r="A141"/>
      <c r="B141"/>
      <c r="C141"/>
      <c r="D141"/>
      <c r="E141"/>
      <c r="F141"/>
      <c r="G141"/>
      <c r="H141"/>
      <c r="I141"/>
    </row>
    <row r="142" spans="1:9">
      <c r="A142"/>
      <c r="B142"/>
      <c r="C142"/>
      <c r="D142"/>
      <c r="E142"/>
      <c r="F142"/>
      <c r="G142"/>
      <c r="H142"/>
      <c r="I142"/>
    </row>
    <row r="143" spans="1:9">
      <c r="A143"/>
      <c r="B143"/>
      <c r="C143"/>
      <c r="D143"/>
      <c r="E143"/>
      <c r="F143"/>
      <c r="G143"/>
      <c r="H143"/>
      <c r="I143"/>
    </row>
    <row r="144" spans="1:9">
      <c r="A144"/>
      <c r="B144"/>
      <c r="C144"/>
      <c r="D144"/>
      <c r="E144"/>
      <c r="F144"/>
      <c r="G144"/>
      <c r="H144"/>
      <c r="I144"/>
    </row>
    <row r="145" spans="1:9">
      <c r="A145"/>
      <c r="B145"/>
      <c r="C145"/>
      <c r="D145"/>
      <c r="E145"/>
      <c r="F145"/>
      <c r="G145"/>
      <c r="H145"/>
      <c r="I145"/>
    </row>
    <row r="146" spans="1:9">
      <c r="A146"/>
      <c r="B146"/>
      <c r="C146"/>
      <c r="D146"/>
      <c r="E146"/>
      <c r="F146"/>
      <c r="G146"/>
      <c r="H146"/>
      <c r="I146"/>
    </row>
    <row r="147" spans="1:9">
      <c r="A147"/>
      <c r="B147"/>
      <c r="C147"/>
      <c r="D147"/>
      <c r="E147"/>
      <c r="F147"/>
      <c r="G147"/>
      <c r="H147"/>
      <c r="I147"/>
    </row>
    <row r="148" spans="1:9">
      <c r="A148"/>
      <c r="B148"/>
      <c r="C148"/>
      <c r="D148"/>
      <c r="E148"/>
      <c r="F148"/>
      <c r="G148"/>
      <c r="H148"/>
      <c r="I148"/>
    </row>
    <row r="149" spans="1:9">
      <c r="A149"/>
      <c r="B149"/>
      <c r="C149"/>
      <c r="D149"/>
      <c r="E149"/>
      <c r="F149"/>
      <c r="G149"/>
      <c r="H149"/>
      <c r="I149"/>
    </row>
    <row r="150" spans="1:9">
      <c r="A150"/>
      <c r="B150"/>
      <c r="C150"/>
      <c r="D150"/>
      <c r="E150"/>
      <c r="F150"/>
      <c r="G150"/>
      <c r="H150"/>
      <c r="I150"/>
    </row>
    <row r="151" spans="1:9">
      <c r="A151"/>
      <c r="B151"/>
      <c r="C151"/>
      <c r="D151"/>
      <c r="E151"/>
      <c r="F151"/>
      <c r="G151"/>
      <c r="H151"/>
      <c r="I151"/>
    </row>
    <row r="152" spans="1:9">
      <c r="A152"/>
      <c r="B152"/>
      <c r="C152"/>
      <c r="D152"/>
      <c r="E152"/>
      <c r="F152"/>
      <c r="G152"/>
      <c r="H152"/>
      <c r="I152"/>
    </row>
    <row r="153" spans="1:9">
      <c r="A153"/>
      <c r="B153"/>
      <c r="C153"/>
      <c r="D153"/>
      <c r="E153"/>
      <c r="F153"/>
      <c r="G153"/>
      <c r="H153"/>
      <c r="I153"/>
    </row>
    <row r="154" spans="1:9">
      <c r="A154"/>
      <c r="B154"/>
      <c r="C154"/>
      <c r="D154"/>
      <c r="E154"/>
      <c r="F154"/>
      <c r="G154"/>
      <c r="H154"/>
      <c r="I154"/>
    </row>
    <row r="155" spans="1:9">
      <c r="A155"/>
      <c r="B155"/>
      <c r="C155"/>
      <c r="D155"/>
      <c r="E155"/>
      <c r="F155"/>
      <c r="G155"/>
      <c r="H155"/>
      <c r="I155"/>
    </row>
    <row r="156" spans="1:9">
      <c r="A156"/>
      <c r="B156"/>
      <c r="C156"/>
      <c r="D156"/>
      <c r="E156"/>
      <c r="F156"/>
      <c r="G156"/>
      <c r="H156"/>
      <c r="I156"/>
    </row>
    <row r="157" spans="1:9">
      <c r="A157"/>
      <c r="B157"/>
      <c r="C157"/>
      <c r="D157"/>
      <c r="E157"/>
      <c r="F157"/>
      <c r="G157"/>
      <c r="H157"/>
      <c r="I157"/>
    </row>
    <row r="158" spans="1:9">
      <c r="A158"/>
      <c r="B158"/>
      <c r="C158"/>
      <c r="D158"/>
      <c r="E158"/>
      <c r="F158"/>
      <c r="G158"/>
      <c r="H158"/>
      <c r="I158"/>
    </row>
    <row r="159" spans="1:9">
      <c r="A159"/>
      <c r="B159"/>
      <c r="C159"/>
      <c r="D159"/>
      <c r="E159"/>
      <c r="F159"/>
      <c r="G159"/>
      <c r="H159"/>
      <c r="I159"/>
    </row>
    <row r="160" spans="1:9">
      <c r="A160"/>
      <c r="B160"/>
      <c r="C160"/>
      <c r="D160"/>
      <c r="E160"/>
      <c r="F160"/>
      <c r="G160"/>
      <c r="H160"/>
      <c r="I160"/>
    </row>
    <row r="161" spans="1:9">
      <c r="A161"/>
      <c r="B161"/>
      <c r="C161"/>
      <c r="D161"/>
      <c r="E161"/>
      <c r="F161"/>
      <c r="G161"/>
      <c r="H161"/>
      <c r="I161"/>
    </row>
    <row r="162" spans="1:9">
      <c r="A162"/>
      <c r="B162"/>
      <c r="C162"/>
      <c r="D162"/>
      <c r="E162"/>
      <c r="F162"/>
      <c r="G162"/>
      <c r="H162"/>
      <c r="I162"/>
    </row>
    <row r="163" spans="1:9">
      <c r="A163"/>
      <c r="B163"/>
      <c r="C163"/>
      <c r="D163"/>
      <c r="E163"/>
      <c r="F163"/>
      <c r="G163"/>
      <c r="H163"/>
      <c r="I163"/>
    </row>
    <row r="164" spans="1:9">
      <c r="A164"/>
      <c r="B164"/>
      <c r="C164"/>
      <c r="D164"/>
      <c r="E164"/>
      <c r="F164"/>
      <c r="G164"/>
      <c r="H164"/>
      <c r="I164"/>
    </row>
    <row r="165" spans="1:9">
      <c r="A165"/>
      <c r="B165"/>
      <c r="C165"/>
      <c r="D165"/>
      <c r="E165"/>
      <c r="F165"/>
      <c r="G165"/>
      <c r="H165"/>
      <c r="I165"/>
    </row>
    <row r="166" spans="1:9">
      <c r="A166"/>
      <c r="B166"/>
      <c r="C166"/>
      <c r="D166"/>
      <c r="E166"/>
      <c r="F166"/>
      <c r="G166"/>
      <c r="H166"/>
      <c r="I166"/>
    </row>
    <row r="167" spans="1:9">
      <c r="A167"/>
      <c r="B167"/>
      <c r="C167"/>
      <c r="D167"/>
      <c r="E167"/>
      <c r="F167"/>
      <c r="G167"/>
      <c r="H167"/>
      <c r="I167"/>
    </row>
    <row r="168" spans="1:9">
      <c r="A168"/>
      <c r="B168"/>
      <c r="C168"/>
      <c r="D168"/>
      <c r="E168"/>
      <c r="F168"/>
      <c r="G168"/>
      <c r="H168"/>
      <c r="I168"/>
    </row>
    <row r="169" spans="1:9">
      <c r="A169"/>
      <c r="B169"/>
      <c r="C169"/>
      <c r="D169"/>
      <c r="E169"/>
      <c r="F169"/>
      <c r="G169"/>
      <c r="H169"/>
      <c r="I169"/>
    </row>
    <row r="170" spans="1:9">
      <c r="A170"/>
      <c r="B170"/>
      <c r="C170"/>
      <c r="D170"/>
      <c r="E170"/>
      <c r="F170"/>
      <c r="G170"/>
      <c r="H170"/>
      <c r="I170"/>
    </row>
    <row r="171" spans="1:9">
      <c r="A171"/>
      <c r="B171"/>
      <c r="C171"/>
      <c r="D171"/>
      <c r="E171"/>
      <c r="F171"/>
      <c r="G171"/>
      <c r="H171"/>
      <c r="I171"/>
    </row>
    <row r="172" spans="1:9">
      <c r="A172"/>
      <c r="B172"/>
      <c r="C172"/>
      <c r="D172"/>
      <c r="E172"/>
      <c r="F172"/>
      <c r="G172"/>
      <c r="H172"/>
      <c r="I172"/>
    </row>
    <row r="173" spans="1:9">
      <c r="A173"/>
      <c r="B173"/>
      <c r="C173"/>
      <c r="D173"/>
      <c r="E173"/>
      <c r="F173"/>
      <c r="G173"/>
      <c r="H173"/>
      <c r="I173"/>
    </row>
    <row r="174" spans="1:9">
      <c r="A174"/>
      <c r="B174"/>
      <c r="C174"/>
      <c r="D174"/>
      <c r="E174"/>
      <c r="F174"/>
      <c r="G174"/>
      <c r="H174"/>
      <c r="I174"/>
    </row>
    <row r="175" spans="1:9">
      <c r="A175"/>
      <c r="B175"/>
      <c r="C175"/>
      <c r="D175"/>
      <c r="E175"/>
      <c r="F175"/>
      <c r="G175"/>
      <c r="H175"/>
      <c r="I175"/>
    </row>
    <row r="176" spans="1:9">
      <c r="A176"/>
      <c r="B176"/>
      <c r="C176"/>
      <c r="D176"/>
      <c r="E176"/>
      <c r="F176"/>
      <c r="G176"/>
      <c r="H176"/>
      <c r="I176"/>
    </row>
    <row r="177" spans="1:9">
      <c r="A177"/>
      <c r="B177"/>
      <c r="C177"/>
      <c r="D177"/>
      <c r="E177"/>
      <c r="F177"/>
      <c r="G177"/>
      <c r="H177"/>
      <c r="I177"/>
    </row>
    <row r="178" spans="1:9">
      <c r="A178"/>
      <c r="B178"/>
      <c r="C178"/>
      <c r="D178"/>
      <c r="E178"/>
      <c r="F178"/>
      <c r="G178"/>
      <c r="H178"/>
      <c r="I178"/>
    </row>
    <row r="179" spans="1:9">
      <c r="A179"/>
      <c r="B179"/>
      <c r="C179"/>
      <c r="D179"/>
      <c r="E179"/>
      <c r="F179"/>
      <c r="G179"/>
      <c r="H179"/>
      <c r="I179"/>
    </row>
    <row r="180" spans="1:9">
      <c r="A180"/>
      <c r="B180"/>
      <c r="C180"/>
      <c r="D180"/>
      <c r="E180"/>
      <c r="F180"/>
      <c r="G180"/>
      <c r="H180"/>
      <c r="I180"/>
    </row>
    <row r="181" spans="1:9">
      <c r="A181"/>
      <c r="B181"/>
      <c r="C181"/>
      <c r="D181"/>
      <c r="E181"/>
      <c r="F181"/>
      <c r="G181"/>
      <c r="H181"/>
      <c r="I181"/>
    </row>
    <row r="182" spans="1:9">
      <c r="A182"/>
      <c r="B182"/>
      <c r="C182"/>
      <c r="D182"/>
      <c r="E182"/>
      <c r="F182"/>
      <c r="G182"/>
      <c r="H182"/>
      <c r="I182"/>
    </row>
    <row r="183" spans="1:9">
      <c r="A183"/>
      <c r="B183"/>
      <c r="C183"/>
      <c r="D183"/>
      <c r="E183"/>
      <c r="F183"/>
      <c r="G183"/>
      <c r="H183"/>
      <c r="I183"/>
    </row>
    <row r="184" spans="1:9">
      <c r="A184"/>
      <c r="B184"/>
      <c r="C184"/>
      <c r="D184"/>
      <c r="E184"/>
      <c r="F184"/>
      <c r="G184"/>
      <c r="H184"/>
      <c r="I184"/>
    </row>
    <row r="185" spans="1:9">
      <c r="A185"/>
      <c r="B185"/>
      <c r="C185"/>
      <c r="D185"/>
      <c r="E185"/>
      <c r="F185"/>
      <c r="G185"/>
      <c r="H185"/>
      <c r="I185"/>
    </row>
    <row r="186" spans="1:9">
      <c r="A186"/>
      <c r="B186"/>
      <c r="C186"/>
      <c r="D186"/>
      <c r="E186"/>
      <c r="F186"/>
      <c r="G186"/>
      <c r="H186"/>
      <c r="I186"/>
    </row>
    <row r="187" spans="1:9">
      <c r="A187"/>
      <c r="B187"/>
      <c r="C187"/>
      <c r="D187"/>
      <c r="E187"/>
      <c r="F187"/>
      <c r="G187"/>
      <c r="H187"/>
      <c r="I187"/>
    </row>
    <row r="188" spans="1:9">
      <c r="A188"/>
      <c r="B188"/>
      <c r="C188"/>
      <c r="D188"/>
      <c r="E188"/>
      <c r="F188"/>
      <c r="G188"/>
      <c r="H188"/>
      <c r="I188"/>
    </row>
    <row r="189" spans="1:9">
      <c r="A189"/>
      <c r="B189"/>
      <c r="C189"/>
      <c r="D189"/>
      <c r="E189"/>
      <c r="F189"/>
      <c r="G189"/>
      <c r="H189"/>
      <c r="I189"/>
    </row>
    <row r="190" spans="1:9">
      <c r="A190"/>
      <c r="B190"/>
      <c r="C190"/>
      <c r="D190"/>
      <c r="E190"/>
      <c r="F190"/>
      <c r="G190"/>
      <c r="H190"/>
      <c r="I190"/>
    </row>
    <row r="191" spans="1:9">
      <c r="A191"/>
      <c r="B191"/>
      <c r="C191"/>
      <c r="D191"/>
      <c r="E191"/>
      <c r="F191"/>
      <c r="G191"/>
      <c r="H191"/>
      <c r="I191"/>
    </row>
    <row r="192" spans="1:9">
      <c r="A192"/>
      <c r="B192"/>
      <c r="C192"/>
      <c r="D192"/>
      <c r="E192"/>
      <c r="F192"/>
      <c r="G192"/>
      <c r="H192"/>
      <c r="I192"/>
    </row>
    <row r="193" spans="1:9">
      <c r="A193"/>
      <c r="B193"/>
      <c r="C193"/>
      <c r="D193"/>
      <c r="E193"/>
      <c r="F193"/>
      <c r="G193"/>
      <c r="H193"/>
      <c r="I193"/>
    </row>
    <row r="194" spans="1:9">
      <c r="A194"/>
      <c r="B194"/>
      <c r="C194"/>
      <c r="D194"/>
      <c r="E194"/>
      <c r="F194"/>
      <c r="G194"/>
      <c r="H194"/>
      <c r="I194"/>
    </row>
    <row r="195" spans="1:9">
      <c r="A195"/>
      <c r="B195"/>
      <c r="C195"/>
      <c r="D195"/>
      <c r="E195"/>
      <c r="F195"/>
      <c r="G195"/>
      <c r="H195"/>
      <c r="I195"/>
    </row>
    <row r="196" spans="1:9">
      <c r="A196"/>
      <c r="B196"/>
      <c r="C196"/>
      <c r="D196"/>
      <c r="E196"/>
      <c r="F196"/>
      <c r="G196"/>
      <c r="H196"/>
      <c r="I196"/>
    </row>
    <row r="197" spans="1:9">
      <c r="A197"/>
      <c r="B197"/>
      <c r="C197"/>
      <c r="D197"/>
      <c r="E197"/>
      <c r="F197"/>
      <c r="G197"/>
      <c r="H197"/>
      <c r="I197"/>
    </row>
    <row r="198" spans="1:9">
      <c r="A198"/>
      <c r="B198"/>
      <c r="C198"/>
      <c r="D198"/>
      <c r="E198"/>
      <c r="F198"/>
      <c r="G198"/>
      <c r="H198"/>
      <c r="I198"/>
    </row>
    <row r="199" spans="1:9">
      <c r="A199"/>
      <c r="B199"/>
      <c r="C199"/>
      <c r="D199"/>
      <c r="E199"/>
      <c r="F199"/>
      <c r="G199"/>
      <c r="H199"/>
      <c r="I199"/>
    </row>
    <row r="200" spans="1:9">
      <c r="A200"/>
      <c r="B200"/>
      <c r="C200"/>
      <c r="D200"/>
      <c r="E200"/>
      <c r="F200"/>
      <c r="G200"/>
      <c r="H200"/>
      <c r="I200"/>
    </row>
    <row r="201" spans="1:9">
      <c r="A201"/>
      <c r="B201"/>
      <c r="C201"/>
      <c r="D201"/>
      <c r="E201"/>
      <c r="F201"/>
      <c r="G201"/>
      <c r="H201"/>
      <c r="I201"/>
    </row>
    <row r="202" spans="1:9">
      <c r="A202"/>
      <c r="B202"/>
      <c r="C202"/>
      <c r="D202"/>
      <c r="E202"/>
      <c r="F202"/>
      <c r="G202"/>
      <c r="H202"/>
      <c r="I202"/>
    </row>
    <row r="203" spans="1:9">
      <c r="A203"/>
      <c r="B203"/>
      <c r="C203"/>
      <c r="D203"/>
      <c r="E203"/>
      <c r="F203"/>
      <c r="G203"/>
      <c r="H203"/>
      <c r="I203"/>
    </row>
    <row r="204" spans="1:9">
      <c r="A204"/>
      <c r="B204"/>
      <c r="C204"/>
      <c r="D204"/>
      <c r="E204"/>
      <c r="F204"/>
      <c r="G204"/>
      <c r="H204"/>
      <c r="I204"/>
    </row>
    <row r="205" spans="1:9">
      <c r="A205"/>
      <c r="B205"/>
      <c r="C205"/>
      <c r="D205"/>
      <c r="E205"/>
      <c r="F205"/>
      <c r="G205"/>
      <c r="H205"/>
      <c r="I205"/>
    </row>
    <row r="206" spans="1:9">
      <c r="A206"/>
      <c r="B206"/>
      <c r="C206"/>
      <c r="D206"/>
      <c r="E206"/>
      <c r="F206"/>
      <c r="G206"/>
      <c r="H206"/>
      <c r="I206"/>
    </row>
    <row r="207" spans="1:9">
      <c r="A207"/>
      <c r="B207"/>
      <c r="C207"/>
      <c r="D207"/>
      <c r="E207"/>
      <c r="F207"/>
      <c r="G207"/>
      <c r="H207"/>
      <c r="I207"/>
    </row>
    <row r="208" spans="1:9">
      <c r="A208"/>
      <c r="B208"/>
      <c r="C208"/>
      <c r="D208"/>
      <c r="E208"/>
      <c r="F208"/>
      <c r="G208"/>
      <c r="H208"/>
      <c r="I208"/>
    </row>
    <row r="209" spans="1:9">
      <c r="A209"/>
      <c r="B209"/>
      <c r="C209"/>
      <c r="D209"/>
      <c r="E209"/>
      <c r="F209"/>
      <c r="G209"/>
      <c r="H209"/>
      <c r="I209"/>
    </row>
    <row r="210" spans="1:9">
      <c r="A210"/>
      <c r="B210"/>
      <c r="C210"/>
      <c r="D210"/>
      <c r="E210"/>
      <c r="F210"/>
      <c r="G210"/>
      <c r="H210"/>
      <c r="I210"/>
    </row>
    <row r="211" spans="1:9">
      <c r="A211"/>
      <c r="B211"/>
      <c r="C211"/>
      <c r="D211"/>
      <c r="E211"/>
      <c r="F211"/>
      <c r="G211"/>
      <c r="H211"/>
      <c r="I211"/>
    </row>
    <row r="212" spans="1:9">
      <c r="A212"/>
      <c r="B212"/>
      <c r="C212"/>
      <c r="D212"/>
      <c r="E212"/>
      <c r="F212"/>
      <c r="G212"/>
      <c r="H212"/>
      <c r="I212"/>
    </row>
    <row r="213" spans="1:9">
      <c r="A213"/>
      <c r="B213"/>
      <c r="C213"/>
      <c r="D213"/>
      <c r="E213"/>
      <c r="F213"/>
      <c r="G213"/>
      <c r="H213"/>
      <c r="I213"/>
    </row>
    <row r="214" spans="1:9">
      <c r="A214"/>
      <c r="B214"/>
      <c r="C214"/>
      <c r="D214"/>
      <c r="E214"/>
      <c r="F214"/>
      <c r="G214"/>
      <c r="H214"/>
      <c r="I214"/>
    </row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  <row r="569" spans="1:9">
      <c r="A569"/>
      <c r="B569"/>
      <c r="C569"/>
      <c r="D569"/>
      <c r="E569"/>
      <c r="F569"/>
      <c r="G569"/>
      <c r="H569"/>
      <c r="I569"/>
    </row>
    <row r="570" spans="1:9">
      <c r="A570"/>
      <c r="B570"/>
      <c r="C570"/>
      <c r="D570"/>
      <c r="E570"/>
      <c r="F570"/>
      <c r="G570"/>
      <c r="H570"/>
      <c r="I570"/>
    </row>
    <row r="571" spans="1:9">
      <c r="A571"/>
      <c r="B571"/>
      <c r="C571"/>
      <c r="D571"/>
      <c r="E571"/>
      <c r="F571"/>
      <c r="G571"/>
      <c r="H571"/>
      <c r="I571"/>
    </row>
    <row r="572" spans="1:9">
      <c r="A572"/>
      <c r="B572"/>
      <c r="C572"/>
      <c r="D572"/>
      <c r="E572"/>
      <c r="F572"/>
      <c r="G572"/>
      <c r="H572"/>
      <c r="I572"/>
    </row>
    <row r="573" spans="1:9">
      <c r="A573"/>
      <c r="B573"/>
      <c r="C573"/>
      <c r="D573"/>
      <c r="E573"/>
      <c r="F573"/>
      <c r="G573"/>
      <c r="H573"/>
      <c r="I573"/>
    </row>
    <row r="574" spans="1:9">
      <c r="A574"/>
      <c r="B574"/>
      <c r="C574"/>
      <c r="D574"/>
      <c r="E574"/>
      <c r="F574"/>
      <c r="G574"/>
      <c r="H574"/>
      <c r="I574"/>
    </row>
    <row r="575" spans="1:9">
      <c r="A575"/>
      <c r="B575"/>
      <c r="C575"/>
      <c r="D575"/>
      <c r="E575"/>
      <c r="F575"/>
      <c r="G575"/>
      <c r="H575"/>
      <c r="I575"/>
    </row>
    <row r="576" spans="1:9">
      <c r="A576"/>
      <c r="B576"/>
      <c r="C576"/>
      <c r="D576"/>
      <c r="E576"/>
      <c r="F576"/>
      <c r="G576"/>
      <c r="H576"/>
      <c r="I576"/>
    </row>
    <row r="577" spans="1:9">
      <c r="A577"/>
      <c r="B577"/>
      <c r="C577"/>
      <c r="D577"/>
      <c r="E577"/>
      <c r="F577"/>
      <c r="G577"/>
      <c r="H577"/>
      <c r="I577"/>
    </row>
    <row r="578" spans="1:9">
      <c r="A578"/>
      <c r="B578"/>
      <c r="C578"/>
      <c r="D578"/>
      <c r="E578"/>
      <c r="F578"/>
      <c r="G578"/>
      <c r="H578"/>
      <c r="I578"/>
    </row>
    <row r="579" spans="1:9">
      <c r="A579"/>
      <c r="B579"/>
      <c r="C579"/>
      <c r="D579"/>
      <c r="E579"/>
      <c r="F579"/>
      <c r="G579"/>
      <c r="H579"/>
      <c r="I579"/>
    </row>
    <row r="580" spans="1:9">
      <c r="A580"/>
      <c r="B580"/>
      <c r="C580"/>
      <c r="D580"/>
      <c r="E580"/>
      <c r="F580"/>
      <c r="G580"/>
      <c r="H580"/>
      <c r="I580"/>
    </row>
    <row r="581" spans="1:9">
      <c r="A581"/>
      <c r="B581"/>
      <c r="C581"/>
      <c r="D581"/>
      <c r="E581"/>
      <c r="F581"/>
      <c r="G581"/>
      <c r="H581"/>
      <c r="I581"/>
    </row>
    <row r="582" spans="1:9">
      <c r="A582"/>
      <c r="B582"/>
      <c r="C582"/>
      <c r="D582"/>
      <c r="E582"/>
      <c r="F582"/>
      <c r="G582"/>
      <c r="H582"/>
      <c r="I582"/>
    </row>
    <row r="583" spans="1:9">
      <c r="A583"/>
      <c r="B583"/>
      <c r="C583"/>
      <c r="D583"/>
      <c r="E583"/>
      <c r="F583"/>
      <c r="G583"/>
      <c r="H583"/>
      <c r="I583"/>
    </row>
    <row r="584" spans="1:9">
      <c r="A584"/>
      <c r="B584"/>
      <c r="C584"/>
      <c r="D584"/>
      <c r="E584"/>
      <c r="F584"/>
      <c r="G584"/>
      <c r="H584"/>
      <c r="I584"/>
    </row>
    <row r="585" spans="1:9">
      <c r="A585"/>
      <c r="B585"/>
      <c r="C585"/>
      <c r="D585"/>
      <c r="E585"/>
      <c r="F585"/>
      <c r="G585"/>
      <c r="H585"/>
      <c r="I585"/>
    </row>
    <row r="586" spans="1:9">
      <c r="A586"/>
      <c r="B586"/>
      <c r="C586"/>
      <c r="D586"/>
      <c r="E586"/>
      <c r="F586"/>
      <c r="G586"/>
      <c r="H586"/>
      <c r="I586"/>
    </row>
    <row r="587" spans="1:9">
      <c r="A587"/>
      <c r="B587"/>
      <c r="C587"/>
      <c r="D587"/>
      <c r="E587"/>
      <c r="F587"/>
      <c r="G587"/>
      <c r="H587"/>
      <c r="I587"/>
    </row>
    <row r="588" spans="1:9">
      <c r="A588"/>
      <c r="B588"/>
      <c r="C588"/>
      <c r="D588"/>
      <c r="E588"/>
      <c r="F588"/>
      <c r="G588"/>
      <c r="H588"/>
      <c r="I588"/>
    </row>
    <row r="589" spans="1:9">
      <c r="A589"/>
      <c r="B589"/>
      <c r="C589"/>
      <c r="D589"/>
      <c r="E589"/>
      <c r="F589"/>
      <c r="G589"/>
      <c r="H589"/>
      <c r="I589"/>
    </row>
    <row r="590" spans="1:9">
      <c r="A590"/>
      <c r="B590"/>
      <c r="C590"/>
      <c r="D590"/>
      <c r="E590"/>
      <c r="F590"/>
      <c r="G590"/>
      <c r="H590"/>
      <c r="I590"/>
    </row>
    <row r="591" spans="1:9">
      <c r="A591"/>
      <c r="B591"/>
      <c r="C591"/>
      <c r="D591"/>
      <c r="E591"/>
      <c r="F591"/>
      <c r="G591"/>
      <c r="H591"/>
      <c r="I591"/>
    </row>
    <row r="592" spans="1:9">
      <c r="A592"/>
      <c r="B592"/>
      <c r="C592"/>
      <c r="D592"/>
      <c r="E592"/>
      <c r="F592"/>
      <c r="G592"/>
      <c r="H592"/>
      <c r="I592"/>
    </row>
    <row r="593" spans="1:9">
      <c r="A593"/>
      <c r="B593"/>
      <c r="C593"/>
      <c r="D593"/>
      <c r="E593"/>
      <c r="F593"/>
      <c r="G593"/>
      <c r="H593"/>
      <c r="I593"/>
    </row>
    <row r="594" spans="1:9">
      <c r="A594"/>
      <c r="B594"/>
      <c r="C594"/>
      <c r="D594"/>
      <c r="E594"/>
      <c r="F594"/>
      <c r="G594"/>
      <c r="H594"/>
      <c r="I594"/>
    </row>
    <row r="595" spans="1:9">
      <c r="A595"/>
      <c r="B595"/>
      <c r="C595"/>
      <c r="D595"/>
      <c r="E595"/>
      <c r="F595"/>
      <c r="G595"/>
      <c r="H595"/>
      <c r="I595"/>
    </row>
    <row r="596" spans="1:9">
      <c r="A596"/>
      <c r="B596"/>
      <c r="C596"/>
      <c r="D596"/>
      <c r="E596"/>
      <c r="F596"/>
      <c r="G596"/>
      <c r="H596"/>
      <c r="I596"/>
    </row>
    <row r="597" spans="1:9">
      <c r="A597"/>
      <c r="B597"/>
      <c r="C597"/>
      <c r="D597"/>
      <c r="E597"/>
      <c r="F597"/>
      <c r="G597"/>
      <c r="H597"/>
      <c r="I597"/>
    </row>
    <row r="598" spans="1:9">
      <c r="A598"/>
      <c r="B598"/>
      <c r="C598"/>
      <c r="D598"/>
      <c r="E598"/>
      <c r="F598"/>
      <c r="G598"/>
      <c r="H598"/>
      <c r="I598"/>
    </row>
    <row r="599" spans="1:9">
      <c r="A599"/>
      <c r="B599"/>
      <c r="C599"/>
      <c r="D599"/>
      <c r="E599"/>
      <c r="F599"/>
      <c r="G599"/>
      <c r="H599"/>
      <c r="I599"/>
    </row>
    <row r="600" spans="1:9">
      <c r="A600"/>
      <c r="B600"/>
      <c r="C600"/>
      <c r="D600"/>
      <c r="E600"/>
      <c r="F600"/>
      <c r="G600"/>
      <c r="H600"/>
      <c r="I600"/>
    </row>
    <row r="601" spans="1:9">
      <c r="A601"/>
      <c r="B601"/>
      <c r="C601"/>
      <c r="D601"/>
      <c r="E601"/>
      <c r="F601"/>
      <c r="G601"/>
      <c r="H601"/>
      <c r="I601"/>
    </row>
    <row r="602" spans="1:9">
      <c r="A602"/>
      <c r="B602"/>
      <c r="C602"/>
      <c r="D602"/>
      <c r="E602"/>
      <c r="F602"/>
      <c r="G602"/>
      <c r="H602"/>
      <c r="I602"/>
    </row>
    <row r="603" spans="1:9">
      <c r="A603"/>
      <c r="B603"/>
      <c r="C603"/>
      <c r="D603"/>
      <c r="E603"/>
      <c r="F603"/>
      <c r="G603"/>
      <c r="H603"/>
      <c r="I603"/>
    </row>
    <row r="604" spans="1:9">
      <c r="A604"/>
      <c r="B604"/>
      <c r="C604"/>
      <c r="D604"/>
      <c r="E604"/>
      <c r="F604"/>
      <c r="G604"/>
      <c r="H604"/>
      <c r="I604"/>
    </row>
    <row r="605" spans="1:9">
      <c r="A605"/>
      <c r="B605"/>
      <c r="C605"/>
      <c r="D605"/>
      <c r="E605"/>
      <c r="F605"/>
      <c r="G605"/>
      <c r="H605"/>
      <c r="I605"/>
    </row>
    <row r="606" spans="1:9">
      <c r="A606"/>
      <c r="B606"/>
      <c r="C606"/>
      <c r="D606"/>
      <c r="E606"/>
      <c r="F606"/>
      <c r="G606"/>
      <c r="H606"/>
      <c r="I606"/>
    </row>
    <row r="607" spans="1:9">
      <c r="A607"/>
      <c r="B607"/>
      <c r="C607"/>
      <c r="D607"/>
      <c r="E607"/>
      <c r="F607"/>
      <c r="G607"/>
      <c r="H607"/>
      <c r="I607"/>
    </row>
    <row r="608" spans="1:9">
      <c r="A608"/>
      <c r="B608"/>
      <c r="C608"/>
      <c r="D608"/>
      <c r="E608"/>
      <c r="F608"/>
      <c r="G608"/>
      <c r="H608"/>
      <c r="I608"/>
    </row>
    <row r="609" spans="1:9">
      <c r="A609"/>
      <c r="B609"/>
      <c r="C609"/>
      <c r="D609"/>
      <c r="E609"/>
      <c r="F609"/>
      <c r="G609"/>
      <c r="H609"/>
      <c r="I609"/>
    </row>
    <row r="610" spans="1:9">
      <c r="A610"/>
      <c r="B610"/>
      <c r="C610"/>
      <c r="D610"/>
      <c r="E610"/>
      <c r="F610"/>
      <c r="G610"/>
      <c r="H610"/>
      <c r="I610"/>
    </row>
    <row r="611" spans="1:9">
      <c r="A611"/>
      <c r="B611"/>
      <c r="C611"/>
      <c r="D611"/>
      <c r="E611"/>
      <c r="F611"/>
      <c r="G611"/>
      <c r="H611"/>
      <c r="I611"/>
    </row>
    <row r="612" spans="1:9">
      <c r="A612"/>
      <c r="B612"/>
      <c r="C612"/>
      <c r="D612"/>
      <c r="E612"/>
      <c r="F612"/>
      <c r="G612"/>
      <c r="H612"/>
      <c r="I612"/>
    </row>
    <row r="613" spans="1:9">
      <c r="A613"/>
      <c r="B613"/>
      <c r="C613"/>
      <c r="D613"/>
      <c r="E613"/>
      <c r="F613"/>
      <c r="G613"/>
      <c r="H613"/>
      <c r="I613"/>
    </row>
    <row r="614" spans="1:9">
      <c r="A614"/>
      <c r="B614"/>
      <c r="C614"/>
      <c r="D614"/>
      <c r="E614"/>
      <c r="F614"/>
      <c r="G614"/>
      <c r="H614"/>
      <c r="I614"/>
    </row>
    <row r="615" spans="1:9">
      <c r="A615"/>
      <c r="B615"/>
      <c r="C615"/>
      <c r="D615"/>
      <c r="E615"/>
      <c r="F615"/>
      <c r="G615"/>
      <c r="H615"/>
      <c r="I615"/>
    </row>
    <row r="616" spans="1:9">
      <c r="A616"/>
      <c r="B616"/>
      <c r="C616"/>
      <c r="D616"/>
      <c r="E616"/>
      <c r="F616"/>
      <c r="G616"/>
      <c r="H616"/>
      <c r="I616"/>
    </row>
    <row r="617" spans="1:9">
      <c r="A617"/>
      <c r="B617"/>
      <c r="C617"/>
      <c r="D617"/>
      <c r="E617"/>
      <c r="F617"/>
      <c r="G617"/>
      <c r="H617"/>
      <c r="I617"/>
    </row>
    <row r="618" spans="1:9">
      <c r="A618"/>
      <c r="B618"/>
      <c r="C618"/>
      <c r="D618"/>
      <c r="E618"/>
      <c r="F618"/>
      <c r="G618"/>
      <c r="H618"/>
      <c r="I618"/>
    </row>
    <row r="619" spans="1:9">
      <c r="A619"/>
      <c r="B619"/>
      <c r="C619"/>
      <c r="D619"/>
      <c r="E619"/>
      <c r="F619"/>
      <c r="G619"/>
      <c r="H619"/>
      <c r="I619"/>
    </row>
    <row r="620" spans="1:9">
      <c r="A620"/>
      <c r="B620"/>
      <c r="C620"/>
      <c r="D620"/>
      <c r="E620"/>
      <c r="F620"/>
      <c r="G620"/>
      <c r="H620"/>
      <c r="I620"/>
    </row>
    <row r="621" spans="1:9">
      <c r="A621"/>
      <c r="B621"/>
      <c r="C621"/>
      <c r="D621"/>
      <c r="E621"/>
      <c r="F621"/>
      <c r="G621"/>
      <c r="H621"/>
      <c r="I621"/>
    </row>
    <row r="622" spans="1:9">
      <c r="A622"/>
      <c r="B622"/>
      <c r="C622"/>
      <c r="D622"/>
      <c r="E622"/>
      <c r="F622"/>
      <c r="G622"/>
      <c r="H622"/>
      <c r="I622"/>
    </row>
    <row r="623" spans="1:9">
      <c r="A623"/>
      <c r="B623"/>
      <c r="C623"/>
      <c r="D623"/>
      <c r="E623"/>
      <c r="F623"/>
      <c r="G623"/>
      <c r="H623"/>
      <c r="I623"/>
    </row>
    <row r="624" spans="1:9">
      <c r="A624"/>
      <c r="B624"/>
      <c r="C624"/>
      <c r="D624"/>
      <c r="E624"/>
      <c r="F624"/>
      <c r="G624"/>
      <c r="H624"/>
      <c r="I624"/>
    </row>
    <row r="625" spans="1:9">
      <c r="A625"/>
      <c r="B625"/>
      <c r="C625"/>
      <c r="D625"/>
      <c r="E625"/>
      <c r="F625"/>
      <c r="G625"/>
      <c r="H625"/>
      <c r="I625"/>
    </row>
    <row r="626" spans="1:9">
      <c r="A626"/>
      <c r="B626"/>
      <c r="C626"/>
      <c r="D626"/>
      <c r="E626"/>
      <c r="F626"/>
      <c r="G626"/>
      <c r="H626"/>
      <c r="I626"/>
    </row>
    <row r="627" spans="1:9">
      <c r="A627"/>
      <c r="B627"/>
      <c r="C627"/>
      <c r="D627"/>
      <c r="E627"/>
      <c r="F627"/>
      <c r="G627"/>
      <c r="H627"/>
      <c r="I627"/>
    </row>
    <row r="628" spans="1:9">
      <c r="A628"/>
      <c r="B628"/>
      <c r="C628"/>
      <c r="D628"/>
      <c r="E628"/>
      <c r="F628"/>
      <c r="G628"/>
      <c r="H628"/>
      <c r="I628"/>
    </row>
    <row r="629" spans="1:9">
      <c r="A629"/>
      <c r="B629"/>
      <c r="C629"/>
      <c r="D629"/>
      <c r="E629"/>
      <c r="F629"/>
      <c r="G629"/>
      <c r="H629"/>
      <c r="I629"/>
    </row>
    <row r="630" spans="1:9">
      <c r="A630"/>
      <c r="B630"/>
      <c r="C630"/>
      <c r="D630"/>
      <c r="E630"/>
      <c r="F630"/>
      <c r="G630"/>
      <c r="H630"/>
      <c r="I630"/>
    </row>
    <row r="631" spans="1:9">
      <c r="A631"/>
      <c r="B631"/>
      <c r="C631"/>
      <c r="D631"/>
      <c r="E631"/>
      <c r="F631"/>
      <c r="G631"/>
      <c r="H631"/>
      <c r="I631"/>
    </row>
    <row r="632" spans="1:9">
      <c r="A632"/>
      <c r="B632"/>
      <c r="C632"/>
      <c r="D632"/>
      <c r="E632"/>
      <c r="F632"/>
      <c r="G632"/>
      <c r="H632"/>
      <c r="I632"/>
    </row>
    <row r="633" spans="1:9">
      <c r="A633"/>
      <c r="B633"/>
      <c r="C633"/>
      <c r="D633"/>
      <c r="E633"/>
      <c r="F633"/>
      <c r="G633"/>
      <c r="H633"/>
      <c r="I633"/>
    </row>
    <row r="634" spans="1:9">
      <c r="A634"/>
      <c r="B634"/>
      <c r="C634"/>
      <c r="D634"/>
      <c r="E634"/>
      <c r="F634"/>
      <c r="G634"/>
      <c r="H634"/>
      <c r="I634"/>
    </row>
    <row r="635" spans="1:9">
      <c r="A635"/>
      <c r="B635"/>
      <c r="C635"/>
      <c r="D635"/>
      <c r="E635"/>
      <c r="F635"/>
      <c r="G635"/>
      <c r="H635"/>
      <c r="I635"/>
    </row>
    <row r="636" spans="1:9">
      <c r="A636"/>
      <c r="B636"/>
      <c r="C636"/>
      <c r="D636"/>
      <c r="E636"/>
      <c r="F636"/>
      <c r="G636"/>
      <c r="H636"/>
      <c r="I636"/>
    </row>
    <row r="637" spans="1:9">
      <c r="A637"/>
      <c r="B637"/>
      <c r="C637"/>
      <c r="D637"/>
      <c r="E637"/>
      <c r="F637"/>
      <c r="G637"/>
      <c r="H637"/>
      <c r="I637"/>
    </row>
    <row r="638" spans="1:9">
      <c r="A638"/>
      <c r="B638"/>
      <c r="C638"/>
      <c r="D638"/>
      <c r="E638"/>
      <c r="F638"/>
      <c r="G638"/>
      <c r="H638"/>
      <c r="I638"/>
    </row>
    <row r="639" spans="1:9">
      <c r="A639"/>
      <c r="B639"/>
      <c r="C639"/>
      <c r="D639"/>
      <c r="E639"/>
      <c r="F639"/>
      <c r="G639"/>
      <c r="H639"/>
      <c r="I639"/>
    </row>
    <row r="640" spans="1:9">
      <c r="A640"/>
      <c r="B640"/>
      <c r="C640"/>
      <c r="D640"/>
      <c r="E640"/>
      <c r="F640"/>
      <c r="G640"/>
      <c r="H640"/>
      <c r="I640"/>
    </row>
    <row r="641" spans="1:9">
      <c r="A641"/>
      <c r="B641"/>
      <c r="C641"/>
      <c r="D641"/>
      <c r="E641"/>
      <c r="F641"/>
      <c r="G641"/>
      <c r="H641"/>
      <c r="I641"/>
    </row>
    <row r="642" spans="1:9">
      <c r="A642"/>
      <c r="B642"/>
      <c r="C642"/>
      <c r="D642"/>
      <c r="E642"/>
      <c r="F642"/>
      <c r="G642"/>
      <c r="H642"/>
      <c r="I642"/>
    </row>
    <row r="643" spans="1:9">
      <c r="A643"/>
      <c r="B643"/>
      <c r="C643"/>
      <c r="D643"/>
      <c r="E643"/>
      <c r="F643"/>
      <c r="G643"/>
      <c r="H643"/>
      <c r="I643"/>
    </row>
    <row r="644" spans="1:9">
      <c r="A644"/>
      <c r="B644"/>
      <c r="C644"/>
      <c r="D644"/>
      <c r="E644"/>
      <c r="F644"/>
      <c r="G644"/>
      <c r="H644"/>
      <c r="I644"/>
    </row>
    <row r="645" spans="1:9">
      <c r="A645"/>
      <c r="B645"/>
      <c r="C645"/>
      <c r="D645"/>
      <c r="E645"/>
      <c r="F645"/>
      <c r="G645"/>
      <c r="H645"/>
      <c r="I645"/>
    </row>
    <row r="646" spans="1:9">
      <c r="A646"/>
      <c r="B646"/>
      <c r="C646"/>
      <c r="D646"/>
      <c r="E646"/>
      <c r="F646"/>
      <c r="G646"/>
      <c r="H646"/>
      <c r="I646"/>
    </row>
    <row r="647" spans="1:9">
      <c r="A647"/>
      <c r="B647"/>
      <c r="C647"/>
      <c r="D647"/>
      <c r="E647"/>
      <c r="F647"/>
      <c r="G647"/>
      <c r="H647"/>
      <c r="I647"/>
    </row>
    <row r="648" spans="1:9">
      <c r="A648"/>
      <c r="B648"/>
      <c r="C648"/>
      <c r="D648"/>
      <c r="E648"/>
      <c r="F648"/>
      <c r="G648"/>
      <c r="H648"/>
      <c r="I648"/>
    </row>
    <row r="649" spans="1:9">
      <c r="A649"/>
      <c r="B649"/>
      <c r="C649"/>
      <c r="D649"/>
      <c r="E649"/>
      <c r="F649"/>
      <c r="G649"/>
      <c r="H649"/>
      <c r="I649"/>
    </row>
    <row r="650" spans="1:9">
      <c r="A650"/>
      <c r="B650"/>
      <c r="C650"/>
      <c r="D650"/>
      <c r="E650"/>
      <c r="F650"/>
      <c r="G650"/>
      <c r="H650"/>
      <c r="I650"/>
    </row>
    <row r="651" spans="1:9">
      <c r="A651"/>
      <c r="B651"/>
      <c r="C651"/>
      <c r="D651"/>
      <c r="E651"/>
      <c r="F651"/>
      <c r="G651"/>
      <c r="H651"/>
      <c r="I651"/>
    </row>
    <row r="652" spans="1:9">
      <c r="A652"/>
      <c r="B652"/>
      <c r="C652"/>
      <c r="D652"/>
      <c r="E652"/>
      <c r="F652"/>
      <c r="G652"/>
      <c r="H652"/>
      <c r="I652"/>
    </row>
    <row r="653" spans="1:9">
      <c r="A653"/>
      <c r="B653"/>
      <c r="C653"/>
      <c r="D653"/>
      <c r="E653"/>
      <c r="F653"/>
      <c r="G653"/>
      <c r="H653"/>
      <c r="I653"/>
    </row>
    <row r="654" spans="1:9">
      <c r="A654"/>
      <c r="B654"/>
      <c r="C654"/>
      <c r="D654"/>
      <c r="E654"/>
      <c r="F654"/>
      <c r="G654"/>
      <c r="H654"/>
      <c r="I654"/>
    </row>
    <row r="655" spans="1:9">
      <c r="A655"/>
      <c r="B655"/>
      <c r="C655"/>
      <c r="D655"/>
      <c r="E655"/>
      <c r="F655"/>
      <c r="G655"/>
      <c r="H655"/>
      <c r="I655"/>
    </row>
    <row r="656" spans="1:9">
      <c r="A656"/>
      <c r="B656"/>
      <c r="C656"/>
      <c r="D656"/>
      <c r="E656"/>
      <c r="F656"/>
      <c r="G656"/>
      <c r="H656"/>
      <c r="I656"/>
    </row>
    <row r="657" spans="1:9">
      <c r="A657"/>
      <c r="B657"/>
      <c r="C657"/>
      <c r="D657"/>
      <c r="E657"/>
      <c r="F657"/>
      <c r="G657"/>
      <c r="H657"/>
      <c r="I657"/>
    </row>
    <row r="658" spans="1:9">
      <c r="A658"/>
      <c r="B658"/>
      <c r="C658"/>
      <c r="D658"/>
      <c r="E658"/>
      <c r="F658"/>
      <c r="G658"/>
      <c r="H658"/>
      <c r="I658"/>
    </row>
    <row r="659" spans="1:9">
      <c r="A659"/>
      <c r="B659"/>
      <c r="C659"/>
      <c r="D659"/>
      <c r="E659"/>
      <c r="F659"/>
      <c r="G659"/>
      <c r="H659"/>
      <c r="I659"/>
    </row>
    <row r="660" spans="1:9">
      <c r="A660"/>
      <c r="B660"/>
      <c r="C660"/>
      <c r="D660"/>
      <c r="E660"/>
      <c r="F660"/>
      <c r="G660"/>
      <c r="H660"/>
      <c r="I660"/>
    </row>
    <row r="661" spans="1:9">
      <c r="A661"/>
      <c r="B661"/>
      <c r="C661"/>
      <c r="D661"/>
      <c r="E661"/>
      <c r="F661"/>
      <c r="G661"/>
      <c r="H661"/>
      <c r="I661"/>
    </row>
    <row r="662" spans="1:9">
      <c r="A662"/>
      <c r="B662"/>
      <c r="C662"/>
      <c r="D662"/>
      <c r="E662"/>
      <c r="F662"/>
      <c r="G662"/>
      <c r="H662"/>
      <c r="I662"/>
    </row>
    <row r="663" spans="1:9">
      <c r="A663"/>
      <c r="B663"/>
      <c r="C663"/>
      <c r="D663"/>
      <c r="E663"/>
      <c r="F663"/>
      <c r="G663"/>
      <c r="H663"/>
      <c r="I663"/>
    </row>
    <row r="664" spans="1:9">
      <c r="A664"/>
      <c r="B664"/>
      <c r="C664"/>
      <c r="D664"/>
      <c r="E664"/>
      <c r="F664"/>
      <c r="G664"/>
      <c r="H664"/>
      <c r="I664"/>
    </row>
    <row r="665" spans="1:9">
      <c r="A665"/>
      <c r="B665"/>
      <c r="C665"/>
      <c r="D665"/>
      <c r="E665"/>
      <c r="F665"/>
      <c r="G665"/>
      <c r="H665"/>
      <c r="I665"/>
    </row>
    <row r="666" spans="1:9">
      <c r="A666"/>
      <c r="B666"/>
      <c r="C666"/>
      <c r="D666"/>
      <c r="E666"/>
      <c r="F666"/>
      <c r="G666"/>
      <c r="H666"/>
      <c r="I666"/>
    </row>
    <row r="667" spans="1:9">
      <c r="A667"/>
      <c r="B667"/>
      <c r="C667"/>
      <c r="D667"/>
      <c r="E667"/>
      <c r="F667"/>
      <c r="G667"/>
      <c r="H667"/>
      <c r="I667"/>
    </row>
    <row r="668" spans="1:9">
      <c r="A668"/>
      <c r="B668"/>
      <c r="C668"/>
      <c r="D668"/>
      <c r="E668"/>
      <c r="F668"/>
      <c r="G668"/>
      <c r="H668"/>
      <c r="I668"/>
    </row>
    <row r="669" spans="1:9">
      <c r="A669"/>
      <c r="B669"/>
      <c r="C669"/>
      <c r="D669"/>
      <c r="E669"/>
      <c r="F669"/>
      <c r="G669"/>
      <c r="H669"/>
      <c r="I669"/>
    </row>
    <row r="670" spans="1:9">
      <c r="A670"/>
      <c r="B670"/>
      <c r="C670"/>
      <c r="D670"/>
      <c r="E670"/>
      <c r="F670"/>
      <c r="G670"/>
      <c r="H670"/>
      <c r="I670"/>
    </row>
    <row r="671" spans="1:9">
      <c r="A671"/>
      <c r="B671"/>
      <c r="C671"/>
      <c r="D671"/>
      <c r="E671"/>
      <c r="F671"/>
      <c r="G671"/>
      <c r="H671"/>
      <c r="I671"/>
    </row>
    <row r="672" spans="1:9">
      <c r="A672"/>
      <c r="B672"/>
      <c r="C672"/>
      <c r="D672"/>
      <c r="E672"/>
      <c r="F672"/>
      <c r="G672"/>
      <c r="H672"/>
      <c r="I672"/>
    </row>
    <row r="673" spans="1:9">
      <c r="A673"/>
      <c r="B673"/>
      <c r="C673"/>
      <c r="D673"/>
      <c r="E673"/>
      <c r="F673"/>
      <c r="G673"/>
      <c r="H673"/>
      <c r="I673"/>
    </row>
    <row r="674" spans="1:9">
      <c r="A674"/>
      <c r="B674"/>
      <c r="C674"/>
      <c r="D674"/>
      <c r="E674"/>
      <c r="F674"/>
      <c r="G674"/>
      <c r="H674"/>
      <c r="I674"/>
    </row>
    <row r="675" spans="1:9">
      <c r="A675"/>
      <c r="B675"/>
      <c r="C675"/>
      <c r="D675"/>
      <c r="E675"/>
      <c r="F675"/>
      <c r="G675"/>
      <c r="H675"/>
      <c r="I675"/>
    </row>
    <row r="676" spans="1:9">
      <c r="A676"/>
      <c r="B676"/>
      <c r="C676"/>
      <c r="D676"/>
      <c r="E676"/>
      <c r="F676"/>
      <c r="G676"/>
      <c r="H676"/>
      <c r="I676"/>
    </row>
    <row r="677" spans="1:9">
      <c r="A677"/>
      <c r="B677"/>
      <c r="C677"/>
      <c r="D677"/>
      <c r="E677"/>
      <c r="F677"/>
      <c r="G677"/>
      <c r="H677"/>
      <c r="I677"/>
    </row>
    <row r="678" spans="1:9">
      <c r="A678"/>
      <c r="B678"/>
      <c r="C678"/>
      <c r="D678"/>
      <c r="E678"/>
      <c r="F678"/>
      <c r="G678"/>
      <c r="H678"/>
      <c r="I678"/>
    </row>
    <row r="679" spans="1:9">
      <c r="A679"/>
      <c r="B679"/>
      <c r="C679"/>
      <c r="D679"/>
      <c r="E679"/>
      <c r="F679"/>
      <c r="G679"/>
      <c r="H679"/>
      <c r="I679"/>
    </row>
    <row r="680" spans="1:9">
      <c r="A680"/>
      <c r="B680"/>
      <c r="C680"/>
      <c r="D680"/>
      <c r="E680"/>
      <c r="F680"/>
      <c r="G680"/>
      <c r="H680"/>
      <c r="I680"/>
    </row>
    <row r="681" spans="1:9">
      <c r="A681"/>
      <c r="B681"/>
      <c r="C681"/>
      <c r="D681"/>
      <c r="E681"/>
      <c r="F681"/>
      <c r="G681"/>
      <c r="H681"/>
      <c r="I681"/>
    </row>
    <row r="682" spans="1:9">
      <c r="A682"/>
      <c r="B682"/>
      <c r="C682"/>
      <c r="D682"/>
      <c r="E682"/>
      <c r="F682"/>
      <c r="G682"/>
      <c r="H682"/>
      <c r="I682"/>
    </row>
    <row r="683" spans="1:9">
      <c r="A683"/>
      <c r="B683"/>
      <c r="C683"/>
      <c r="D683"/>
      <c r="E683"/>
      <c r="F683"/>
      <c r="G683"/>
      <c r="H683"/>
      <c r="I683"/>
    </row>
    <row r="684" spans="1:9">
      <c r="A684"/>
      <c r="B684"/>
      <c r="C684"/>
      <c r="D684"/>
      <c r="E684"/>
      <c r="F684"/>
      <c r="G684"/>
      <c r="H684"/>
      <c r="I684"/>
    </row>
    <row r="685" spans="1:9">
      <c r="A685"/>
      <c r="B685"/>
      <c r="C685"/>
      <c r="D685"/>
      <c r="E685"/>
      <c r="F685"/>
      <c r="G685"/>
      <c r="H685"/>
      <c r="I685"/>
    </row>
    <row r="686" spans="1:9">
      <c r="A686"/>
      <c r="B686"/>
      <c r="C686"/>
      <c r="D686"/>
      <c r="E686"/>
      <c r="F686"/>
      <c r="G686"/>
      <c r="H686"/>
      <c r="I686"/>
    </row>
    <row r="687" spans="1:9">
      <c r="A687"/>
      <c r="B687"/>
      <c r="C687"/>
      <c r="D687"/>
      <c r="E687"/>
      <c r="F687"/>
      <c r="G687"/>
      <c r="H687"/>
      <c r="I687"/>
    </row>
    <row r="688" spans="1:9">
      <c r="A688"/>
      <c r="B688"/>
      <c r="C688"/>
      <c r="D688"/>
      <c r="E688"/>
      <c r="F688"/>
      <c r="G688"/>
      <c r="H688"/>
      <c r="I688"/>
    </row>
    <row r="689" spans="1:9">
      <c r="A689"/>
      <c r="B689"/>
      <c r="C689"/>
      <c r="D689"/>
      <c r="E689"/>
      <c r="F689"/>
      <c r="G689"/>
      <c r="H689"/>
      <c r="I689"/>
    </row>
    <row r="690" spans="1:9">
      <c r="A690"/>
      <c r="B690"/>
      <c r="C690"/>
      <c r="D690"/>
      <c r="E690"/>
      <c r="F690"/>
      <c r="G690"/>
      <c r="H690"/>
      <c r="I690"/>
    </row>
    <row r="691" spans="1:9">
      <c r="A691"/>
      <c r="B691"/>
      <c r="C691"/>
      <c r="D691"/>
      <c r="E691"/>
      <c r="F691"/>
      <c r="G691"/>
      <c r="H691"/>
      <c r="I691"/>
    </row>
    <row r="692" spans="1:9">
      <c r="A692"/>
      <c r="B692"/>
      <c r="C692"/>
      <c r="D692"/>
      <c r="E692"/>
      <c r="F692"/>
      <c r="G692"/>
      <c r="H692"/>
      <c r="I692"/>
    </row>
    <row r="693" spans="1:9">
      <c r="A693"/>
      <c r="B693"/>
      <c r="C693"/>
      <c r="D693"/>
      <c r="E693"/>
      <c r="F693"/>
      <c r="G693"/>
      <c r="H693"/>
      <c r="I693"/>
    </row>
    <row r="694" spans="1:9">
      <c r="A694"/>
      <c r="B694"/>
      <c r="C694"/>
      <c r="D694"/>
      <c r="E694"/>
      <c r="F694"/>
      <c r="G694"/>
      <c r="H694"/>
      <c r="I694"/>
    </row>
    <row r="695" spans="1:9">
      <c r="A695"/>
      <c r="B695"/>
      <c r="C695"/>
      <c r="D695"/>
      <c r="E695"/>
      <c r="F695"/>
      <c r="G695"/>
      <c r="H695"/>
      <c r="I695"/>
    </row>
    <row r="696" spans="1:9">
      <c r="A696"/>
      <c r="B696"/>
      <c r="C696"/>
      <c r="D696"/>
      <c r="E696"/>
      <c r="F696"/>
      <c r="G696"/>
      <c r="H696"/>
      <c r="I696"/>
    </row>
    <row r="697" spans="1:9">
      <c r="A697"/>
      <c r="B697"/>
      <c r="C697"/>
      <c r="D697"/>
      <c r="E697"/>
      <c r="F697"/>
      <c r="G697"/>
      <c r="H697"/>
      <c r="I697"/>
    </row>
    <row r="698" spans="1:9">
      <c r="A698"/>
      <c r="B698"/>
      <c r="C698"/>
      <c r="D698"/>
      <c r="E698"/>
      <c r="F698"/>
      <c r="G698"/>
      <c r="H698"/>
      <c r="I698"/>
    </row>
    <row r="699" spans="1:9">
      <c r="A699"/>
      <c r="B699"/>
      <c r="C699"/>
      <c r="D699"/>
      <c r="E699"/>
      <c r="F699"/>
      <c r="G699"/>
      <c r="H699"/>
      <c r="I699"/>
    </row>
    <row r="700" spans="1:9">
      <c r="A700"/>
      <c r="B700"/>
      <c r="C700"/>
      <c r="D700"/>
      <c r="E700"/>
      <c r="F700"/>
      <c r="G700"/>
      <c r="H700"/>
      <c r="I700"/>
    </row>
    <row r="701" spans="1:9">
      <c r="A701"/>
      <c r="B701"/>
      <c r="C701"/>
      <c r="D701"/>
      <c r="E701"/>
      <c r="F701"/>
      <c r="G701"/>
      <c r="H701"/>
    </row>
    <row r="702" spans="1:9">
      <c r="A702"/>
      <c r="B702"/>
      <c r="C702"/>
      <c r="D702"/>
      <c r="E702"/>
      <c r="F702"/>
      <c r="G702"/>
      <c r="H702"/>
    </row>
    <row r="703" spans="1:9">
      <c r="A703"/>
      <c r="B703"/>
      <c r="C703"/>
      <c r="D703"/>
      <c r="E703"/>
      <c r="F703"/>
      <c r="G703"/>
      <c r="H703"/>
    </row>
  </sheetData>
  <phoneticPr fontId="0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9</vt:i4>
      </vt:variant>
    </vt:vector>
  </HeadingPairs>
  <TitlesOfParts>
    <vt:vector size="20" baseType="lpstr">
      <vt:lpstr>TABELLA</vt:lpstr>
      <vt:lpstr>GRA</vt:lpstr>
      <vt:lpstr>DOM</vt:lpstr>
      <vt:lpstr>LUN</vt:lpstr>
      <vt:lpstr>MAR</vt:lpstr>
      <vt:lpstr>MER</vt:lpstr>
      <vt:lpstr>GIO</vt:lpstr>
      <vt:lpstr>VEN</vt:lpstr>
      <vt:lpstr>SAB</vt:lpstr>
      <vt:lpstr>VL</vt:lpstr>
      <vt:lpstr>Incassi</vt:lpstr>
      <vt:lpstr>DOM!Area_stampa</vt:lpstr>
      <vt:lpstr>GIO!Area_stampa</vt:lpstr>
      <vt:lpstr>GRA!Area_stampa</vt:lpstr>
      <vt:lpstr>LUN!Area_stampa</vt:lpstr>
      <vt:lpstr>MAR!Area_stampa</vt:lpstr>
      <vt:lpstr>MER!Area_stampa</vt:lpstr>
      <vt:lpstr>SAB!Area_stampa</vt:lpstr>
      <vt:lpstr>TABELLA!Area_stampa</vt:lpstr>
      <vt:lpstr>VEN!Area_stampa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MARIELE</dc:creator>
  <cp:lastModifiedBy>Zechs Marquise</cp:lastModifiedBy>
  <cp:lastPrinted>2025-06-21T10:57:59Z</cp:lastPrinted>
  <dcterms:created xsi:type="dcterms:W3CDTF">2008-10-11T19:45:56Z</dcterms:created>
  <dcterms:modified xsi:type="dcterms:W3CDTF">2025-11-15T09:19:15Z</dcterms:modified>
</cp:coreProperties>
</file>